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מחוג לשרת\דיווחים חודשיים\2024\2406\לאומי\"/>
    </mc:Choice>
  </mc:AlternateContent>
  <xr:revisionPtr revIDLastSave="0" documentId="13_ncr:1_{01014485-E4A7-44E8-94F5-594243A1F58B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  <externalReference r:id="rId37"/>
  </externalReferences>
  <definedNames>
    <definedName name="_xlnm._FilterDatabase" localSheetId="5" hidden="1">'איגרות חוב'!$A$1:$AJ$1122</definedName>
    <definedName name="_xlnm._FilterDatabase" localSheetId="3" hidden="1">'איגרות חוב ממשלתיות'!$A$1:$Z$386</definedName>
    <definedName name="_xlnm._FilterDatabase" localSheetId="31" hidden="1">'אפשרויות בחירה'!$A$1:$D$1040</definedName>
    <definedName name="_xlnm._FilterDatabase" localSheetId="11" hidden="1">'חוזים עתידיים'!$A$1:$T$35</definedName>
    <definedName name="_xlnm._FilterDatabase" localSheetId="30" hidden="1">'יתרות התחייבות להשקעה'!$A$1:$V$1</definedName>
    <definedName name="_xlnm._FilterDatabase" localSheetId="22" hidden="1">'לא סחיר נגזרים אחרים'!$A$1:$AO$35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25" hidden="1">'פיקדונות מעל 3 חודשים'!$A$1:$V$21</definedName>
    <definedName name="_xlnm._FilterDatabase" localSheetId="19" hidden="1">'קרנות השקעה'!$A$1:$AA$77</definedName>
    <definedName name="_xlnm._FilterDatabase" localSheetId="7" hidden="1">'קרנות סל'!$A$1:$W$54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D11" i="2"/>
  <c r="B11" i="2"/>
  <c r="B10" i="2"/>
  <c r="D10" i="2" s="1"/>
  <c r="B9" i="2"/>
  <c r="D9" i="2" s="1"/>
  <c r="B8" i="2"/>
  <c r="D8" i="2" s="1"/>
  <c r="D7" i="2"/>
  <c r="B7" i="2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27" i="2"/>
  <c r="E23" i="2"/>
  <c r="E19" i="2"/>
  <c r="E15" i="2"/>
  <c r="E11" i="2"/>
  <c r="E3" i="2"/>
  <c r="E16" i="2"/>
  <c r="E12" i="2"/>
  <c r="E4" i="2"/>
  <c r="E26" i="2"/>
  <c r="E22" i="2"/>
  <c r="E7" i="2"/>
  <c r="E28" i="2"/>
  <c r="E24" i="2"/>
  <c r="E20" i="2"/>
  <c r="E8" i="2"/>
  <c r="E30" i="2" l="1"/>
</calcChain>
</file>

<file path=xl/sharedStrings.xml><?xml version="1.0" encoding="utf-8"?>
<sst xmlns="http://schemas.openxmlformats.org/spreadsheetml/2006/main" count="51730" uniqueCount="3407">
  <si>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</si>
  <si>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</si>
  <si>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</si>
  <si>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</si>
  <si>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</si>
  <si>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</si>
  <si>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</si>
  <si>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</si>
  <si>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</si>
  <si>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</si>
  <si>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</si>
  <si>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</si>
  <si>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</si>
  <si>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</si>
  <si>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</si>
  <si>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</si>
  <si>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</si>
  <si>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</si>
  <si>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</si>
  <si>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</si>
  <si>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</si>
  <si>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</si>
  <si>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</si>
  <si>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</si>
  <si>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</si>
  <si>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</si>
  <si>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13710</t>
  </si>
  <si>
    <t>ממשל קצרה</t>
  </si>
  <si>
    <t>אגח ממשלתית קצרה 08/24</t>
  </si>
  <si>
    <t>IL0011999757</t>
  </si>
  <si>
    <t>צמוד למדד המחירים לצרכן בריבית משתנה</t>
  </si>
  <si>
    <t>ישראל</t>
  </si>
  <si>
    <t>TASE</t>
  </si>
  <si>
    <t>RF</t>
  </si>
  <si>
    <t>פנימי</t>
  </si>
  <si>
    <t>ILS</t>
  </si>
  <si>
    <t>30/08/2024</t>
  </si>
  <si>
    <t>שווי הוגן</t>
  </si>
  <si>
    <t>אגח ממשלתית קצרה 11/24</t>
  </si>
  <si>
    <t>IL0012023243</t>
  </si>
  <si>
    <t>29/11/2024</t>
  </si>
  <si>
    <t>גליל</t>
  </si>
  <si>
    <t>גליל 5904</t>
  </si>
  <si>
    <t>IL0095904319</t>
  </si>
  <si>
    <t>צמוד למדד המחירים לצרכן בריבית קבועה</t>
  </si>
  <si>
    <t>31/07/2024</t>
  </si>
  <si>
    <t>בנק ישראל- מק"מ</t>
  </si>
  <si>
    <t>מ.ק.מ. 315</t>
  </si>
  <si>
    <t>IL0082503181</t>
  </si>
  <si>
    <t>מק"מ קצר משנים עשר חודשים</t>
  </si>
  <si>
    <t>TASE </t>
  </si>
  <si>
    <t>05/03/2025</t>
  </si>
  <si>
    <t>מ.ק.מ. 415</t>
  </si>
  <si>
    <t>IL0082504171</t>
  </si>
  <si>
    <t>03/04/2025</t>
  </si>
  <si>
    <t>מלווה קצר מועד 1014</t>
  </si>
  <si>
    <t>IL0082410106</t>
  </si>
  <si>
    <t>02/10/2024</t>
  </si>
  <si>
    <t>מלווה קצר מועד 1114</t>
  </si>
  <si>
    <t>IL0082411195</t>
  </si>
  <si>
    <t>06/11/2024</t>
  </si>
  <si>
    <t>מלווה קצר מועד 1214</t>
  </si>
  <si>
    <t>IL0082412185</t>
  </si>
  <si>
    <t>04/12/2024</t>
  </si>
  <si>
    <t>מלווה קצר מועד 125</t>
  </si>
  <si>
    <t>IL0082501284</t>
  </si>
  <si>
    <t>08/01/2025</t>
  </si>
  <si>
    <t>מלווה קצר מועד 215</t>
  </si>
  <si>
    <t>IL0082502191</t>
  </si>
  <si>
    <t>05/02/2025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</si>
  <si>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</si>
  <si>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</si>
  <si>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</si>
  <si>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</si>
  <si>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</si>
  <si>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</si>
  <si>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מלווה קצר מועד 714</t>
  </si>
  <si>
    <t>IL0082407151</t>
  </si>
  <si>
    <t>03/07/2024</t>
  </si>
  <si>
    <t>מלווה קצר מועד 814</t>
  </si>
  <si>
    <t>IL0082408142</t>
  </si>
  <si>
    <t>07/08/2024</t>
  </si>
  <si>
    <t>מלווה קצר מועד 914</t>
  </si>
  <si>
    <t>IL0082409132</t>
  </si>
  <si>
    <t>04/09/2024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</si>
  <si>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</si>
  <si>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</si>
  <si>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</si>
  <si>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</si>
  <si>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</si>
  <si>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</si>
  <si>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</si>
  <si>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</si>
  <si>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</si>
  <si>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</si>
  <si>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</si>
  <si>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</si>
  <si>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</si>
  <si>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</si>
  <si>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</si>
  <si>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</si>
  <si>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</si>
  <si>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</si>
  <si>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</si>
  <si>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27/02/2026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</si>
  <si>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</si>
  <si>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</si>
  <si>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</si>
  <si>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</si>
  <si>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</si>
  <si>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</si>
  <si>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</si>
  <si>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</si>
  <si>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</si>
  <si>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</si>
  <si>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</si>
  <si>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</si>
  <si>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 שקלית 0825</t>
  </si>
  <si>
    <t>IL0011355570</t>
  </si>
  <si>
    <t>31/08/2025</t>
  </si>
  <si>
    <t>ממשל שקלית 11/52 2.8%</t>
  </si>
  <si>
    <t>IL0011840761</t>
  </si>
  <si>
    <t>29/11/2052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</si>
  <si>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</si>
  <si>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</si>
  <si>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</si>
  <si>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</si>
  <si>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</si>
  <si>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</si>
  <si>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</si>
  <si>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</si>
  <si>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</si>
  <si>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</si>
  <si>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</si>
  <si>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</si>
  <si>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</si>
  <si>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</si>
  <si>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</si>
  <si>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קצרה 02/25</t>
  </si>
  <si>
    <t>IL0012052028</t>
  </si>
  <si>
    <t>28/02/2025</t>
  </si>
  <si>
    <t>ממשלתית שקלית 0.5% 04/25</t>
  </si>
  <si>
    <t>IL0011626681</t>
  </si>
  <si>
    <t>30/04/2025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</si>
  <si>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</si>
  <si>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</si>
  <si>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</si>
  <si>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</si>
  <si>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</si>
  <si>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</si>
  <si>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Treasury Bill</t>
  </si>
  <si>
    <t>B 0 05/12/2024</t>
  </si>
  <si>
    <t>US912797LF29</t>
  </si>
  <si>
    <t>צמוד מט"ח בריבית קבועה</t>
  </si>
  <si>
    <t>חו"ל</t>
  </si>
  <si>
    <t>ארה"ב</t>
  </si>
  <si>
    <t>NYSE</t>
  </si>
  <si>
    <t>Aaa</t>
  </si>
  <si>
    <t>Moodys</t>
  </si>
  <si>
    <t>USD</t>
  </si>
  <si>
    <t>05/12/2024</t>
  </si>
  <si>
    <t>B 0 19/12/24</t>
  </si>
  <si>
    <t>US912797LQ83</t>
  </si>
  <si>
    <t>NYSE </t>
  </si>
  <si>
    <t>19/12/2024</t>
  </si>
  <si>
    <t>מדינת ישראל</t>
  </si>
  <si>
    <t>ISRAEL 5 10/26</t>
  </si>
  <si>
    <t>XS2711443932</t>
  </si>
  <si>
    <t>A1</t>
  </si>
  <si>
    <t>EUR</t>
  </si>
  <si>
    <t>30/10/2026</t>
  </si>
  <si>
    <t>ממשל דואלית</t>
  </si>
  <si>
    <t>ISRAEL 5.375 03</t>
  </si>
  <si>
    <t>US46514BRN90</t>
  </si>
  <si>
    <t>A2</t>
  </si>
  <si>
    <t>12/03/2029</t>
  </si>
  <si>
    <t>ISRAEL 5.5 03/3</t>
  </si>
  <si>
    <t>US46514BRL35</t>
  </si>
  <si>
    <t>12/03/2034</t>
  </si>
  <si>
    <t>ISRAEL 5.75</t>
  </si>
  <si>
    <t>US46514BRM18</t>
  </si>
  <si>
    <t>12/03/2054</t>
  </si>
  <si>
    <t>ISRAEL GOV 1.5</t>
  </si>
  <si>
    <t>XS1551294256</t>
  </si>
  <si>
    <t>18/01/2027</t>
  </si>
  <si>
    <t>US TREASURY Bills</t>
  </si>
  <si>
    <t>T 1.125 05/15/40</t>
  </si>
  <si>
    <t>US912810SR05</t>
  </si>
  <si>
    <t>15/05/2040</t>
  </si>
  <si>
    <t>T 1.125 08/15/4</t>
  </si>
  <si>
    <t>US912810SQ22</t>
  </si>
  <si>
    <t>15/08/2040</t>
  </si>
  <si>
    <t>T 1.125 15/02/31</t>
  </si>
  <si>
    <t>US91282CBL46</t>
  </si>
  <si>
    <t>15/02/2031</t>
  </si>
  <si>
    <t>T 1.5 10/31/24</t>
  </si>
  <si>
    <t>US912828YM69</t>
  </si>
  <si>
    <t>31/10/2024</t>
  </si>
  <si>
    <t>T 1.625 15/5/31</t>
  </si>
  <si>
    <t>US91282CCB54</t>
  </si>
  <si>
    <t>15/05/2031</t>
  </si>
  <si>
    <t>T 2 11/41</t>
  </si>
  <si>
    <t>US912810TC27</t>
  </si>
  <si>
    <t>15/11/2041</t>
  </si>
  <si>
    <t>T 2.125 09/24</t>
  </si>
  <si>
    <t>US9128282Y56</t>
  </si>
  <si>
    <t>30/09/2024</t>
  </si>
  <si>
    <t>T 2.125 30/11/2</t>
  </si>
  <si>
    <t>US9128283J70</t>
  </si>
  <si>
    <t>30/11/2024</t>
  </si>
  <si>
    <t>T 2.375 15/02/42</t>
  </si>
  <si>
    <t>US912810TF57</t>
  </si>
  <si>
    <t>15/02/2042</t>
  </si>
  <si>
    <t>US TREASURY N/B</t>
  </si>
  <si>
    <t>T 2.5 02/46</t>
  </si>
  <si>
    <t>US912810RQ31</t>
  </si>
  <si>
    <t>15/02/2046</t>
  </si>
  <si>
    <t>T 3.25 30/6/29</t>
  </si>
  <si>
    <t>US91282CEV90</t>
  </si>
  <si>
    <t>30/06/2029</t>
  </si>
  <si>
    <t>T 3.375 15/05/44</t>
  </si>
  <si>
    <t>US912810RG58</t>
  </si>
  <si>
    <t>15/05/2044</t>
  </si>
  <si>
    <t>T 3.5 15/2/39</t>
  </si>
  <si>
    <t>US912810QA97</t>
  </si>
  <si>
    <t>15/02/2039</t>
  </si>
  <si>
    <t>T 3.625 02/15/4</t>
  </si>
  <si>
    <t>US912810RE01</t>
  </si>
  <si>
    <t>15/02/2044</t>
  </si>
  <si>
    <t>T BILL 03/25</t>
  </si>
  <si>
    <t>US912797KJ59</t>
  </si>
  <si>
    <t>20/03/2025</t>
  </si>
  <si>
    <t>T BILL 14/11/24</t>
  </si>
  <si>
    <t>US912797LD70</t>
  </si>
  <si>
    <t>14/11/2024</t>
  </si>
  <si>
    <t>T BILLS 15/08/2</t>
  </si>
  <si>
    <t>US912797KB24</t>
  </si>
  <si>
    <t>15/08/2024</t>
  </si>
  <si>
    <t>TREAS 2.875 15/05/2043</t>
  </si>
  <si>
    <t>US912810RB61</t>
  </si>
  <si>
    <t>15/05/2043</t>
  </si>
  <si>
    <t>TREASURY BILL 09/05/24</t>
  </si>
  <si>
    <t>US912797GL51</t>
  </si>
  <si>
    <t>05/09/2024</t>
  </si>
  <si>
    <t>US TREASURY 1.875 02/15/32</t>
  </si>
  <si>
    <t>US91282CDY49</t>
  </si>
  <si>
    <t>15/02/2032</t>
  </si>
  <si>
    <t>US TREASURY 2.7</t>
  </si>
  <si>
    <t>US912810QY73</t>
  </si>
  <si>
    <t>15/11/2042</t>
  </si>
  <si>
    <t>US TREASURY 3 15/11/44</t>
  </si>
  <si>
    <t>US912810RJ97</t>
  </si>
  <si>
    <t>15/11/2044</t>
  </si>
  <si>
    <t>US TREASURY N/B 2.875 08/45</t>
  </si>
  <si>
    <t>US912810RN00</t>
  </si>
  <si>
    <t>15/08/2045</t>
  </si>
  <si>
    <t>559</t>
  </si>
  <si>
    <t>גילון חדש</t>
  </si>
  <si>
    <t>ממשלתי משתנה 1130</t>
  </si>
  <si>
    <t>IL0011665523</t>
  </si>
  <si>
    <t>לא צמוד למדד המחירים לצרכן ריבית משתנה</t>
  </si>
  <si>
    <t>29/11/2030</t>
  </si>
  <si>
    <t>ממשלתי צמודה 0536</t>
  </si>
  <si>
    <t>IL0010977085</t>
  </si>
  <si>
    <t>30/05/2036</t>
  </si>
  <si>
    <t>ממשלתית משתנה 05/26 0.0866%</t>
  </si>
  <si>
    <t>IL0011417958</t>
  </si>
  <si>
    <t>31/05/2026</t>
  </si>
  <si>
    <t>ממשלתית שקלית 1.3% 04/32</t>
  </si>
  <si>
    <t>IL0011806606</t>
  </si>
  <si>
    <t>30/04/2032</t>
  </si>
  <si>
    <t>ISRAEL 3.25 01/</t>
  </si>
  <si>
    <t>US46513YJH27</t>
  </si>
  <si>
    <t>17/01/2028</t>
  </si>
  <si>
    <t>T 1 12/24</t>
  </si>
  <si>
    <t>US91282CDN83</t>
  </si>
  <si>
    <t>15/12/2024</t>
  </si>
  <si>
    <t>T 1.25 08/31/24</t>
  </si>
  <si>
    <t>US912828YE44</t>
  </si>
  <si>
    <t>31/08/2024</t>
  </si>
  <si>
    <t>T 3.25 31/08/24</t>
  </si>
  <si>
    <t>US91282CFG15</t>
  </si>
  <si>
    <t>T 4.375 31/10/24</t>
  </si>
  <si>
    <t>US91282CFQ96</t>
  </si>
  <si>
    <t>US TR 4.3 02/38</t>
  </si>
  <si>
    <t>US912810PW27</t>
  </si>
  <si>
    <t>15/02/2038</t>
  </si>
  <si>
    <t>US TREASURY 8/4</t>
  </si>
  <si>
    <t>US912810TK43</t>
  </si>
  <si>
    <t>15/08/2042</t>
  </si>
  <si>
    <t>ממשלתי צמוד 841</t>
  </si>
  <si>
    <t>IL0011205833</t>
  </si>
  <si>
    <t>30/08/2041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</si>
  <si>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</si>
  <si>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</si>
  <si>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</si>
  <si>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</si>
  <si>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</si>
  <si>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</si>
  <si>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</si>
  <si>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</si>
  <si>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</si>
  <si>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</si>
  <si>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</si>
  <si>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</si>
  <si>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</si>
  <si>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</si>
  <si>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</si>
  <si>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</si>
  <si>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</si>
  <si>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</si>
  <si>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</si>
  <si>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</si>
  <si>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</si>
  <si>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</si>
  <si>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</si>
  <si>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</si>
  <si>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</si>
  <si>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</si>
  <si>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</si>
  <si>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</si>
  <si>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</si>
  <si>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</si>
  <si>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</si>
  <si>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</si>
  <si>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</si>
  <si>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</si>
  <si>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</si>
  <si>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</si>
  <si>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</si>
  <si>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</si>
  <si>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</si>
  <si>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</si>
  <si>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</si>
  <si>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</si>
  <si>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</si>
  <si>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</si>
  <si>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</si>
  <si>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</si>
  <si>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נדלן בית מעיא</t>
  </si>
  <si>
    <t>נדל"ן מניב</t>
  </si>
  <si>
    <t>30/06/2022</t>
  </si>
  <si>
    <t>אחר</t>
  </si>
  <si>
    <t xml:space="preserve">דרך מנחם בגין 74 תל אביב </t>
  </si>
  <si>
    <t>מעריך שווי חיצוני בלתי תלוי</t>
  </si>
  <si>
    <t>15/01/2024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</si>
  <si>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</si>
  <si>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</si>
  <si>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</si>
  <si>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</si>
  <si>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</si>
  <si>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</si>
  <si>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מזרחי</t>
  </si>
  <si>
    <t>20-444</t>
  </si>
  <si>
    <t>סימול בנק</t>
  </si>
  <si>
    <t>נקוב במט"ח</t>
  </si>
  <si>
    <t>02/04/2025</t>
  </si>
  <si>
    <t>AAA</t>
  </si>
  <si>
    <t>S&amp;P מעלות</t>
  </si>
  <si>
    <t>16/12/2024</t>
  </si>
  <si>
    <t>03/08/2024</t>
  </si>
  <si>
    <t>05/07/2024</t>
  </si>
  <si>
    <t>בנק לאומי לישראל בע"מ</t>
  </si>
  <si>
    <t>10-800</t>
  </si>
  <si>
    <t>צמוד למט"ח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</si>
  <si>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</si>
  <si>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</si>
  <si>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</si>
  <si>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</si>
  <si>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</si>
  <si>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</si>
  <si>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</si>
  <si>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</si>
  <si>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</si>
  <si>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</si>
  <si>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</si>
  <si>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</si>
  <si>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</si>
  <si>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</si>
  <si>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</si>
  <si>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</si>
  <si>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</si>
  <si>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</si>
  <si>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</si>
  <si>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</si>
  <si>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</si>
  <si>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</si>
  <si>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</si>
  <si>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</si>
  <si>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</si>
  <si>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</si>
  <si>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</si>
  <si>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</si>
  <si>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</si>
  <si>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</si>
  <si>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</si>
  <si>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</si>
  <si>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</si>
  <si>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</si>
  <si>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</si>
  <si>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</si>
  <si>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</si>
  <si>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</si>
  <si>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</si>
  <si>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</si>
  <si>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</si>
  <si>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</si>
  <si>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</si>
  <si>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</si>
  <si>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</si>
  <si>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</si>
  <si>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</si>
  <si>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</si>
  <si>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</si>
  <si>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</si>
  <si>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</si>
  <si>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</si>
  <si>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</si>
  <si>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</si>
  <si>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</si>
  <si>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</si>
  <si>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</si>
  <si>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</si>
  <si>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</si>
  <si>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</si>
  <si>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</si>
  <si>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</si>
  <si>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</si>
  <si>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</si>
  <si>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</si>
  <si>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</si>
  <si>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</si>
  <si>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</si>
  <si>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</si>
  <si>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</si>
  <si>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</si>
  <si>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</si>
  <si>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</si>
  <si>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</si>
  <si>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</si>
  <si>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</si>
  <si>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</si>
  <si>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</si>
  <si>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</si>
  <si>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</si>
  <si>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</si>
  <si>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</si>
  <si>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</si>
  <si>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</si>
  <si>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</si>
  <si>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</si>
  <si>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</si>
  <si>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</si>
  <si>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</si>
  <si>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</si>
  <si>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</si>
  <si>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</si>
  <si>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</si>
  <si>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</si>
  <si>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</si>
  <si>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</si>
  <si>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</si>
  <si>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</si>
  <si>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</si>
  <si>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</si>
  <si>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</si>
  <si>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</si>
  <si>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</si>
  <si>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</si>
  <si>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</si>
  <si>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</si>
  <si>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</si>
  <si>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</si>
  <si>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</si>
  <si>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</si>
  <si>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</si>
  <si>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</si>
  <si>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</si>
  <si>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</si>
  <si>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</si>
  <si>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</si>
  <si>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</si>
  <si>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</si>
  <si>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</si>
  <si>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</si>
  <si>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</si>
  <si>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</si>
  <si>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</si>
  <si>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</si>
  <si>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</si>
  <si>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</si>
  <si>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</si>
  <si>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</si>
  <si>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</si>
  <si>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</si>
  <si>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</si>
  <si>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</si>
  <si>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</si>
  <si>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</si>
  <si>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</si>
  <si>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</si>
  <si>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</si>
  <si>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</si>
  <si>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</si>
  <si>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</si>
  <si>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</si>
  <si>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</si>
  <si>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</si>
  <si>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</si>
  <si>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</si>
  <si>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</si>
  <si>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</si>
  <si>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</si>
  <si>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</si>
  <si>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</si>
  <si>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</si>
  <si>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</si>
  <si>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</si>
  <si>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</si>
  <si>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</si>
  <si>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</si>
  <si>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</si>
  <si>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</si>
  <si>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</si>
  <si>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</si>
  <si>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</si>
  <si>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</si>
  <si>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</si>
  <si>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</si>
  <si>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</si>
  <si>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</si>
  <si>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</si>
  <si>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</si>
  <si>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</si>
  <si>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</si>
  <si>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</si>
  <si>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</si>
  <si>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</si>
  <si>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</si>
  <si>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</si>
  <si>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</si>
  <si>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</si>
  <si>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</si>
  <si>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</si>
  <si>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</si>
  <si>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</si>
  <si>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</si>
  <si>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</si>
  <si>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</si>
  <si>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</si>
  <si>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</si>
  <si>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</si>
  <si>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</si>
  <si>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</si>
  <si>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</si>
  <si>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</si>
  <si>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</si>
  <si>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</si>
  <si>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</si>
  <si>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</si>
  <si>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</si>
  <si>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</si>
  <si>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</si>
  <si>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</si>
  <si>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</si>
  <si>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</si>
  <si>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</si>
  <si>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</si>
  <si>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</si>
  <si>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</si>
  <si>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</si>
  <si>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</si>
  <si>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</si>
  <si>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</si>
  <si>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</si>
  <si>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</si>
  <si>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</si>
  <si>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</si>
  <si>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</si>
  <si>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</si>
  <si>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</si>
  <si>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</si>
  <si>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</si>
  <si>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</si>
  <si>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</si>
  <si>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</si>
  <si>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</si>
  <si>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</si>
  <si>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</si>
  <si>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</si>
  <si>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</si>
  <si>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</si>
  <si>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</si>
  <si>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</si>
  <si>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</si>
  <si>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</si>
  <si>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</si>
  <si>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</si>
  <si>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</si>
  <si>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</si>
  <si>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</si>
  <si>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</si>
  <si>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</si>
  <si>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</si>
  <si>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</si>
  <si>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</si>
  <si>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</si>
  <si>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</si>
  <si>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</si>
  <si>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</si>
  <si>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</si>
  <si>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</si>
  <si>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</si>
  <si>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</si>
  <si>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</si>
  <si>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</si>
  <si>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</si>
  <si>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</si>
  <si>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</si>
  <si>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</si>
  <si>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</si>
  <si>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</si>
  <si>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</si>
  <si>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</si>
  <si>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</si>
  <si>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</si>
  <si>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</si>
  <si>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</si>
  <si>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</si>
  <si>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</si>
  <si>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</si>
  <si>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</si>
  <si>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</si>
  <si>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</si>
  <si>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</si>
  <si>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</si>
  <si>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</si>
  <si>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</si>
  <si>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</si>
  <si>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</si>
  <si>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</si>
  <si>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</si>
  <si>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</si>
  <si>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</si>
  <si>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</si>
  <si>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</si>
  <si>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</si>
  <si>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</si>
  <si>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</si>
  <si>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</si>
  <si>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</si>
  <si>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</si>
  <si>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</si>
  <si>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</si>
  <si>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</si>
  <si>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</si>
  <si>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</si>
  <si>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</si>
  <si>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</si>
  <si>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</si>
  <si>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</si>
  <si>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</si>
  <si>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</si>
  <si>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</si>
  <si>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</si>
  <si>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</si>
  <si>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</si>
  <si>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</si>
  <si>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</si>
  <si>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</si>
  <si>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</si>
  <si>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</si>
  <si>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</si>
  <si>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</si>
  <si>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</si>
  <si>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</si>
  <si>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</si>
  <si>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</si>
  <si>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</si>
  <si>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</si>
  <si>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</si>
  <si>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</si>
  <si>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</si>
  <si>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</si>
  <si>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</si>
  <si>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</si>
  <si>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</si>
  <si>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</si>
  <si>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</si>
  <si>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</si>
  <si>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</si>
  <si>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</si>
  <si>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</si>
  <si>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</si>
  <si>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</si>
  <si>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</si>
  <si>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</si>
  <si>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</si>
  <si>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</si>
  <si>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</si>
  <si>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</si>
  <si>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</si>
  <si>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</si>
  <si>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</si>
  <si>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</si>
  <si>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</si>
  <si>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</si>
  <si>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</si>
  <si>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</si>
  <si>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</si>
  <si>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</si>
  <si>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</si>
  <si>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</si>
  <si>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</si>
  <si>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</si>
  <si>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</si>
  <si>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</si>
  <si>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</si>
  <si>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</si>
  <si>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</si>
  <si>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</si>
  <si>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</si>
  <si>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</si>
  <si>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</si>
  <si>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</si>
  <si>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</si>
  <si>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</si>
  <si>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</si>
  <si>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</si>
  <si>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</si>
  <si>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</si>
  <si>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</si>
  <si>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</si>
  <si>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</si>
  <si>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</si>
  <si>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</si>
  <si>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</si>
  <si>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</si>
  <si>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</si>
  <si>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</si>
  <si>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</si>
  <si>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</si>
  <si>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</si>
  <si>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</si>
  <si>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</si>
  <si>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</si>
  <si>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</si>
  <si>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</si>
  <si>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</si>
  <si>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</si>
  <si>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</si>
  <si>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</si>
  <si>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</si>
  <si>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</si>
  <si>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</si>
  <si>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</si>
  <si>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</si>
  <si>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</si>
  <si>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</si>
  <si>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</si>
  <si>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</si>
  <si>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</si>
  <si>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</si>
  <si>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</si>
  <si>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</si>
  <si>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</si>
  <si>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</si>
  <si>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</si>
  <si>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</si>
  <si>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</si>
  <si>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</si>
  <si>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</si>
  <si>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</si>
  <si>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</si>
  <si>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</si>
  <si>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</si>
  <si>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</si>
  <si>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</si>
  <si>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</si>
  <si>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</si>
  <si>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</si>
  <si>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</si>
  <si>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</si>
  <si>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</si>
  <si>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</si>
  <si>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</si>
  <si>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</si>
  <si>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</si>
  <si>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</si>
  <si>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</si>
  <si>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</si>
  <si>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</si>
  <si>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</si>
  <si>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</si>
  <si>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</si>
  <si>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</si>
  <si>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</si>
  <si>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</si>
  <si>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</si>
  <si>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</si>
  <si>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</si>
  <si>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</si>
  <si>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</si>
  <si>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</si>
  <si>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</si>
  <si>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</si>
  <si>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</si>
  <si>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</si>
  <si>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</si>
  <si>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</si>
  <si>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</si>
  <si>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</si>
  <si>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</si>
  <si>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</si>
  <si>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</si>
  <si>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</si>
  <si>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</si>
  <si>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</si>
  <si>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</si>
  <si>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</si>
  <si>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</si>
  <si>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</si>
  <si>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</si>
  <si>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</si>
  <si>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</si>
  <si>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</si>
  <si>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</si>
  <si>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</si>
  <si>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</si>
  <si>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</si>
  <si>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</si>
  <si>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</si>
  <si>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</si>
  <si>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</si>
  <si>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</si>
  <si>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</si>
  <si>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</si>
  <si>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</si>
  <si>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</si>
  <si>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</si>
  <si>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</si>
  <si>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</si>
  <si>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</si>
  <si>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</si>
  <si>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</si>
  <si>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</si>
  <si>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</si>
  <si>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</si>
  <si>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</si>
  <si>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</si>
  <si>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</si>
  <si>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</si>
  <si>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</si>
  <si>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</si>
  <si>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</si>
  <si>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</si>
  <si>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</si>
  <si>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</si>
  <si>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</si>
  <si>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</si>
  <si>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</si>
  <si>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</si>
  <si>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</si>
  <si>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</si>
  <si>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</si>
  <si>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</si>
  <si>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</si>
  <si>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</si>
  <si>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</si>
  <si>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</si>
  <si>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</si>
  <si>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</si>
  <si>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</si>
  <si>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</si>
  <si>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</si>
  <si>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</si>
  <si>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</si>
  <si>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</si>
  <si>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</si>
  <si>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</si>
  <si>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</si>
  <si>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</si>
  <si>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</si>
  <si>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</si>
  <si>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</si>
  <si>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</si>
  <si>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</si>
  <si>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</si>
  <si>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</si>
  <si>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</si>
  <si>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</si>
  <si>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</si>
  <si>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</si>
  <si>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</si>
  <si>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</si>
  <si>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</si>
  <si>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</si>
  <si>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</si>
  <si>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</si>
  <si>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</si>
  <si>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</si>
  <si>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</si>
  <si>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</si>
  <si>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</si>
  <si>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</si>
  <si>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</si>
  <si>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</si>
  <si>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</si>
  <si>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</si>
  <si>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</si>
  <si>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</si>
  <si>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</si>
  <si>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</si>
  <si>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</si>
  <si>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</si>
  <si>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</si>
  <si>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</si>
  <si>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</si>
  <si>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</si>
  <si>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</si>
  <si>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</si>
  <si>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</si>
  <si>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</si>
  <si>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</si>
  <si>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</si>
  <si>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</si>
  <si>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</si>
  <si>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</si>
  <si>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</si>
  <si>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</si>
  <si>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</si>
  <si>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</si>
  <si>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</si>
  <si>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</si>
  <si>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</si>
  <si>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</si>
  <si>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</si>
  <si>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</si>
  <si>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</si>
  <si>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</si>
  <si>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</si>
  <si>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</si>
  <si>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</si>
  <si>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</si>
  <si>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</si>
  <si>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</si>
  <si>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</si>
  <si>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</si>
  <si>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</si>
  <si>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</si>
  <si>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</si>
  <si>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</si>
  <si>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</si>
  <si>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</si>
  <si>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</si>
  <si>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</si>
  <si>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</si>
  <si>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</si>
  <si>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</si>
  <si>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</si>
  <si>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</si>
  <si>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</si>
  <si>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</si>
  <si>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</si>
  <si>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</si>
  <si>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</si>
  <si>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</si>
  <si>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</si>
  <si>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</si>
  <si>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</si>
  <si>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</si>
  <si>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</si>
  <si>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</si>
  <si>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</si>
  <si>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</si>
  <si>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</si>
  <si>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</si>
  <si>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</si>
  <si>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</si>
  <si>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</si>
  <si>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</si>
  <si>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</si>
  <si>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</si>
  <si>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</si>
  <si>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</si>
  <si>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</si>
  <si>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</si>
  <si>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</si>
  <si>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</si>
  <si>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</si>
  <si>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</si>
  <si>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</si>
  <si>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</si>
  <si>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</si>
  <si>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</si>
  <si>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</si>
  <si>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</si>
  <si>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</si>
  <si>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</si>
  <si>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</si>
  <si>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</si>
  <si>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</si>
  <si>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</si>
  <si>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</si>
  <si>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</si>
  <si>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</si>
  <si>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</si>
  <si>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</si>
  <si>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</si>
  <si>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</si>
  <si>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</si>
  <si>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</si>
  <si>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</si>
  <si>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</si>
  <si>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</si>
  <si>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</si>
  <si>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</si>
  <si>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</si>
  <si>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</si>
  <si>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</si>
  <si>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</si>
  <si>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</si>
  <si>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</si>
  <si>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</si>
  <si>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</si>
  <si>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</si>
  <si>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</si>
  <si>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</si>
  <si>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</si>
  <si>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</si>
  <si>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</si>
  <si>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</si>
  <si>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</si>
  <si>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</si>
  <si>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</si>
  <si>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</si>
  <si>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</si>
  <si>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</si>
  <si>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</si>
  <si>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</si>
  <si>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</si>
  <si>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</si>
  <si>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</si>
  <si>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</si>
  <si>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</si>
  <si>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</si>
  <si>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</si>
  <si>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</si>
  <si>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</si>
  <si>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</si>
  <si>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</si>
  <si>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</si>
  <si>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</si>
  <si>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</si>
  <si>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</si>
  <si>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</si>
  <si>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</si>
  <si>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</si>
  <si>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</si>
  <si>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</si>
  <si>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</si>
  <si>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</si>
  <si>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</si>
  <si>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</si>
  <si>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</si>
  <si>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</si>
  <si>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</si>
  <si>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</si>
  <si>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</si>
  <si>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</si>
  <si>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</si>
  <si>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</si>
  <si>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</si>
  <si>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</si>
  <si>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</si>
  <si>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</si>
  <si>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</si>
  <si>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</si>
  <si>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</si>
  <si>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</si>
  <si>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</si>
  <si>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</si>
  <si>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</si>
  <si>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</si>
  <si>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</si>
  <si>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</si>
  <si>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</si>
  <si>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</si>
  <si>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</si>
  <si>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</si>
  <si>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</si>
  <si>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</si>
  <si>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</si>
  <si>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</si>
  <si>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</si>
  <si>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</si>
  <si>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</si>
  <si>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</si>
  <si>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</si>
  <si>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</si>
  <si>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</si>
  <si>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</si>
  <si>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</si>
  <si>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</si>
  <si>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</si>
  <si>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</si>
  <si>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</si>
  <si>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</si>
  <si>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</si>
  <si>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</si>
  <si>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</si>
  <si>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</si>
  <si>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</si>
  <si>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</si>
  <si>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</si>
  <si>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</si>
  <si>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</si>
  <si>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</si>
  <si>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</si>
  <si>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</si>
  <si>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</si>
  <si>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</si>
  <si>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</si>
  <si>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</si>
  <si>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</si>
  <si>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</si>
  <si>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</si>
  <si>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</si>
  <si>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</si>
  <si>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</si>
  <si>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</si>
  <si>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</si>
  <si>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</si>
  <si>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</si>
  <si>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</si>
  <si>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</si>
  <si>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</si>
  <si>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</si>
  <si>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</si>
  <si>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</si>
  <si>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</si>
  <si>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</si>
  <si>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</si>
  <si>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</si>
  <si>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</si>
  <si>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</si>
  <si>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</si>
  <si>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</si>
  <si>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</si>
  <si>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</si>
  <si>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</si>
  <si>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מט"ח בריבית משתנה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</si>
  <si>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</si>
  <si>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</si>
  <si>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</si>
  <si>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</si>
  <si>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</si>
  <si>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</si>
  <si>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</si>
  <si>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</si>
  <si>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</si>
  <si>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</si>
  <si>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</si>
  <si>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</si>
  <si>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</si>
  <si>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</si>
  <si>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</si>
  <si>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</si>
  <si>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</si>
  <si>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</si>
  <si>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</si>
  <si>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</si>
  <si>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</si>
  <si>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</si>
  <si>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</si>
  <si>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</si>
  <si>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</si>
  <si>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</si>
  <si>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</si>
  <si>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</si>
  <si>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</si>
  <si>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</si>
  <si>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</si>
  <si>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</si>
  <si>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</si>
  <si>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</si>
  <si>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</si>
  <si>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</si>
  <si>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</si>
  <si>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</si>
  <si>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</si>
  <si>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</si>
  <si>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</si>
  <si>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</si>
  <si>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</si>
  <si>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</si>
  <si>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</si>
  <si>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</si>
  <si>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</si>
  <si>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</si>
  <si>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</si>
  <si>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</si>
  <si>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</si>
  <si>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</si>
  <si>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</si>
  <si>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</si>
  <si>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</si>
  <si>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</si>
  <si>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</si>
  <si>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</si>
  <si>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</si>
  <si>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</si>
  <si>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</si>
  <si>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</si>
  <si>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</si>
  <si>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</si>
  <si>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</si>
  <si>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</si>
  <si>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</si>
  <si>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</si>
  <si>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</si>
  <si>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</si>
  <si>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</si>
  <si>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</si>
  <si>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</si>
  <si>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</si>
  <si>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</si>
  <si>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</si>
  <si>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</si>
  <si>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</si>
  <si>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</si>
  <si>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</si>
  <si>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</si>
  <si>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</si>
  <si>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</si>
  <si>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</si>
  <si>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</si>
  <si>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</si>
  <si>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</si>
  <si>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</si>
  <si>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</si>
  <si>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</si>
  <si>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</si>
  <si>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</si>
  <si>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</si>
  <si>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</si>
  <si>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</si>
  <si>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</si>
  <si>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</si>
  <si>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</si>
  <si>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</si>
  <si>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</si>
  <si>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</si>
  <si>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</si>
  <si>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</si>
  <si>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</si>
  <si>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</si>
  <si>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</si>
  <si>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</si>
  <si>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</si>
  <si>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</si>
  <si>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</si>
  <si>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</si>
  <si>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</si>
  <si>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</si>
  <si>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</si>
  <si>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</si>
  <si>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</si>
  <si>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</si>
  <si>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</si>
  <si>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</si>
  <si>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</si>
  <si>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</si>
  <si>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</si>
  <si>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</si>
  <si>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</si>
  <si>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</si>
  <si>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</si>
  <si>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</si>
  <si>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</si>
  <si>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</si>
  <si>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</si>
  <si>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</si>
  <si>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</si>
  <si>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</si>
  <si>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</si>
  <si>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</si>
  <si>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</si>
  <si>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</si>
  <si>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</si>
  <si>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</si>
  <si>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</si>
  <si>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</si>
  <si>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</si>
  <si>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</si>
  <si>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</si>
  <si>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</si>
  <si>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</si>
  <si>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</si>
  <si>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</si>
  <si>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</si>
  <si>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</si>
  <si>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</si>
  <si>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</si>
  <si>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</si>
  <si>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</si>
  <si>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</si>
  <si>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</si>
  <si>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</si>
  <si>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</si>
  <si>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</si>
  <si>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</si>
  <si>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</si>
  <si>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</si>
  <si>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</si>
  <si>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</si>
  <si>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</si>
  <si>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</si>
  <si>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</si>
  <si>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</si>
  <si>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</si>
  <si>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</si>
  <si>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</si>
  <si>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</si>
  <si>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</si>
  <si>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</si>
  <si>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</si>
  <si>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</si>
  <si>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</si>
  <si>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</si>
  <si>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</si>
  <si>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</si>
  <si>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</si>
  <si>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</si>
  <si>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</si>
  <si>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</si>
  <si>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</si>
  <si>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</si>
  <si>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</si>
  <si>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</si>
  <si>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</si>
  <si>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</si>
  <si>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</si>
  <si>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</si>
  <si>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</si>
  <si>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</si>
  <si>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</si>
  <si>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</si>
  <si>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</si>
  <si>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</si>
  <si>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</si>
  <si>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</si>
  <si>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</si>
  <si>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</si>
  <si>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</si>
  <si>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</si>
  <si>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</si>
  <si>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</si>
  <si>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</si>
  <si>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</si>
  <si>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</si>
  <si>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</si>
  <si>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</si>
  <si>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AUD</t>
  </si>
  <si>
    <t>HKD</t>
  </si>
  <si>
    <t>GBP</t>
  </si>
  <si>
    <t>SGD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</si>
  <si>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</si>
  <si>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</si>
  <si>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</si>
  <si>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</si>
  <si>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</si>
  <si>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</si>
  <si>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</si>
  <si>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</si>
  <si>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</si>
  <si>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</si>
  <si>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</si>
  <si>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</si>
  <si>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</si>
  <si>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</si>
  <si>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</si>
  <si>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</si>
  <si>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</si>
  <si>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</si>
  <si>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</si>
  <si>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</si>
  <si>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</si>
  <si>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</si>
  <si>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</si>
  <si>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</si>
  <si>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</si>
  <si>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</si>
  <si>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</si>
  <si>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</si>
  <si>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</si>
  <si>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</si>
  <si>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</si>
  <si>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</si>
  <si>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</si>
  <si>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</si>
  <si>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</si>
  <si>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</si>
  <si>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</si>
  <si>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</si>
  <si>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</si>
  <si>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</si>
  <si>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</si>
  <si>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</si>
  <si>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</si>
  <si>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</si>
  <si>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</si>
  <si>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</si>
  <si>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</si>
  <si>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</si>
  <si>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</si>
  <si>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</si>
  <si>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</si>
  <si>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</si>
  <si>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</si>
  <si>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</si>
  <si>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</si>
  <si>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</si>
  <si>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</si>
  <si>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</si>
  <si>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</si>
  <si>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</si>
  <si>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</si>
  <si>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</si>
  <si>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</si>
  <si>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</si>
  <si>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</si>
  <si>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</si>
  <si>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</si>
  <si>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</si>
  <si>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</si>
  <si>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</si>
  <si>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</si>
  <si>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</si>
  <si>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</si>
  <si>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</si>
  <si>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</si>
  <si>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</si>
  <si>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</si>
  <si>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</si>
  <si>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</si>
  <si>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</si>
  <si>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</si>
  <si>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</si>
  <si>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</si>
  <si>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</si>
  <si>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</si>
  <si>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</si>
  <si>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</si>
  <si>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</si>
  <si>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</si>
  <si>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</si>
  <si>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</si>
  <si>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</si>
  <si>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</si>
  <si>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</si>
  <si>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</si>
  <si>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</si>
  <si>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</si>
  <si>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</si>
  <si>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</si>
  <si>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</si>
  <si>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</si>
  <si>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</si>
  <si>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</si>
  <si>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</si>
  <si>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</si>
  <si>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</si>
  <si>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</si>
  <si>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</si>
  <si>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</si>
  <si>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</si>
  <si>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</si>
  <si>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</si>
  <si>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</si>
  <si>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13711</t>
  </si>
  <si>
    <t>58362525</t>
  </si>
  <si>
    <t xml:space="preserve">XNDX 23680.39            </t>
  </si>
  <si>
    <t>30/05/24</t>
  </si>
  <si>
    <t>30/05/25</t>
  </si>
  <si>
    <t>0</t>
  </si>
  <si>
    <t>לאומי</t>
  </si>
  <si>
    <t>58367969</t>
  </si>
  <si>
    <t>30/08/24</t>
  </si>
  <si>
    <t>7206</t>
  </si>
  <si>
    <t>54855115</t>
  </si>
  <si>
    <t xml:space="preserve">SPTR 11907.15            </t>
  </si>
  <si>
    <t>10/01/24</t>
  </si>
  <si>
    <t>08/01/25</t>
  </si>
  <si>
    <t>58362523</t>
  </si>
  <si>
    <t>58367967</t>
  </si>
  <si>
    <t>7207</t>
  </si>
  <si>
    <t>54855116</t>
  </si>
  <si>
    <t>58362524</t>
  </si>
  <si>
    <t>58367968</t>
  </si>
  <si>
    <t>7205</t>
  </si>
  <si>
    <t>50659067</t>
  </si>
  <si>
    <t xml:space="preserve">HSI 1 59714.34           </t>
  </si>
  <si>
    <t>19/07/23</t>
  </si>
  <si>
    <t>19/07/24</t>
  </si>
  <si>
    <t>52113010</t>
  </si>
  <si>
    <t>13/09/23</t>
  </si>
  <si>
    <t>13/09/24</t>
  </si>
  <si>
    <t>53398557</t>
  </si>
  <si>
    <t>07/11/23</t>
  </si>
  <si>
    <t>06/11/24</t>
  </si>
  <si>
    <t>53560577</t>
  </si>
  <si>
    <t xml:space="preserve">NDUEEGF 573.789          </t>
  </si>
  <si>
    <t>16/11/23</t>
  </si>
  <si>
    <t>13/11/24</t>
  </si>
  <si>
    <t>53564883</t>
  </si>
  <si>
    <t>14/11/23</t>
  </si>
  <si>
    <t>53849509</t>
  </si>
  <si>
    <t xml:space="preserve">AS51T 99807.75           </t>
  </si>
  <si>
    <t>23/11/23</t>
  </si>
  <si>
    <t>27/11/24</t>
  </si>
  <si>
    <t>58514948</t>
  </si>
  <si>
    <t>05/06/24</t>
  </si>
  <si>
    <t>04/06/25</t>
  </si>
  <si>
    <t>54855114</t>
  </si>
  <si>
    <t>55501715</t>
  </si>
  <si>
    <t xml:space="preserve">RU20INTR 10999.87        </t>
  </si>
  <si>
    <t>07/02/24</t>
  </si>
  <si>
    <t>05/02/25</t>
  </si>
  <si>
    <t>56218465</t>
  </si>
  <si>
    <t xml:space="preserve">DAX 18235.45             </t>
  </si>
  <si>
    <t>05/03/24</t>
  </si>
  <si>
    <t>04/03/25</t>
  </si>
  <si>
    <t>58362522</t>
  </si>
  <si>
    <t>58367966</t>
  </si>
  <si>
    <t>58514300</t>
  </si>
  <si>
    <t>05/09/24</t>
  </si>
  <si>
    <t>556</t>
  </si>
  <si>
    <t>52113009</t>
  </si>
  <si>
    <t>53398556</t>
  </si>
  <si>
    <t>53560576</t>
  </si>
  <si>
    <t>53564882</t>
  </si>
  <si>
    <t>53849510</t>
  </si>
  <si>
    <t>54855113</t>
  </si>
  <si>
    <t>58514947</t>
  </si>
  <si>
    <t>55501714</t>
  </si>
  <si>
    <t>56218464</t>
  </si>
  <si>
    <t>58362521</t>
  </si>
  <si>
    <t>58367965</t>
  </si>
  <si>
    <t>58514299</t>
  </si>
  <si>
    <t>50659066</t>
  </si>
  <si>
    <t>510960586</t>
  </si>
  <si>
    <t>ח.פ</t>
  </si>
  <si>
    <t>הלוואות עמיתים</t>
  </si>
  <si>
    <t>300081080</t>
  </si>
  <si>
    <t xml:space="preserve">תשתיות (שלב הבניה)  - </t>
  </si>
  <si>
    <t>AA+</t>
  </si>
  <si>
    <t>other</t>
  </si>
  <si>
    <t>30/06/2024</t>
  </si>
  <si>
    <t>שווי הוגן (בש"ח)</t>
  </si>
  <si>
    <t>מגדל קרנות נאמנות בע"מ</t>
  </si>
  <si>
    <t>511303661</t>
  </si>
  <si>
    <t>MTF סל (S&amp;P 500 (4D</t>
  </si>
  <si>
    <t>IL0011503336</t>
  </si>
  <si>
    <t>מניות בחו"ל חשופות מט"ח</t>
  </si>
  <si>
    <t>Russ2000.MTF</t>
  </si>
  <si>
    <t>IL0011502429</t>
  </si>
  <si>
    <t xml:space="preserve">מניות בחו"ל משולבת </t>
  </si>
  <si>
    <t>הראל קרנות נאמנות בע"מ</t>
  </si>
  <si>
    <t>511776783</t>
  </si>
  <si>
    <t>הראל סל DowJones IA</t>
  </si>
  <si>
    <t>IL0011492282</t>
  </si>
  <si>
    <t>State Street Corp</t>
  </si>
  <si>
    <t>07F5H7W3ET8ZLWNMFP29</t>
  </si>
  <si>
    <t>CONSUMER STAPLE</t>
  </si>
  <si>
    <t>US81369Y3080</t>
  </si>
  <si>
    <t>FINANCIAL SELEC</t>
  </si>
  <si>
    <t>US81369Y6059</t>
  </si>
  <si>
    <t>HEALTH CARE SEL</t>
  </si>
  <si>
    <t>US81369Y2090</t>
  </si>
  <si>
    <t>Invesco investment management limited</t>
  </si>
  <si>
    <t>549300FEA3DT84FOZ304</t>
  </si>
  <si>
    <t>INVESCO NASDAQ</t>
  </si>
  <si>
    <t>US46138G6492</t>
  </si>
  <si>
    <t xml:space="preserve">BlackRock  Asset Managment </t>
  </si>
  <si>
    <t>5493004330BCAPB3GT42</t>
  </si>
  <si>
    <t>ISHARES CORE EM</t>
  </si>
  <si>
    <t>IE00BKM4GZ66</t>
  </si>
  <si>
    <t>LYXOR ETF</t>
  </si>
  <si>
    <t>213800VZW861M5FHMD50</t>
  </si>
  <si>
    <t>LYXOR CORE EURS</t>
  </si>
  <si>
    <t>LU0908500753</t>
  </si>
  <si>
    <t>Powershares  QQQ NAS1</t>
  </si>
  <si>
    <t>US73935A1043</t>
  </si>
  <si>
    <t>S&amp;P 500 SOURCE</t>
  </si>
  <si>
    <t>IE00B3YCGJ38</t>
  </si>
  <si>
    <t>SPDR S&amp;P BIOTEC</t>
  </si>
  <si>
    <t>US78464A8707</t>
  </si>
  <si>
    <t>מיטב קרנות נאמנות בע"מ</t>
  </si>
  <si>
    <t>513534974</t>
  </si>
  <si>
    <t>תכלית 500 PR P&amp;S</t>
  </si>
  <si>
    <t>IL0011443855</t>
  </si>
  <si>
    <t>אבגול תעשיות 1953 בע"מ</t>
  </si>
  <si>
    <t>510119068</t>
  </si>
  <si>
    <t>אבגול</t>
  </si>
  <si>
    <t>IL0011009573</t>
  </si>
  <si>
    <t>או.פי.סי. אנרגיה בע"מ</t>
  </si>
  <si>
    <t>514401702</t>
  </si>
  <si>
    <t>או פי סי אנרגיה</t>
  </si>
  <si>
    <t>IL0011415713</t>
  </si>
  <si>
    <t>אוברסיז קומרס בע"מ</t>
  </si>
  <si>
    <t>510490071</t>
  </si>
  <si>
    <t>אוברסיז</t>
  </si>
  <si>
    <t>IL0011396178</t>
  </si>
  <si>
    <t>אורביט-אלחוט טכנולוגיות בע"מ</t>
  </si>
  <si>
    <t>520036153</t>
  </si>
  <si>
    <t>אורביט</t>
  </si>
  <si>
    <t>IL0002650179</t>
  </si>
  <si>
    <t>אוריין ש.מ. בע"מ</t>
  </si>
  <si>
    <t>511068256</t>
  </si>
  <si>
    <t>אוריין</t>
  </si>
  <si>
    <t>IL0011035065</t>
  </si>
  <si>
    <t>אזורים-חברה להשקעות בפתוח ובבנין בע"מ</t>
  </si>
  <si>
    <t>520025990</t>
  </si>
  <si>
    <t>אזורים</t>
  </si>
  <si>
    <t>IL0007150118</t>
  </si>
  <si>
    <t>איי.די.איי. חברה לביטוח בע"מ</t>
  </si>
  <si>
    <t>513910703</t>
  </si>
  <si>
    <t>איידיאיי ביטוח</t>
  </si>
  <si>
    <t>IL0011295016</t>
  </si>
  <si>
    <t>אילקס מדיקל בע"מ</t>
  </si>
  <si>
    <t>520042219</t>
  </si>
  <si>
    <t>אילקס מדיקל</t>
  </si>
  <si>
    <t>IL0010807530</t>
  </si>
  <si>
    <t>אינרום תעשיות בנייה בע"מ</t>
  </si>
  <si>
    <t>515001659</t>
  </si>
  <si>
    <t>אינרום מחוג חסום 07/08/24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</si>
  <si>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</si>
  <si>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</si>
  <si>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</si>
  <si>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</si>
  <si>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</si>
  <si>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</si>
  <si>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</si>
  <si>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</si>
  <si>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</si>
  <si>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אלומיי קפיטל בע"מ</t>
  </si>
  <si>
    <t>520039868</t>
  </si>
  <si>
    <t>אלומיי קפיטל</t>
  </si>
  <si>
    <t>IL0010826357</t>
  </si>
  <si>
    <t>אלוני-חץ נכסים והשקעות בע"מ</t>
  </si>
  <si>
    <t>520038506</t>
  </si>
  <si>
    <t>אלוני חץ</t>
  </si>
  <si>
    <t>IL0003900136</t>
  </si>
  <si>
    <t>אלטשולר שחם פיננסים בע"מ</t>
  </si>
  <si>
    <t>516508603</t>
  </si>
  <si>
    <t>אלטשולר פיננסים</t>
  </si>
  <si>
    <t>IL0011849366</t>
  </si>
  <si>
    <t>אלקו בע"מ</t>
  </si>
  <si>
    <t>520025370</t>
  </si>
  <si>
    <t>אלקו החזקות</t>
  </si>
  <si>
    <t>IL0006940345</t>
  </si>
  <si>
    <t>אלקטרה נדל"ן בע"מ</t>
  </si>
  <si>
    <t>510607328</t>
  </si>
  <si>
    <t>אלקטרה נדלן</t>
  </si>
  <si>
    <t>IL0010940448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</si>
  <si>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</si>
  <si>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</si>
  <si>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</si>
  <si>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</si>
  <si>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</si>
  <si>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</si>
  <si>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</si>
  <si>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</si>
  <si>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</si>
  <si>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</si>
  <si>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</si>
  <si>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</si>
  <si>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</si>
  <si>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</si>
  <si>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</si>
  <si>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</si>
  <si>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אקויטל בע"מ</t>
  </si>
  <si>
    <t>520030859</t>
  </si>
  <si>
    <t>אקויטל</t>
  </si>
  <si>
    <t>IL0007550176</t>
  </si>
  <si>
    <t>אקונרג'י אנרגיה מתחדשת בע"מ</t>
  </si>
  <si>
    <t>516339777</t>
  </si>
  <si>
    <t>אקונרג'י</t>
  </si>
  <si>
    <t>IL0011783342</t>
  </si>
  <si>
    <t>ארד בע"מ</t>
  </si>
  <si>
    <t>510007800</t>
  </si>
  <si>
    <t>ארד</t>
  </si>
  <si>
    <t>IL0010916513</t>
  </si>
  <si>
    <t>ארי נדל"ן(ארנה) השקעות בע"מ</t>
  </si>
  <si>
    <t>520038332</t>
  </si>
  <si>
    <t>ארי נדלן</t>
  </si>
  <si>
    <t>IL0003660136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</si>
  <si>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</si>
  <si>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</si>
  <si>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</si>
  <si>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</si>
  <si>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</si>
  <si>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</si>
  <si>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</si>
  <si>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</si>
  <si>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</si>
  <si>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</si>
  <si>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</si>
  <si>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</si>
  <si>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גולן מוצרי פלסטיק בע"מ</t>
  </si>
  <si>
    <t>513029975</t>
  </si>
  <si>
    <t>גולן פלסטיק</t>
  </si>
  <si>
    <t>IL0010919335</t>
  </si>
  <si>
    <t>ג'י סיטי בע"מ</t>
  </si>
  <si>
    <t>520033234</t>
  </si>
  <si>
    <t>ג'י סיטי</t>
  </si>
  <si>
    <t>IL0001260111</t>
  </si>
  <si>
    <t>גילת רשתות לווין בע"מ</t>
  </si>
  <si>
    <t>520038936</t>
  </si>
  <si>
    <t>גילת</t>
  </si>
  <si>
    <t>IL0010825102</t>
  </si>
  <si>
    <t>גלאסבוקס בע"מ</t>
  </si>
  <si>
    <t>514525260</t>
  </si>
  <si>
    <t>גלאסבוקס</t>
  </si>
  <si>
    <t>IL0011762882</t>
  </si>
  <si>
    <t>גלוברנדס גרופ בע"מ</t>
  </si>
  <si>
    <t>515809499</t>
  </si>
  <si>
    <t>גלוברנדס</t>
  </si>
  <si>
    <t>IL0011474876</t>
  </si>
  <si>
    <t>גניגר מפעלי פלסטיק בע"מ</t>
  </si>
  <si>
    <t>512416991</t>
  </si>
  <si>
    <t>גניגר</t>
  </si>
  <si>
    <t>IL0010958929</t>
  </si>
  <si>
    <t>ג'נסל בע"מ</t>
  </si>
  <si>
    <t>514579887</t>
  </si>
  <si>
    <t>ג'נסל</t>
  </si>
  <si>
    <t>IL0011696890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</si>
  <si>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</si>
  <si>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</si>
  <si>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</si>
  <si>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</si>
  <si>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</si>
  <si>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</si>
  <si>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</si>
  <si>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</si>
  <si>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</si>
  <si>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</si>
  <si>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</si>
  <si>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</si>
  <si>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דלק מערכות רכב בע"מ</t>
  </si>
  <si>
    <t>520033291</t>
  </si>
  <si>
    <t>דלק רכב</t>
  </si>
  <si>
    <t>IL0008290103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</si>
  <si>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</si>
  <si>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</si>
  <si>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</si>
  <si>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</si>
  <si>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</si>
  <si>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</si>
  <si>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</si>
  <si>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</si>
  <si>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</si>
  <si>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</si>
  <si>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</si>
  <si>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</si>
  <si>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</si>
  <si>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</si>
  <si>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</si>
  <si>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</si>
  <si>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</si>
  <si>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</si>
  <si>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</si>
  <si>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</si>
  <si>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ויקטורי רשת סופרמרקטים בע"מ</t>
  </si>
  <si>
    <t>514068980</t>
  </si>
  <si>
    <t>ויקטורי</t>
  </si>
  <si>
    <t>IL0011237778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</si>
  <si>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</si>
  <si>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</si>
  <si>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</si>
  <si>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</si>
  <si>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</si>
  <si>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</si>
  <si>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</si>
  <si>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</si>
  <si>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</si>
  <si>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</si>
  <si>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</si>
  <si>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</si>
  <si>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ישראכרט בע"מ</t>
  </si>
  <si>
    <t>510706153</t>
  </si>
  <si>
    <t>ישראכרט</t>
  </si>
  <si>
    <t>IL0011574030</t>
  </si>
  <si>
    <t>ישראמקו נגב 2 שותפות מוגבלת</t>
  </si>
  <si>
    <t>550010003</t>
  </si>
  <si>
    <t>ישראמקו יהש</t>
  </si>
  <si>
    <t>IL0002320179</t>
  </si>
  <si>
    <t>כלל החזקות עסקי ביטוח בע"מ</t>
  </si>
  <si>
    <t>520036120</t>
  </si>
  <si>
    <t>כלל ביטוח</t>
  </si>
  <si>
    <t>IL0002240146</t>
  </si>
  <si>
    <t>520018078</t>
  </si>
  <si>
    <t>IL0006046119</t>
  </si>
  <si>
    <t>להב אל.אר רילאסטייט בעמ</t>
  </si>
  <si>
    <t>520034257</t>
  </si>
  <si>
    <t>להב</t>
  </si>
  <si>
    <t>IL0001360101</t>
  </si>
  <si>
    <t>לפידות קפיטל בעמ</t>
  </si>
  <si>
    <t>520022971</t>
  </si>
  <si>
    <t>לפידות קפיטל</t>
  </si>
  <si>
    <t>IL0006420173</t>
  </si>
  <si>
    <t>יוחננוף</t>
  </si>
  <si>
    <t>511344186</t>
  </si>
  <si>
    <t>מ. יוחננוף</t>
  </si>
  <si>
    <t>IL0011612640</t>
  </si>
  <si>
    <t>מבטח שמיר אחזקות בע"מ</t>
  </si>
  <si>
    <t>520034125</t>
  </si>
  <si>
    <t>מבטח שמיר</t>
  </si>
  <si>
    <t>IL0001270193</t>
  </si>
  <si>
    <t>מבנה נדל"ן (כ.ד)  בע"מ</t>
  </si>
  <si>
    <t>520024126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</si>
  <si>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</si>
  <si>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</si>
  <si>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</si>
  <si>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</si>
  <si>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</si>
  <si>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</si>
  <si>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מגה אור החזקות בע"מ</t>
  </si>
  <si>
    <t>513257873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</si>
  <si>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</si>
  <si>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</si>
  <si>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</si>
  <si>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</si>
  <si>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</si>
  <si>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</si>
  <si>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</si>
  <si>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</si>
  <si>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</si>
  <si>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</si>
  <si>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בנק מזרחי טפחות בע"מ</t>
  </si>
  <si>
    <t>520000522</t>
  </si>
  <si>
    <t>מזרחי טפחות</t>
  </si>
  <si>
    <t>IL0006954379</t>
  </si>
  <si>
    <t>קבוצת מיחשוב ישיר בע"מ</t>
  </si>
  <si>
    <t>520040007</t>
  </si>
  <si>
    <t>מחשוב ישיר קבוצה</t>
  </si>
  <si>
    <t>IL0005070128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</si>
  <si>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</si>
  <si>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</si>
  <si>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</si>
  <si>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</si>
  <si>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</si>
  <si>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</si>
  <si>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</si>
  <si>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</si>
  <si>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מלם-תים בע"מ</t>
  </si>
  <si>
    <t>520034620</t>
  </si>
  <si>
    <t>מלם תים</t>
  </si>
  <si>
    <t>IL0001560189</t>
  </si>
  <si>
    <t>מניבים קרן הריט החדשה בע"מ</t>
  </si>
  <si>
    <t>515327120</t>
  </si>
  <si>
    <t>מניבים ריט</t>
  </si>
  <si>
    <t>IL0011405730</t>
  </si>
  <si>
    <t>נאייקס בע"מ</t>
  </si>
  <si>
    <t>513639013</t>
  </si>
  <si>
    <t>נאייקס בעמ</t>
  </si>
  <si>
    <t>IL0011751166</t>
  </si>
  <si>
    <t>נובה מכשירי מדידה בע"מ</t>
  </si>
  <si>
    <t>511812463</t>
  </si>
  <si>
    <t>נובה</t>
  </si>
  <si>
    <t>IL0010845571</t>
  </si>
  <si>
    <t>נובולוג פארם אפ 1966 בע"מ</t>
  </si>
  <si>
    <t>510475312</t>
  </si>
  <si>
    <t>נובולוג</t>
  </si>
  <si>
    <t>IL0011401515</t>
  </si>
  <si>
    <t>נטו מלינדה סחר בע"מ</t>
  </si>
  <si>
    <t>511725459</t>
  </si>
  <si>
    <t>נטו מלינדה</t>
  </si>
  <si>
    <t>IL0011050973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</si>
  <si>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</si>
  <si>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</si>
  <si>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</si>
  <si>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</si>
  <si>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</si>
  <si>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</si>
  <si>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</si>
  <si>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</si>
  <si>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סאמיט אחזקות נדל"ן בע"מ</t>
  </si>
  <si>
    <t>520043720</t>
  </si>
  <si>
    <t>סאמיט</t>
  </si>
  <si>
    <t>IL0010816861</t>
  </si>
  <si>
    <t>סופווייב מדיקל בעמ</t>
  </si>
  <si>
    <t>515198158</t>
  </si>
  <si>
    <t>IL0011754392</t>
  </si>
  <si>
    <t>קבוצת עזריאלי בע"מ (לשעבר קנית מימון)</t>
  </si>
  <si>
    <t>510960719</t>
  </si>
  <si>
    <t>עזריאלי קבוצה</t>
  </si>
  <si>
    <t>IL0011194789</t>
  </si>
  <si>
    <t>ערד השקעות ופתוח תעשיה בע"מ</t>
  </si>
  <si>
    <t>520025198</t>
  </si>
  <si>
    <t>ערד</t>
  </si>
  <si>
    <t>IL0007310183</t>
  </si>
  <si>
    <t>בנק הפועלים בע"מ</t>
  </si>
  <si>
    <t>520000118</t>
  </si>
  <si>
    <t>פועלים</t>
  </si>
  <si>
    <t>IL0006625771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</si>
  <si>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</si>
  <si>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</si>
  <si>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</si>
  <si>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</si>
  <si>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</si>
  <si>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</si>
  <si>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</si>
  <si>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</si>
  <si>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</si>
  <si>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</si>
  <si>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</si>
  <si>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</si>
  <si>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</si>
  <si>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</si>
  <si>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</si>
  <si>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</si>
  <si>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פינרג'י בע"מ</t>
  </si>
  <si>
    <t>514354786</t>
  </si>
  <si>
    <t>פינרג'י</t>
  </si>
  <si>
    <t>IL0011723603</t>
  </si>
  <si>
    <t>פי.סי.בי. טכנולוגיות בע"מ</t>
  </si>
  <si>
    <t>511888356</t>
  </si>
  <si>
    <t>פיסיבי טכנולוגיות</t>
  </si>
  <si>
    <t>IL0010916851</t>
  </si>
  <si>
    <t>פלסאנמור בע"מ</t>
  </si>
  <si>
    <t>515139129</t>
  </si>
  <si>
    <t>פלסאנמור</t>
  </si>
  <si>
    <t>IL0011767006</t>
  </si>
  <si>
    <t>פלרם (1990) תעשיות בע"מ</t>
  </si>
  <si>
    <t>520039843</t>
  </si>
  <si>
    <t>פלרם</t>
  </si>
  <si>
    <t>IL0006440130</t>
  </si>
  <si>
    <t>חברת פרטנר תקשורת בע"מ</t>
  </si>
  <si>
    <t>520044314</t>
  </si>
  <si>
    <t>פרטנר</t>
  </si>
  <si>
    <t>IL0010834849</t>
  </si>
  <si>
    <t>פריורטק בע"מ</t>
  </si>
  <si>
    <t>520037797</t>
  </si>
  <si>
    <t>פריורטק</t>
  </si>
  <si>
    <t>IL0003280133</t>
  </si>
  <si>
    <t>פרשקובסקי השקעות ובניין בע"מ</t>
  </si>
  <si>
    <t>513817817</t>
  </si>
  <si>
    <t>פרשקובסקי</t>
  </si>
  <si>
    <t>IL0011021289</t>
  </si>
  <si>
    <t>קמטק בע"מ</t>
  </si>
  <si>
    <t>511235434</t>
  </si>
  <si>
    <t>קמטק</t>
  </si>
  <si>
    <t>IL0010952641</t>
  </si>
  <si>
    <t>kenon-holdings inc</t>
  </si>
  <si>
    <t>254900N5LVBX92GMVN72</t>
  </si>
  <si>
    <t>קנון</t>
  </si>
  <si>
    <t>SG9999012629</t>
  </si>
  <si>
    <t>קרור אחזקות בע"מ</t>
  </si>
  <si>
    <t>520001546</t>
  </si>
  <si>
    <t>קרור  1</t>
  </si>
  <si>
    <t>IL0006210111</t>
  </si>
  <si>
    <t>רבל אי.סי.אס. בע"מ</t>
  </si>
  <si>
    <t>513506329</t>
  </si>
  <si>
    <t>רבל</t>
  </si>
  <si>
    <t>IL0011038788</t>
  </si>
  <si>
    <t>ריטיילורס בע"מ</t>
  </si>
  <si>
    <t>514211457</t>
  </si>
  <si>
    <t>ריטיילורס</t>
  </si>
  <si>
    <t>IL0011754889</t>
  </si>
  <si>
    <t>רם-און השקעות והחזקות (1999) בע"מ</t>
  </si>
  <si>
    <t>512776964</t>
  </si>
  <si>
    <t>רם-און</t>
  </si>
  <si>
    <t>IL0010909435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</si>
  <si>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</si>
  <si>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</si>
  <si>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</si>
  <si>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</si>
  <si>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</si>
  <si>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</si>
  <si>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</si>
  <si>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</si>
  <si>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תאת טכנולוגיות בע"מ</t>
  </si>
  <si>
    <t>520035791</t>
  </si>
  <si>
    <t>תאת טכנולוגיות</t>
  </si>
  <si>
    <t>IL0010827264</t>
  </si>
  <si>
    <t>תורפז תעשיות בעמ</t>
  </si>
  <si>
    <t>514574524</t>
  </si>
  <si>
    <t>תורפז תעשיות</t>
  </si>
  <si>
    <t>IL0011756116</t>
  </si>
  <si>
    <t>JOHNSON &amp; JOHNSON</t>
  </si>
  <si>
    <t>549300G0CFPGEF6X2043</t>
  </si>
  <si>
    <t>JOHNSON AND JOHNSON</t>
  </si>
  <si>
    <t>US4781601046</t>
  </si>
  <si>
    <t>קורנית דיגיטל בע"מ</t>
  </si>
  <si>
    <t>513195420</t>
  </si>
  <si>
    <t>KORNIT DIGITAL</t>
  </si>
  <si>
    <t>IL0011216723</t>
  </si>
  <si>
    <t>Food &amp; Staples Retailing Consumer Staples Distribution &amp; Retail</t>
  </si>
  <si>
    <t>PFIZER INC</t>
  </si>
  <si>
    <t>765LHXWGK1KXCLTFYQ30</t>
  </si>
  <si>
    <t>US7170811035</t>
  </si>
  <si>
    <t>רדקום בע"מ</t>
  </si>
  <si>
    <t>520043456</t>
  </si>
  <si>
    <t>RADCOM LTD</t>
  </si>
  <si>
    <t>IL0010826688</t>
  </si>
  <si>
    <t>סולראדג' טכנולוגיות בע"מ</t>
  </si>
  <si>
    <t>5493000K6Y58XXPDF853</t>
  </si>
  <si>
    <t>SOLAREDGE</t>
  </si>
  <si>
    <t>US83417M1045</t>
  </si>
  <si>
    <t>אירטאץ סולאר בע"מ</t>
  </si>
  <si>
    <t>515509347</t>
  </si>
  <si>
    <t>איירטאץ סולאר בעמ</t>
  </si>
  <si>
    <t>IL0011733768</t>
  </si>
  <si>
    <t>אלקטרה פאוור (2019) בע"מ</t>
  </si>
  <si>
    <t>516077989</t>
  </si>
  <si>
    <t>אלקטרה פאוור</t>
  </si>
  <si>
    <t>IL0011669178</t>
  </si>
  <si>
    <t>ארן מחקר ופיתוח (1982) בע"מ</t>
  </si>
  <si>
    <t>510959596</t>
  </si>
  <si>
    <t>ארן</t>
  </si>
  <si>
    <t>IL0010852650</t>
  </si>
  <si>
    <t>מנועי בית שמש אחזקות (1997) בע"מ</t>
  </si>
  <si>
    <t>520043480</t>
  </si>
  <si>
    <t>בית שמש</t>
  </si>
  <si>
    <t>IL0010815616</t>
  </si>
  <si>
    <t>הייקון מערכות בע"מ</t>
  </si>
  <si>
    <t>514347160</t>
  </si>
  <si>
    <t>הייקון מערכות</t>
  </si>
  <si>
    <t>IL0011699456</t>
  </si>
  <si>
    <t>וילאר אינטרנשיונל בע"מ</t>
  </si>
  <si>
    <t>520038910</t>
  </si>
  <si>
    <t>וילאר</t>
  </si>
  <si>
    <t>IL0004160169</t>
  </si>
  <si>
    <t>ישרוטל בע"מ</t>
  </si>
  <si>
    <t>520042482</t>
  </si>
  <si>
    <t>ישרוטל</t>
  </si>
  <si>
    <t>IL0010809858</t>
  </si>
  <si>
    <t>ישרס חברה להשקעות בע"מ</t>
  </si>
  <si>
    <t>520017807</t>
  </si>
  <si>
    <t>ישרס אחזקות</t>
  </si>
  <si>
    <t>IL0012029778</t>
  </si>
  <si>
    <t>כפרית תעשיות (1993) בע"מ</t>
  </si>
  <si>
    <t>520038787</t>
  </si>
  <si>
    <t>כפרית</t>
  </si>
  <si>
    <t>IL0005220111</t>
  </si>
  <si>
    <t>515761625</t>
  </si>
  <si>
    <t>ליברה</t>
  </si>
  <si>
    <t>IL0011769812</t>
  </si>
  <si>
    <t>משק אנרגיה-אנרגיות מתחדשות בע"מ</t>
  </si>
  <si>
    <t>516167343</t>
  </si>
  <si>
    <t>משק אנרגיה</t>
  </si>
  <si>
    <t>IL0011669749</t>
  </si>
  <si>
    <t>ניסן תעשיות רפואיות בע"מ</t>
  </si>
  <si>
    <t>520040940</t>
  </si>
  <si>
    <t>ניסן</t>
  </si>
  <si>
    <t>IL0006600196</t>
  </si>
  <si>
    <t>נ.ר. ספאנטק תעשיות בע"מ</t>
  </si>
  <si>
    <t>512288713</t>
  </si>
  <si>
    <t>ספאנטק</t>
  </si>
  <si>
    <t>IL0010901176</t>
  </si>
  <si>
    <t>קווליטאו בע"מ</t>
  </si>
  <si>
    <t>511896540</t>
  </si>
  <si>
    <t>קווליטאו</t>
  </si>
  <si>
    <t>IL0010839558</t>
  </si>
  <si>
    <t>קליל תעשיות בע"מ</t>
  </si>
  <si>
    <t>520032442</t>
  </si>
  <si>
    <t>קליל</t>
  </si>
  <si>
    <t>IL0007970358</t>
  </si>
  <si>
    <t>קפיטל פוינט בע"מ</t>
  </si>
  <si>
    <t>512950320</t>
  </si>
  <si>
    <t>קפיטל פוינט</t>
  </si>
  <si>
    <t>IL0010971468</t>
  </si>
  <si>
    <t>ראלקו סוכנויות בע"מ</t>
  </si>
  <si>
    <t>520038183</t>
  </si>
  <si>
    <t>ראלקו</t>
  </si>
  <si>
    <t>IL0003930174</t>
  </si>
  <si>
    <t>תדאה, פיתוח טכנולוגי ואוטומציה בע"מ</t>
  </si>
  <si>
    <t>520034364</t>
  </si>
  <si>
    <t>תדאה</t>
  </si>
  <si>
    <t>IL0001420186</t>
  </si>
  <si>
    <t>תמיס ג'י.אר.אי.אנ.בע"מ</t>
  </si>
  <si>
    <t>511327017</t>
  </si>
  <si>
    <t>תמיס (ב. יאיר)</t>
  </si>
  <si>
    <t>IL0010972292</t>
  </si>
  <si>
    <t>Aroundtown property</t>
  </si>
  <si>
    <t>529900H4DWG3KWMBMQ39</t>
  </si>
  <si>
    <t>AROUNDTOWN PROP</t>
  </si>
  <si>
    <t>LU1673108939</t>
  </si>
  <si>
    <t>AstraZeneca PLC</t>
  </si>
  <si>
    <t>PY6ZZQWO2IZFZC3IOL08</t>
  </si>
  <si>
    <t>ASTRAZENECA PLC</t>
  </si>
  <si>
    <t>US0463531089</t>
  </si>
  <si>
    <t>אבן קיסר בע''מ</t>
  </si>
  <si>
    <t>254900MJ7IXAH75VFC61</t>
  </si>
  <si>
    <t>CESAR STONE SDO</t>
  </si>
  <si>
    <t>IL0011259137</t>
  </si>
  <si>
    <t>צ'ק פוינט</t>
  </si>
  <si>
    <t>2549003ZVBH73EPNS513</t>
  </si>
  <si>
    <t>CHECK POINT</t>
  </si>
  <si>
    <t>IL0010824113</t>
  </si>
  <si>
    <t>CITIGROUP INC</t>
  </si>
  <si>
    <t>6SHGI4ZSSLCXXQSBB395</t>
  </si>
  <si>
    <t>CITIGROUP</t>
  </si>
  <si>
    <t>US1729674242</t>
  </si>
  <si>
    <t>DIAGEO CAPITAL PLC</t>
  </si>
  <si>
    <t>213800ZVIELEA55JMJ32</t>
  </si>
  <si>
    <t>DIAGEO PLC NEW</t>
  </si>
  <si>
    <t>US25243Q2057</t>
  </si>
  <si>
    <t>GLAXOSMITHKLINE PLC</t>
  </si>
  <si>
    <t>5493000HZTVUYLO1D793</t>
  </si>
  <si>
    <t>GLAXOSMITHKLINE</t>
  </si>
  <si>
    <t>US37733W2044</t>
  </si>
  <si>
    <t>לא מוגדר</t>
  </si>
  <si>
    <t>GRAND CITY PROPERTIES</t>
  </si>
  <si>
    <t>5299002QLUYKK2WBMB18</t>
  </si>
  <si>
    <t>GRAND CITY PROP</t>
  </si>
  <si>
    <t>LU0775917882</t>
  </si>
  <si>
    <t>HSBC BANK PLC</t>
  </si>
  <si>
    <t>213800KNC1J1NJ1IYR95</t>
  </si>
  <si>
    <t>HSBC HOLDING</t>
  </si>
  <si>
    <t>US4042804066</t>
  </si>
  <si>
    <t>אינמוד בע"מ</t>
  </si>
  <si>
    <t>514073618</t>
  </si>
  <si>
    <t>IMODE LTD</t>
  </si>
  <si>
    <t>IL0011595993</t>
  </si>
  <si>
    <t>International flavors&amp;fragrances inc</t>
  </si>
  <si>
    <t>BZLRL03D3GPGMOGFO832</t>
  </si>
  <si>
    <t>INTL FLAVORS &amp;</t>
  </si>
  <si>
    <t>US4595061015</t>
  </si>
  <si>
    <t>רדוור בע"מ</t>
  </si>
  <si>
    <t>520044371</t>
  </si>
  <si>
    <t>RADWARE LTD</t>
  </si>
  <si>
    <t>IL0010834765</t>
  </si>
  <si>
    <t>Unity Wireless</t>
  </si>
  <si>
    <t>10447</t>
  </si>
  <si>
    <t>RES UNITY WIREL</t>
  </si>
  <si>
    <t>US9133471006</t>
  </si>
  <si>
    <t>ROYAL DUTCH SHELL PLC-A SHS</t>
  </si>
  <si>
    <t>21380068P1DRHMJ8KU70</t>
  </si>
  <si>
    <t>SHELL PLC-ADR</t>
  </si>
  <si>
    <t>US7802593050</t>
  </si>
  <si>
    <t>סיליקום בע"מ</t>
  </si>
  <si>
    <t>520041120</t>
  </si>
  <si>
    <t>SILICOM</t>
  </si>
  <si>
    <t>IL0010826928</t>
  </si>
  <si>
    <t>צים שירותי ספנות משולבים בע"מ</t>
  </si>
  <si>
    <t>21380089EIJRELKAIL21</t>
  </si>
  <si>
    <t>ZIM INTEGRATED</t>
  </si>
  <si>
    <t>IL0065100930</t>
  </si>
  <si>
    <t>Roche Holdings Inc</t>
  </si>
  <si>
    <t>549300U41AUUVOAAOB37</t>
  </si>
  <si>
    <t>ROCHE HOLDINGS</t>
  </si>
  <si>
    <t>US7711951043</t>
  </si>
  <si>
    <t>SANOFI-AVENTIS</t>
  </si>
  <si>
    <t>549300E9PC51EN656011</t>
  </si>
  <si>
    <t>SANOFI AVENTIS</t>
  </si>
  <si>
    <t>US80105N1054</t>
  </si>
  <si>
    <t>אבגול אגח ג</t>
  </si>
  <si>
    <t>IL0011332892</t>
  </si>
  <si>
    <t>A+</t>
  </si>
  <si>
    <t>31/12/2024</t>
  </si>
  <si>
    <t>איסתא אגח א להמרה</t>
  </si>
  <si>
    <t>IL0011971285</t>
  </si>
  <si>
    <t>N/R</t>
  </si>
  <si>
    <t>30/06/2028</t>
  </si>
  <si>
    <t>אלביט מערכות ב' 1.08%</t>
  </si>
  <si>
    <t>IL0011782351</t>
  </si>
  <si>
    <t>AA</t>
  </si>
  <si>
    <t>01/07/2029</t>
  </si>
  <si>
    <t>אלבר שירותי מימונית בע"מ</t>
  </si>
  <si>
    <t>512025891</t>
  </si>
  <si>
    <t>אלבר אגח יט</t>
  </si>
  <si>
    <t>IL0011918245</t>
  </si>
  <si>
    <t>15/05/2028</t>
  </si>
  <si>
    <t>אלומה קרן תשתיות (2020) בע"מ</t>
  </si>
  <si>
    <t>516214871</t>
  </si>
  <si>
    <t>אלומה אגח א</t>
  </si>
  <si>
    <t>IL0011909178</t>
  </si>
  <si>
    <t>30/06/2027</t>
  </si>
  <si>
    <t>אלומיי אגח ה</t>
  </si>
  <si>
    <t>IL0011932758</t>
  </si>
  <si>
    <t>01/04/2029</t>
  </si>
  <si>
    <t>אלומיי אגח ו</t>
  </si>
  <si>
    <t>IL0012030743</t>
  </si>
  <si>
    <t>אלומיי קפיטל אגח ג</t>
  </si>
  <si>
    <t>IL0011593758</t>
  </si>
  <si>
    <t>30/06/2025</t>
  </si>
  <si>
    <t>אלון רבוע כחול ישראל בעמ</t>
  </si>
  <si>
    <t>520042847</t>
  </si>
  <si>
    <t>אלון רבוע אגח ט</t>
  </si>
  <si>
    <t>IL0011972846</t>
  </si>
  <si>
    <t>30/06/2030</t>
  </si>
  <si>
    <t>אלון רבוע אגח ט חסום 16/10/24 - מחוג</t>
  </si>
  <si>
    <t>אלון רבוע אגח ט מחוג חסום 15.08.2024</t>
  </si>
  <si>
    <t>אלון רבוע כחול אגח ו</t>
  </si>
  <si>
    <t>IL0011691271</t>
  </si>
  <si>
    <t>30/09/2026</t>
  </si>
  <si>
    <t>אלקטרה בע"מ</t>
  </si>
  <si>
    <t>520028911</t>
  </si>
  <si>
    <t>אלקטרה    אגח ד</t>
  </si>
  <si>
    <t>IL0073901493</t>
  </si>
  <si>
    <t>30/06/2026</t>
  </si>
  <si>
    <t>אלקטרה נדלן אגח ה</t>
  </si>
  <si>
    <t>IL0011385932</t>
  </si>
  <si>
    <t>A3</t>
  </si>
  <si>
    <t>אם.אר.פי השקעות בע"מ</t>
  </si>
  <si>
    <t>520044421</t>
  </si>
  <si>
    <t>אם.אר.פי אגח ד</t>
  </si>
  <si>
    <t>IL0011901720</t>
  </si>
  <si>
    <t>16/03/2025</t>
  </si>
  <si>
    <t>אמ.ג'י.ג'י בי וי אי לימיטד</t>
  </si>
  <si>
    <t>1981143</t>
  </si>
  <si>
    <t>אמ.ג'יג'י אגח ב</t>
  </si>
  <si>
    <t>IL0011608119</t>
  </si>
  <si>
    <t>21/09/2025</t>
  </si>
  <si>
    <t>אמ.די.ג'י. ריאל אסטייט גלובל לימיטד</t>
  </si>
  <si>
    <t>1840550</t>
  </si>
  <si>
    <t>אמ.די.ג'י אגח ה</t>
  </si>
  <si>
    <t>IL0011905291</t>
  </si>
  <si>
    <t>Baa1</t>
  </si>
  <si>
    <t>16/02/2025</t>
  </si>
  <si>
    <t>אמות אגח ה</t>
  </si>
  <si>
    <t>IL0011381147</t>
  </si>
  <si>
    <t>Aa2</t>
  </si>
  <si>
    <t>04/01/2026</t>
  </si>
  <si>
    <t>אנלייט אנרגיה אגח ג</t>
  </si>
  <si>
    <t>IL0072002491</t>
  </si>
  <si>
    <t>01/09/2028</t>
  </si>
  <si>
    <t>אנקור פרופרטיס,לימיטד</t>
  </si>
  <si>
    <t>1939883</t>
  </si>
  <si>
    <t>אנקור פרופ אגח ד</t>
  </si>
  <si>
    <t>IL0012044033</t>
  </si>
  <si>
    <t>A</t>
  </si>
  <si>
    <t>15/07/2026</t>
  </si>
  <si>
    <t>אפי נכסים בע"מ</t>
  </si>
  <si>
    <t>510560188</t>
  </si>
  <si>
    <t>אפי נכסים אגח יא</t>
  </si>
  <si>
    <t>IL0011716284</t>
  </si>
  <si>
    <t>אפי נכסים אגח יב</t>
  </si>
  <si>
    <t>IL0011737645</t>
  </si>
  <si>
    <t>15/09/2027</t>
  </si>
  <si>
    <t>אפי קפיטל נדל"ן בע"מ</t>
  </si>
  <si>
    <t>513948216</t>
  </si>
  <si>
    <t>אפי קפיטל אגח ג</t>
  </si>
  <si>
    <t>IL0011997447</t>
  </si>
  <si>
    <t>אפריקה ישראל מגורים בע"מ</t>
  </si>
  <si>
    <t>520034760</t>
  </si>
  <si>
    <t>אפריקה ישראל ד</t>
  </si>
  <si>
    <t>IL0011426454</t>
  </si>
  <si>
    <t>31/03/2025</t>
  </si>
  <si>
    <t>אקונרג'י אגח להמרה א</t>
  </si>
  <si>
    <t>IL0011825184</t>
  </si>
  <si>
    <t>ארי נדלן אגח א</t>
  </si>
  <si>
    <t>IL0036601560</t>
  </si>
  <si>
    <t>01/04/2027</t>
  </si>
  <si>
    <t>ארי נדלן אגח א חסום מחוג 05/07/24</t>
  </si>
  <si>
    <t>אשטרום נכסים בע"מ</t>
  </si>
  <si>
    <t>520036617</t>
  </si>
  <si>
    <t>אשטרום נכ אגח 11</t>
  </si>
  <si>
    <t>IL0025102380</t>
  </si>
  <si>
    <t>30/10/2028</t>
  </si>
  <si>
    <t>אשטרום נכ אגח 12</t>
  </si>
  <si>
    <t>IL0025102794</t>
  </si>
  <si>
    <t>בזן  אגח ט</t>
  </si>
  <si>
    <t>IL0025904611</t>
  </si>
  <si>
    <t>30/09/2025</t>
  </si>
  <si>
    <t>ביג  ח</t>
  </si>
  <si>
    <t>IL0011389249</t>
  </si>
  <si>
    <t>12/04/2026</t>
  </si>
  <si>
    <t>ביג אג"ח כ"א</t>
  </si>
  <si>
    <t>IL0012022179</t>
  </si>
  <si>
    <t>03/07/2030</t>
  </si>
  <si>
    <t>ביג אגח יא</t>
  </si>
  <si>
    <t>IL0011511172</t>
  </si>
  <si>
    <t>20/10/2027</t>
  </si>
  <si>
    <t>ביג אגח יד</t>
  </si>
  <si>
    <t>IL0011615122</t>
  </si>
  <si>
    <t>30/11/2025</t>
  </si>
  <si>
    <t>הבינלאומי הראשון הנפקות בע"מ</t>
  </si>
  <si>
    <t>513141879</t>
  </si>
  <si>
    <t>בינל הנפק אגח י</t>
  </si>
  <si>
    <t>IL0011602906</t>
  </si>
  <si>
    <t>10/09/2025</t>
  </si>
  <si>
    <t>בינל הנפקות אגח יב</t>
  </si>
  <si>
    <t>IL0011823858</t>
  </si>
  <si>
    <t>07/12/2027</t>
  </si>
  <si>
    <t>בית זיקוק אשדוד אגח 2</t>
  </si>
  <si>
    <t>IL0011994881</t>
  </si>
  <si>
    <t>30/04/2029</t>
  </si>
  <si>
    <t>ב.גאון אחזקות בע"מ</t>
  </si>
  <si>
    <t>512623950</t>
  </si>
  <si>
    <t>גאון אחז אגח ה</t>
  </si>
  <si>
    <t>IL0012065640</t>
  </si>
  <si>
    <t>חברת גב-ים לקרקעות בע"מ</t>
  </si>
  <si>
    <t>520001736</t>
  </si>
  <si>
    <t>גב ים סד' ו'</t>
  </si>
  <si>
    <t>IL0075901285</t>
  </si>
  <si>
    <t>31/03/2026</t>
  </si>
  <si>
    <t>גבאי מניבים ופיתוח בע"מ</t>
  </si>
  <si>
    <t>520032178</t>
  </si>
  <si>
    <t>גבאי מניבים אגח י</t>
  </si>
  <si>
    <t>IL0077102395</t>
  </si>
  <si>
    <t>ג'י סיטי  אגח טז</t>
  </si>
  <si>
    <t>IL0012607854</t>
  </si>
  <si>
    <t>ג'י סיטי אג יז</t>
  </si>
  <si>
    <t>IL0011981425</t>
  </si>
  <si>
    <t>ג'י סיטי אגח יב</t>
  </si>
  <si>
    <t>IL0012606039</t>
  </si>
  <si>
    <t>ג'י סיטי אגח יח</t>
  </si>
  <si>
    <t>IL0012038506</t>
  </si>
  <si>
    <t>30/09/2031</t>
  </si>
  <si>
    <t>גירון פיתוח ובניה בע"מ</t>
  </si>
  <si>
    <t>520044520</t>
  </si>
  <si>
    <t>גירון אגח ו</t>
  </si>
  <si>
    <t>IL0011398497</t>
  </si>
  <si>
    <t>31/12/2025</t>
  </si>
  <si>
    <t>ג'נריישן קפיטל בע"מ</t>
  </si>
  <si>
    <t>515846558</t>
  </si>
  <si>
    <t>ג'נריישן קפיטל אגח ג</t>
  </si>
  <si>
    <t>IL0011845554</t>
  </si>
  <si>
    <t>30/09/2033</t>
  </si>
  <si>
    <t>ZARASAI GROUP LTD</t>
  </si>
  <si>
    <t>1744984</t>
  </si>
  <si>
    <t>דה זראסאי אג ג</t>
  </si>
  <si>
    <t>IL0011379752</t>
  </si>
  <si>
    <t>A-</t>
  </si>
  <si>
    <t>15/11/2027</t>
  </si>
  <si>
    <t>דה לסר גרופ לימיטד</t>
  </si>
  <si>
    <t>1427976</t>
  </si>
  <si>
    <t>דה לסר אגח ח</t>
  </si>
  <si>
    <t>IL0011931925</t>
  </si>
  <si>
    <t>31/12/2026</t>
  </si>
  <si>
    <t>דוראל אגח ב</t>
  </si>
  <si>
    <t>IL0012054750</t>
  </si>
  <si>
    <t>31/07/2031</t>
  </si>
  <si>
    <t>דיסקונט מנפיקים בע"מ</t>
  </si>
  <si>
    <t>520029935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</si>
  <si>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</si>
  <si>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</si>
  <si>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</si>
  <si>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</si>
  <si>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</si>
  <si>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</si>
  <si>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דיסקונט אג"ח יג</t>
  </si>
  <si>
    <t>IL0074801551</t>
  </si>
  <si>
    <t>דיסקונט אגח יד</t>
  </si>
  <si>
    <t>IL0074801635</t>
  </si>
  <si>
    <t>05/12/2030</t>
  </si>
  <si>
    <t>חברת השקעות דיסקונט בע"מ</t>
  </si>
  <si>
    <t>520023896</t>
  </si>
  <si>
    <t>דיסקונט השקעות אגח י</t>
  </si>
  <si>
    <t>IL0063903483</t>
  </si>
  <si>
    <t>BBB</t>
  </si>
  <si>
    <t>30/12/2026</t>
  </si>
  <si>
    <t>דליה חברות אנרגיה בע"מ</t>
  </si>
  <si>
    <t>516269248</t>
  </si>
  <si>
    <t>דליה אנרגיה אגח ב</t>
  </si>
  <si>
    <t>IL0011935983</t>
  </si>
  <si>
    <t>01/10/2034</t>
  </si>
  <si>
    <t>קבוצת דלק בע"מ</t>
  </si>
  <si>
    <t>520044322</t>
  </si>
  <si>
    <t>דלק קבוצה אגח לח</t>
  </si>
  <si>
    <t>IL0011995045</t>
  </si>
  <si>
    <t>31/10/2031</t>
  </si>
  <si>
    <t>דלק קבוצה אגח לח- חסום מחוג 09/07/24</t>
  </si>
  <si>
    <t>דלק קבוצה אגח לט</t>
  </si>
  <si>
    <t>IL0012057720</t>
  </si>
  <si>
    <t>31/12/2032</t>
  </si>
  <si>
    <t>דמרי      אגח ז</t>
  </si>
  <si>
    <t>IL0011411910</t>
  </si>
  <si>
    <t>חברת הכשרת הישוב בישראל בע"מ</t>
  </si>
  <si>
    <t>520020116</t>
  </si>
  <si>
    <t>הכשרת הישוב אגח 25</t>
  </si>
  <si>
    <t>IL0011915274</t>
  </si>
  <si>
    <t>31/12/2029</t>
  </si>
  <si>
    <t>הרץ פרופרטיס גרופ, לימיטד</t>
  </si>
  <si>
    <t>1957081</t>
  </si>
  <si>
    <t>הרץ פרופר אגח ב</t>
  </si>
  <si>
    <t>IL0011847535</t>
  </si>
  <si>
    <t>Caa1</t>
  </si>
  <si>
    <t>01/03/2026</t>
  </si>
  <si>
    <t>וילאר אינטרנ' ח'</t>
  </si>
  <si>
    <t>IL0041601563</t>
  </si>
  <si>
    <t>27/06/2025</t>
  </si>
  <si>
    <t>טמפו משקאות בע"מ</t>
  </si>
  <si>
    <t>513682625</t>
  </si>
  <si>
    <t>טמפו  אגח ב</t>
  </si>
  <si>
    <t>IL0011335119</t>
  </si>
  <si>
    <t>יוניברסל מוטורס  ישראל בע"מ</t>
  </si>
  <si>
    <t>511809071</t>
  </si>
  <si>
    <t>יוניברסל  אגח ג</t>
  </si>
  <si>
    <t>IL0011606709</t>
  </si>
  <si>
    <t>AA-</t>
  </si>
  <si>
    <t>10/08/2027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</si>
  <si>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</si>
  <si>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</si>
  <si>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</si>
  <si>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</si>
  <si>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</si>
  <si>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</si>
  <si>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ישראמקו אגח ב</t>
  </si>
  <si>
    <t>IL0023202240</t>
  </si>
  <si>
    <t>10/10/2030</t>
  </si>
  <si>
    <t>ישראמקו נגב 2 א</t>
  </si>
  <si>
    <t>IL0023201747</t>
  </si>
  <si>
    <t>10/10/2025</t>
  </si>
  <si>
    <t>ישרס אגח יח</t>
  </si>
  <si>
    <t>IL0061302803</t>
  </si>
  <si>
    <t>10/04/2030</t>
  </si>
  <si>
    <t>כלל ביטוח אג ב</t>
  </si>
  <si>
    <t>IL0011934994</t>
  </si>
  <si>
    <t>28/02/2028</t>
  </si>
  <si>
    <t>כללביט מימון בע"מ</t>
  </si>
  <si>
    <t>513754069</t>
  </si>
  <si>
    <t>כללביט אגח י'</t>
  </si>
  <si>
    <t>IL0011360687</t>
  </si>
  <si>
    <t>Aa3</t>
  </si>
  <si>
    <t>לאומי   אגח 179</t>
  </si>
  <si>
    <t>IL0060403727</t>
  </si>
  <si>
    <t>לאומי   אגח 180</t>
  </si>
  <si>
    <t>IL0060404220</t>
  </si>
  <si>
    <t>לאומי אגח  185</t>
  </si>
  <si>
    <t>IL0012018219</t>
  </si>
  <si>
    <t>31/08/2029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</si>
  <si>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</si>
  <si>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</si>
  <si>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</si>
  <si>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</si>
  <si>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</si>
  <si>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א.לוי השקעות ובנין בע"מ</t>
  </si>
  <si>
    <t>520041096</t>
  </si>
  <si>
    <t>לוי אגח ח</t>
  </si>
  <si>
    <t>IL0071902428</t>
  </si>
  <si>
    <t>לפידות קפיטל אגח א</t>
  </si>
  <si>
    <t>IL0064200954</t>
  </si>
  <si>
    <t>מ.ו. השקעות בע"מ</t>
  </si>
  <si>
    <t>510920897</t>
  </si>
  <si>
    <t>מ.ו השקע אגח ב</t>
  </si>
  <si>
    <t>IL0012041229</t>
  </si>
  <si>
    <t>31/12/2027</t>
  </si>
  <si>
    <t>מ.ו. השקעות  אגח א</t>
  </si>
  <si>
    <t>IL0011982175</t>
  </si>
  <si>
    <t>מבני תעש אגח יט</t>
  </si>
  <si>
    <t>IL0022604875</t>
  </si>
  <si>
    <t>מבני תעש אגח כג</t>
  </si>
  <si>
    <t>IL0022605450</t>
  </si>
  <si>
    <t>מגה אור אגח 8</t>
  </si>
  <si>
    <t>IL0011476020</t>
  </si>
  <si>
    <t>מגוריט ישראל בעמ</t>
  </si>
  <si>
    <t>515434074</t>
  </si>
  <si>
    <t>מגוריט אגח ב</t>
  </si>
  <si>
    <t>IL0011683500</t>
  </si>
  <si>
    <t>מגוריט אגח ד</t>
  </si>
  <si>
    <t>IL0011858342</t>
  </si>
  <si>
    <t>מגוריט אגח ה</t>
  </si>
  <si>
    <t>IL0011921298</t>
  </si>
  <si>
    <t>מגוריט אגח ו</t>
  </si>
  <si>
    <t>IL0012035049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</si>
  <si>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</si>
  <si>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</si>
  <si>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</si>
  <si>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</si>
  <si>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</si>
  <si>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</si>
  <si>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</si>
  <si>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</si>
  <si>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</si>
  <si>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</si>
  <si>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</si>
  <si>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 אגח 68</t>
  </si>
  <si>
    <t>IL0012021429</t>
  </si>
  <si>
    <t>25/12/2033</t>
  </si>
  <si>
    <t>מז טפ הנפ אגח60</t>
  </si>
  <si>
    <t>IL0023104560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</si>
  <si>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</si>
  <si>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</si>
  <si>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</si>
  <si>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</si>
  <si>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</si>
  <si>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</si>
  <si>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הנפקות 40</t>
  </si>
  <si>
    <t>IL0023101673</t>
  </si>
  <si>
    <t>08/06/2025</t>
  </si>
  <si>
    <t>מזרחי טפחות הנ אגח 66</t>
  </si>
  <si>
    <t>IL0011916678</t>
  </si>
  <si>
    <t>08/12/2031</t>
  </si>
  <si>
    <t>מזרחי טפחות הנפ 9/24</t>
  </si>
  <si>
    <t>IL0023102176</t>
  </si>
  <si>
    <t>29/09/2024</t>
  </si>
  <si>
    <t>מזרחי טפחות הנפק 49</t>
  </si>
  <si>
    <t>IL0023102820</t>
  </si>
  <si>
    <t>23/06/2026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</si>
  <si>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</si>
  <si>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</si>
  <si>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</si>
  <si>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</si>
  <si>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</si>
  <si>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</si>
  <si>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</si>
  <si>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ד</t>
  </si>
  <si>
    <t>IL0011756603</t>
  </si>
  <si>
    <t>01/02/2026</t>
  </si>
  <si>
    <t>מליסרון  אגח יט</t>
  </si>
  <si>
    <t>IL0032303989</t>
  </si>
  <si>
    <t>מליסרון אגח י'</t>
  </si>
  <si>
    <t>IL0032301900</t>
  </si>
  <si>
    <t>10/07/2025</t>
  </si>
  <si>
    <t>מליסרון אגח יד</t>
  </si>
  <si>
    <t>IL0032302320</t>
  </si>
  <si>
    <t>27/04/2026</t>
  </si>
  <si>
    <t>מליסרון טז'</t>
  </si>
  <si>
    <t>IL0032302650</t>
  </si>
  <si>
    <t>ממן-מסופי מטען וניטול בע"מ</t>
  </si>
  <si>
    <t>520036435</t>
  </si>
  <si>
    <t>ממן אגח ב</t>
  </si>
  <si>
    <t>IL0023800464</t>
  </si>
  <si>
    <t>מניבים ריט אגח ב</t>
  </si>
  <si>
    <t>IL0011559288</t>
  </si>
  <si>
    <t>מניבים ריט אגח ג</t>
  </si>
  <si>
    <t>IL0011776585</t>
  </si>
  <si>
    <t>מניבים ריט אגח ד</t>
  </si>
  <si>
    <t>IL0011939290</t>
  </si>
  <si>
    <t>31/12/2031</t>
  </si>
  <si>
    <t xml:space="preserve">מניף - שירותים פיננסים בע"מ </t>
  </si>
  <si>
    <t>512764408</t>
  </si>
  <si>
    <t>מניף אגח א</t>
  </si>
  <si>
    <t>IL0011858839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</si>
  <si>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</si>
  <si>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</si>
  <si>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</si>
  <si>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</si>
  <si>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</si>
  <si>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</si>
  <si>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</si>
  <si>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מרכנתיל הנפקות בע"מ</t>
  </si>
  <si>
    <t>513686154</t>
  </si>
  <si>
    <t>מרכנתיל 4</t>
  </si>
  <si>
    <t>IL0011713059</t>
  </si>
  <si>
    <t>30/01/2030</t>
  </si>
  <si>
    <t>משק אנרגיה אגח א</t>
  </si>
  <si>
    <t>IL0011695314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</si>
  <si>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</si>
  <si>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</si>
  <si>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</si>
  <si>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</si>
  <si>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</si>
  <si>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</si>
  <si>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</si>
  <si>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 אג ב</t>
  </si>
  <si>
    <t>IL0011980351</t>
  </si>
  <si>
    <t>נופר אנרג אגח א</t>
  </si>
  <si>
    <t>IL0011793408</t>
  </si>
  <si>
    <t>חברת נמלי ישראל - פיתוח נכסים בע"מ</t>
  </si>
  <si>
    <t>513569780</t>
  </si>
  <si>
    <t>נמלי ישראל אג ב</t>
  </si>
  <si>
    <t>IL0011455727</t>
  </si>
  <si>
    <t>נמלי ישראל אגח א</t>
  </si>
  <si>
    <t>IL0011455644</t>
  </si>
  <si>
    <t>נמלי ישראל אגח ג</t>
  </si>
  <si>
    <t>IL0011455800</t>
  </si>
  <si>
    <t>נפטא חברה ישראלית לנפט בע"מ</t>
  </si>
  <si>
    <t>520020942</t>
  </si>
  <si>
    <t>נפטא אגח ח</t>
  </si>
  <si>
    <t>IL0064301695</t>
  </si>
  <si>
    <t>26/01/2025</t>
  </si>
  <si>
    <t>נתיבי הגז הטבעי לישראל בע"מ</t>
  </si>
  <si>
    <t>513436394</t>
  </si>
  <si>
    <t>נתיבי גז אגח ד</t>
  </si>
  <si>
    <t>IL0011475030</t>
  </si>
  <si>
    <t>Aa1</t>
  </si>
  <si>
    <t>30/06/2033</t>
  </si>
  <si>
    <t>סאמיט  אגח ח</t>
  </si>
  <si>
    <t>IL0011389405</t>
  </si>
  <si>
    <t>סולאיר אנרגיות מתחדשות בע"מ</t>
  </si>
  <si>
    <t>516046307</t>
  </si>
  <si>
    <t>סולאיר אגח א</t>
  </si>
  <si>
    <t>IL0011837304</t>
  </si>
  <si>
    <t>סולאיר אגח א חסום מחוג 06/11/24</t>
  </si>
  <si>
    <t>סופרין אחזקות בע"מ</t>
  </si>
  <si>
    <t>515361442</t>
  </si>
  <si>
    <t>סופרין אגח א להמרה</t>
  </si>
  <si>
    <t>IL0011977480</t>
  </si>
  <si>
    <t>סיאון אינווסטמנט קורפוריישן</t>
  </si>
  <si>
    <t>14242259</t>
  </si>
  <si>
    <t>סיאון אגח א</t>
  </si>
  <si>
    <t>IL0011940181</t>
  </si>
  <si>
    <t>31/08/2026</t>
  </si>
  <si>
    <t>סלע קפיטל נדל"ן בע"מ</t>
  </si>
  <si>
    <t>513992529</t>
  </si>
  <si>
    <t>סלע נדלן אגח ב</t>
  </si>
  <si>
    <t>IL0011329278</t>
  </si>
  <si>
    <t>13/01/2025</t>
  </si>
  <si>
    <t>סלע נדלן אגח ג</t>
  </si>
  <si>
    <t>IL0011389736</t>
  </si>
  <si>
    <t>13/04/2029</t>
  </si>
  <si>
    <t>סלע נדלן אגח ד</t>
  </si>
  <si>
    <t>IL0011671471</t>
  </si>
  <si>
    <t>27/03/2033</t>
  </si>
  <si>
    <t>סלקום ישראל בע"מ</t>
  </si>
  <si>
    <t>511930125</t>
  </si>
  <si>
    <t>סלקום אגח ח</t>
  </si>
  <si>
    <t>IL0011328288</t>
  </si>
  <si>
    <t>ספנסר אקוויטי גרופ לימיטד</t>
  </si>
  <si>
    <t>1838863</t>
  </si>
  <si>
    <t>ספנסר אגח ג</t>
  </si>
  <si>
    <t>IL0011474959</t>
  </si>
  <si>
    <t>01/12/2024</t>
  </si>
  <si>
    <t>עזריאלי אגח ד</t>
  </si>
  <si>
    <t>IL0011386500</t>
  </si>
  <si>
    <t>05/07/2030</t>
  </si>
  <si>
    <t>עזריאלי אגח ה</t>
  </si>
  <si>
    <t>IL0011566036</t>
  </si>
  <si>
    <t>עמידר</t>
  </si>
  <si>
    <t>520017393</t>
  </si>
  <si>
    <t>עמידר     אגח א</t>
  </si>
  <si>
    <t>IL0011435851</t>
  </si>
  <si>
    <t>31/03/2028</t>
  </si>
  <si>
    <t>פועלים אגח 101</t>
  </si>
  <si>
    <t>IL0011913378</t>
  </si>
  <si>
    <t>29/05/2025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</si>
  <si>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</si>
  <si>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</si>
  <si>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</si>
  <si>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</si>
  <si>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</si>
  <si>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</si>
  <si>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</si>
  <si>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</si>
  <si>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</si>
  <si>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</si>
  <si>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</si>
  <si>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</si>
  <si>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פורמולה אג"ח ג</t>
  </si>
  <si>
    <t>IL0025602090</t>
  </si>
  <si>
    <t>01/12/2026</t>
  </si>
  <si>
    <t>פורמולה אגח א</t>
  </si>
  <si>
    <t>IL0025601423</t>
  </si>
  <si>
    <t>02/07/2024</t>
  </si>
  <si>
    <t>פרשקובסקי אגח טו</t>
  </si>
  <si>
    <t>IL0012034968</t>
  </si>
  <si>
    <t>פתאל נכסים(אירופה)בע"מ</t>
  </si>
  <si>
    <t>515328250</t>
  </si>
  <si>
    <t>פתאל אירו אגח ד</t>
  </si>
  <si>
    <t>IL0011680381</t>
  </si>
  <si>
    <t>פתאל החזקות 1998 בע"מ</t>
  </si>
  <si>
    <t>512607888</t>
  </si>
  <si>
    <t>פתאל החז  אגח ב</t>
  </si>
  <si>
    <t>IL0011508129</t>
  </si>
  <si>
    <t>צ.מ.ח המרמן בע"מ</t>
  </si>
  <si>
    <t>512531203</t>
  </si>
  <si>
    <t>צמח המרמן ו</t>
  </si>
  <si>
    <t>IL0011586331</t>
  </si>
  <si>
    <t>צבי צרפתי השקעות ובנין (1992) בע"מ</t>
  </si>
  <si>
    <t>520039090</t>
  </si>
  <si>
    <t>צרפתי אגח יא</t>
  </si>
  <si>
    <t>IL0042502547</t>
  </si>
  <si>
    <t>קרסו מוטורס בע"מ</t>
  </si>
  <si>
    <t>514065283</t>
  </si>
  <si>
    <t>קרסו מוטורס אגח א</t>
  </si>
  <si>
    <t>IL0011364648</t>
  </si>
  <si>
    <t>01/09/2026</t>
  </si>
  <si>
    <t>קרסו מוטורס אגח ד</t>
  </si>
  <si>
    <t>IL0011735664</t>
  </si>
  <si>
    <t>01/10/2028</t>
  </si>
  <si>
    <t>רבוע כחול נדל"ן בע"מ</t>
  </si>
  <si>
    <t>513765859</t>
  </si>
  <si>
    <t>רבוע נדלן אגח ז</t>
  </si>
  <si>
    <t>IL0011406159</t>
  </si>
  <si>
    <t>30/11/2026</t>
  </si>
  <si>
    <t>רבוע נדלן אגח ח</t>
  </si>
  <si>
    <t>IL0011575698</t>
  </si>
  <si>
    <t>רוטשטיין נדל"ן  בע"מ</t>
  </si>
  <si>
    <t>520039959</t>
  </si>
  <si>
    <t>רוטשטיין אגח ח</t>
  </si>
  <si>
    <t>IL0053901828</t>
  </si>
  <si>
    <t>14/07/2025</t>
  </si>
  <si>
    <t>ריט 1 בע"מ</t>
  </si>
  <si>
    <t>513821488</t>
  </si>
  <si>
    <t>ריט 1 אגח ד</t>
  </si>
  <si>
    <t>IL0011298994</t>
  </si>
  <si>
    <t>20/09/2024</t>
  </si>
  <si>
    <t>ריט 1 אגח ו</t>
  </si>
  <si>
    <t>IL0011385445</t>
  </si>
  <si>
    <t>21/09/2031</t>
  </si>
  <si>
    <t>ריט 1 סד ה</t>
  </si>
  <si>
    <t>IL0011367534</t>
  </si>
  <si>
    <t>20/09/2028</t>
  </si>
  <si>
    <t>ריט אזורים - ה.פ ליווינג בע"מ</t>
  </si>
  <si>
    <t>516117181</t>
  </si>
  <si>
    <t>ריט אזורים אגח א</t>
  </si>
  <si>
    <t>IL0011757692</t>
  </si>
  <si>
    <t>רכבת ישראל בע"מ</t>
  </si>
  <si>
    <t>520043613</t>
  </si>
  <si>
    <t>רכבת ישראל אגח ג</t>
  </si>
  <si>
    <t>IL0011776254</t>
  </si>
  <si>
    <t>30/06/2031</t>
  </si>
  <si>
    <t>רנט איט-ריט מגורים בע"מ</t>
  </si>
  <si>
    <t>516581741</t>
  </si>
  <si>
    <t>רנט איט אגח א</t>
  </si>
  <si>
    <t>IL0011995466</t>
  </si>
  <si>
    <t>רני צים מרכזי קניות בע"מ</t>
  </si>
  <si>
    <t>514353671</t>
  </si>
  <si>
    <t>רני צים אגח ב</t>
  </si>
  <si>
    <t>IL0011718348</t>
  </si>
  <si>
    <t>01/03/2028</t>
  </si>
  <si>
    <t>שטראוס אגח ה</t>
  </si>
  <si>
    <t>IL0074603890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</si>
  <si>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</si>
  <si>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</si>
  <si>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</si>
  <si>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</si>
  <si>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</si>
  <si>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</si>
  <si>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</si>
  <si>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</si>
  <si>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</si>
  <si>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</si>
  <si>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</si>
  <si>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</si>
  <si>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</si>
  <si>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</si>
  <si>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פטרוליום אגח א</t>
  </si>
  <si>
    <t>IL0011413320</t>
  </si>
  <si>
    <t>התעשיה האוירית לישראל בע"מ</t>
  </si>
  <si>
    <t>520027194</t>
  </si>
  <si>
    <t>תעשיה אוירית אגח ד</t>
  </si>
  <si>
    <t>IL0011331316</t>
  </si>
  <si>
    <t>BLUE OWL CREDIT INCOME</t>
  </si>
  <si>
    <t>5493003I42XBWPE05N35</t>
  </si>
  <si>
    <t>/OCINCC 7.95 13</t>
  </si>
  <si>
    <t>US69120VBB62</t>
  </si>
  <si>
    <t>Consumer Finance </t>
  </si>
  <si>
    <t>BBB-</t>
  </si>
  <si>
    <t>13/06/2028</t>
  </si>
  <si>
    <t>/ORCINC 6.65 03</t>
  </si>
  <si>
    <t>US69120VAZ40</t>
  </si>
  <si>
    <t>15/03/2031</t>
  </si>
  <si>
    <t>Yara International ASA</t>
  </si>
  <si>
    <t>213800WKOUWXWFJ5Z514</t>
  </si>
  <si>
    <t>/YARNO 7.378 11</t>
  </si>
  <si>
    <t>US984851AH89</t>
  </si>
  <si>
    <t>Baa2</t>
  </si>
  <si>
    <t>14/11/2032</t>
  </si>
  <si>
    <t>Atrium european real estaste</t>
  </si>
  <si>
    <t>213800OJ67K27RCO2J56</t>
  </si>
  <si>
    <t>11/09/25 ATRSAV 4.25</t>
  </si>
  <si>
    <t>XS1829325239</t>
  </si>
  <si>
    <t>B2</t>
  </si>
  <si>
    <t>11/09/2025</t>
  </si>
  <si>
    <t>Meta Platforms Inc</t>
  </si>
  <si>
    <t>BQ4BKCS1HXDV9HN80Z93</t>
  </si>
  <si>
    <t>15/05/28 META 4.6</t>
  </si>
  <si>
    <t>US30303M8L96</t>
  </si>
  <si>
    <t>Walt Disney Company</t>
  </si>
  <si>
    <t>549300GZKULIZ0WOW665</t>
  </si>
  <si>
    <t>24/03/25 DIS 3.35</t>
  </si>
  <si>
    <t>US254687FN19</t>
  </si>
  <si>
    <t>24/03/2025</t>
  </si>
  <si>
    <t>amazon.com</t>
  </si>
  <si>
    <t>ZXTILKJKG63JELOEG630</t>
  </si>
  <si>
    <t>AMZM 4.55 12/01</t>
  </si>
  <si>
    <t>US023135CP90</t>
  </si>
  <si>
    <t>01/12/2027</t>
  </si>
  <si>
    <t>Apollo Debt Solutions Bd</t>
  </si>
  <si>
    <t>549300UMUGX092P8DW87</t>
  </si>
  <si>
    <t>APDESO 6.9 4/29</t>
  </si>
  <si>
    <t>US03770DAA19</t>
  </si>
  <si>
    <t>Baa3</t>
  </si>
  <si>
    <t>Arrow Electronics Inc</t>
  </si>
  <si>
    <t>549300YNNLBXT8N8R512</t>
  </si>
  <si>
    <t>ARW 5.875 10/04/34</t>
  </si>
  <si>
    <t>US04273WAE12</t>
  </si>
  <si>
    <t>Technology Hardware Storage</t>
  </si>
  <si>
    <t>10/04/2034</t>
  </si>
  <si>
    <t>Bayer AG</t>
  </si>
  <si>
    <t>529900XWNEXYNJ3X6T40</t>
  </si>
  <si>
    <t>BAYNGR 4.375 12</t>
  </si>
  <si>
    <t>US07274NAL73</t>
  </si>
  <si>
    <t>15/12/2028</t>
  </si>
  <si>
    <t>Dollar general corp</t>
  </si>
  <si>
    <t>OPX52SQVOZI8IVSWYU66</t>
  </si>
  <si>
    <t>DG 5.2 7/28</t>
  </si>
  <si>
    <t>US256677AN52</t>
  </si>
  <si>
    <t>05/07/2028</t>
  </si>
  <si>
    <t>DG 5.45 7/33</t>
  </si>
  <si>
    <t>US256677AP01</t>
  </si>
  <si>
    <t>05/07/2033</t>
  </si>
  <si>
    <t>Electricite DE France SA</t>
  </si>
  <si>
    <t>549300X3UK4GG3FNMO06</t>
  </si>
  <si>
    <t>EDF 5.7 05</t>
  </si>
  <si>
    <t>US28504DAB91</t>
  </si>
  <si>
    <t>23/05/2028</t>
  </si>
  <si>
    <t>EDF 5.7 5/28</t>
  </si>
  <si>
    <t>USF29416AB40</t>
  </si>
  <si>
    <t>GYCGR 0 1/28</t>
  </si>
  <si>
    <t>XS2282101539</t>
  </si>
  <si>
    <t>11/01/2028</t>
  </si>
  <si>
    <t>IDBILI 5.375 26.01.28 (Israel discount Bank)</t>
  </si>
  <si>
    <t>IL0011920878</t>
  </si>
  <si>
    <t>BBB+</t>
  </si>
  <si>
    <t>26/01/2028</t>
  </si>
  <si>
    <t>INTEL CORP</t>
  </si>
  <si>
    <t>KNX4USFCNGPY45LOCE31</t>
  </si>
  <si>
    <t>INTC 4.875 10/02/26</t>
  </si>
  <si>
    <t>US458140CD04</t>
  </si>
  <si>
    <t>10/02/2026</t>
  </si>
  <si>
    <t>IQVIA INC</t>
  </si>
  <si>
    <t>549300PLWY28YB00C717</t>
  </si>
  <si>
    <t>IQV 5.7 5\15\20</t>
  </si>
  <si>
    <t>US46266TAB44</t>
  </si>
  <si>
    <t>TEVA 7.375</t>
  </si>
  <si>
    <t>XS2592804434</t>
  </si>
  <si>
    <t>BB-</t>
  </si>
  <si>
    <t>15/09/2029</t>
  </si>
  <si>
    <t>TEVA 7.875</t>
  </si>
  <si>
    <t>XS2592804194</t>
  </si>
  <si>
    <t>15/09/2031</t>
  </si>
  <si>
    <t>אנלייט אנר אגח ה</t>
  </si>
  <si>
    <t>IL0072001162</t>
  </si>
  <si>
    <t>02/03/2025</t>
  </si>
  <si>
    <t>דה זראסאי אגח ה</t>
  </si>
  <si>
    <t>IL0011695561</t>
  </si>
  <si>
    <t>דמרי  אגח ח</t>
  </si>
  <si>
    <t>IL0011537250</t>
  </si>
  <si>
    <t>י.ד. מור השקעות בע"מ</t>
  </si>
  <si>
    <t>513834606</t>
  </si>
  <si>
    <t>מור השקעות א</t>
  </si>
  <si>
    <t>IL0011673030</t>
  </si>
  <si>
    <t>סאפיינס אינטרנשיונל קורפוריישן N.V</t>
  </si>
  <si>
    <t>53368</t>
  </si>
  <si>
    <t>סאפיינס אגח ב</t>
  </si>
  <si>
    <t>IL0011419368</t>
  </si>
  <si>
    <t>01/01/2026</t>
  </si>
  <si>
    <t>פרשקובסקי אגח יד</t>
  </si>
  <si>
    <t>IL0011836231</t>
  </si>
  <si>
    <t>קבוצת צילו-בלו בע"מ( לשעבר חנן מור)</t>
  </si>
  <si>
    <t>513605519</t>
  </si>
  <si>
    <t>צילו-בלו אגח ט</t>
  </si>
  <si>
    <t>IL0011605065</t>
  </si>
  <si>
    <t xml:space="preserve">אול-יר  הולדינגס לימיטד </t>
  </si>
  <si>
    <t>1841580</t>
  </si>
  <si>
    <t>אול-יר אגח ג' מחוג בהשעיה</t>
  </si>
  <si>
    <t>IL0011401366</t>
  </si>
  <si>
    <t>28/02/2024</t>
  </si>
  <si>
    <t>אול-יר אגח ה מחוג בהשעיה</t>
  </si>
  <si>
    <t>IL0011433047</t>
  </si>
  <si>
    <t>אוריין אגח ב</t>
  </si>
  <si>
    <t>IL0011433799</t>
  </si>
  <si>
    <t>אלביט מערכות אגח ד</t>
  </si>
  <si>
    <t>IL0011782682</t>
  </si>
  <si>
    <t>30/06/2035</t>
  </si>
  <si>
    <t xml:space="preserve">אס.אר.אקורד בע"מ </t>
  </si>
  <si>
    <t>520038670</t>
  </si>
  <si>
    <t>אסאר אקורד אגח א</t>
  </si>
  <si>
    <t>IL0042203492</t>
  </si>
  <si>
    <t>בי קומיוניקיישנס בע"מ לשעבר סמייל 012</t>
  </si>
  <si>
    <t>512832742</t>
  </si>
  <si>
    <t>בי קומיוניקיישנס אגח ו</t>
  </si>
  <si>
    <t>IL0011781510</t>
  </si>
  <si>
    <t>דלק קב אגח לז</t>
  </si>
  <si>
    <t>IL0011928897</t>
  </si>
  <si>
    <t>31/01/2029</t>
  </si>
  <si>
    <t xml:space="preserve">קבוצת חג'ג' ייזום נדל"ן בע"מ </t>
  </si>
  <si>
    <t>520033309</t>
  </si>
  <si>
    <t>חג'ג' אגח יב</t>
  </si>
  <si>
    <t>IL0082303772</t>
  </si>
  <si>
    <t>חנן מור אגח יג</t>
  </si>
  <si>
    <t>IL0011815029</t>
  </si>
  <si>
    <t>לאומי אגח 182</t>
  </si>
  <si>
    <t>IL0060405391</t>
  </si>
  <si>
    <t>25/11/2027</t>
  </si>
  <si>
    <t>מיטב דש השקעות בע"מ</t>
  </si>
  <si>
    <t>520043795</t>
  </si>
  <si>
    <t>מיטב השקעות אג3</t>
  </si>
  <si>
    <t>IL0011217630</t>
  </si>
  <si>
    <t>10/12/2025</t>
  </si>
  <si>
    <t>נתנאל גרופ בע"מ</t>
  </si>
  <si>
    <t>520039074</t>
  </si>
  <si>
    <t>נתנאל גרופ אגח יג</t>
  </si>
  <si>
    <t>IL0011886632</t>
  </si>
  <si>
    <t>30/11/2028</t>
  </si>
  <si>
    <t>סולגרין בע"מ</t>
  </si>
  <si>
    <t>512882747</t>
  </si>
  <si>
    <t>סולגרין אגח ב</t>
  </si>
  <si>
    <t>IL0011862468</t>
  </si>
  <si>
    <t>מפעלים פטרוכימיים בישראל בע"מ</t>
  </si>
  <si>
    <t>520029315</t>
  </si>
  <si>
    <t>פטרוכימים אגח ט</t>
  </si>
  <si>
    <t>IL0011895542</t>
  </si>
  <si>
    <t>30/04/2027</t>
  </si>
  <si>
    <t>פלאזה סנטרס</t>
  </si>
  <si>
    <t>33248324</t>
  </si>
  <si>
    <t>פלאזה סנטרס אגח א</t>
  </si>
  <si>
    <t>IL0011094955</t>
  </si>
  <si>
    <t>01/07/2024</t>
  </si>
  <si>
    <t>פלאזה סנטרס אגח ב</t>
  </si>
  <si>
    <t>IL0011095036</t>
  </si>
  <si>
    <t>פריורטק אגח א</t>
  </si>
  <si>
    <t>IL0032801388</t>
  </si>
  <si>
    <t>פריים אנרג'י פי.אי בע"מ</t>
  </si>
  <si>
    <t>514902147</t>
  </si>
  <si>
    <t>פריים אנרג'י אגח ב</t>
  </si>
  <si>
    <t>IL0011846628</t>
  </si>
  <si>
    <t>צילו-בלו אגח טו</t>
  </si>
  <si>
    <t>IL0011898512</t>
  </si>
  <si>
    <t>קרדן אן.וי.</t>
  </si>
  <si>
    <t>1239114</t>
  </si>
  <si>
    <t>קרדן אן וי אגח ב</t>
  </si>
  <si>
    <t>IL0011130346</t>
  </si>
  <si>
    <t>רציו חיפושי נפט (מימון) בע"מ</t>
  </si>
  <si>
    <t>515060044</t>
  </si>
  <si>
    <t>רציו מימון אגח ד</t>
  </si>
  <si>
    <t>IL0011781445</t>
  </si>
  <si>
    <t>31/10/2029</t>
  </si>
  <si>
    <t>APPLE COMPUTER INC</t>
  </si>
  <si>
    <t>HWUPKR0MPOU8FGXBT394</t>
  </si>
  <si>
    <t>AAPL 2.5 02/25</t>
  </si>
  <si>
    <t>US037833AZ38</t>
  </si>
  <si>
    <t>09/02/2025</t>
  </si>
  <si>
    <t>AMZN3 3.8 12/24</t>
  </si>
  <si>
    <t>US023135AN60</t>
  </si>
  <si>
    <t>ATRSAV 2.625</t>
  </si>
  <si>
    <t>XS2294495838</t>
  </si>
  <si>
    <t>05/09/2027</t>
  </si>
  <si>
    <t>Broadcom Inc</t>
  </si>
  <si>
    <t>549300WV6GIDOZJTV909</t>
  </si>
  <si>
    <t>AVGO 2.45 2/31</t>
  </si>
  <si>
    <t>US11135FBH38</t>
  </si>
  <si>
    <t>BANK LEUMI LE-I</t>
  </si>
  <si>
    <t>IL0060406878</t>
  </si>
  <si>
    <t>27/07/2027</t>
  </si>
  <si>
    <t>CITYCON TREASURY BV</t>
  </si>
  <si>
    <t>549300WAE0CGQ0IE1H63</t>
  </si>
  <si>
    <t>CITCON 1 5/8 03</t>
  </si>
  <si>
    <t>XS2310411090</t>
  </si>
  <si>
    <t>Ba1</t>
  </si>
  <si>
    <t>12/03/2028</t>
  </si>
  <si>
    <t>DANA INC</t>
  </si>
  <si>
    <t>KVWHW7YLZPFJM8QYNJ51</t>
  </si>
  <si>
    <t>DAN 4.5 2/32</t>
  </si>
  <si>
    <t>US235825AJ53</t>
  </si>
  <si>
    <t>B1</t>
  </si>
  <si>
    <t>HF Sinclair Corp</t>
  </si>
  <si>
    <t>28669</t>
  </si>
  <si>
    <t>DINO 4.5 01/10/30</t>
  </si>
  <si>
    <t>USU4322CAC74</t>
  </si>
  <si>
    <t>01/10/2030</t>
  </si>
  <si>
    <t>dick's sporting goods inc</t>
  </si>
  <si>
    <t>529900SSBV5I4LWSK313</t>
  </si>
  <si>
    <t>DSK 3.15 15/01/32</t>
  </si>
  <si>
    <t>US253393AF94</t>
  </si>
  <si>
    <t>15/01/2032</t>
  </si>
  <si>
    <t>EBAY INC</t>
  </si>
  <si>
    <t>OML71K8X303XQONU6T67</t>
  </si>
  <si>
    <t>EBAY 2.7 11/3/3</t>
  </si>
  <si>
    <t>US278642AW32</t>
  </si>
  <si>
    <t>11/03/2030</t>
  </si>
  <si>
    <t>ENOGLN 6.50  4/27</t>
  </si>
  <si>
    <t>USG3044DAA49</t>
  </si>
  <si>
    <t>B+</t>
  </si>
  <si>
    <t>Fedex corp</t>
  </si>
  <si>
    <t>549300E707U7WNPZN687</t>
  </si>
  <si>
    <t>FDX 4.25</t>
  </si>
  <si>
    <t>US31428XBZ87</t>
  </si>
  <si>
    <t>15/05/2030</t>
  </si>
  <si>
    <t>FS KKR CAPITAL CORP</t>
  </si>
  <si>
    <t>549300TYRSI1T21B1360</t>
  </si>
  <si>
    <t>FSK 3.125 10/12</t>
  </si>
  <si>
    <t>US302635AK33</t>
  </si>
  <si>
    <t>Diversified Financial Services Financial Services</t>
  </si>
  <si>
    <t>12/10/2028</t>
  </si>
  <si>
    <t>ITHACA ENERGY NORTH</t>
  </si>
  <si>
    <t>213800BMMUN3AKWBIO91</t>
  </si>
  <si>
    <t>IAECN 9 15/7/26 ITHACA</t>
  </si>
  <si>
    <t>USG49774AB18</t>
  </si>
  <si>
    <t>B3</t>
  </si>
  <si>
    <t>איי.סי.אל גרופ בע"מ (דואלי)</t>
  </si>
  <si>
    <t>520027830</t>
  </si>
  <si>
    <t>ISRAEL CHEMICAL</t>
  </si>
  <si>
    <t>IL0028103310</t>
  </si>
  <si>
    <t>31/05/2038</t>
  </si>
  <si>
    <t>KRAFT HEINZ CO/T</t>
  </si>
  <si>
    <t>5493003STKEZ2S0RNU91</t>
  </si>
  <si>
    <t>KRAFT 3.75</t>
  </si>
  <si>
    <t>US50077LAV80</t>
  </si>
  <si>
    <t>01/04/2030</t>
  </si>
  <si>
    <t>MCDONALD'S CORP</t>
  </si>
  <si>
    <t>UE2136O97NLB5BYP9H04</t>
  </si>
  <si>
    <t>MCD 3.6 7/30</t>
  </si>
  <si>
    <t>US58013MFQ24</t>
  </si>
  <si>
    <t>01/07/2030</t>
  </si>
  <si>
    <t>MOTOROLA INC</t>
  </si>
  <si>
    <t>6S552MUG6KGJVEBSEC55</t>
  </si>
  <si>
    <t>MSI 4.6 05/23/2</t>
  </si>
  <si>
    <t>US620076BN89</t>
  </si>
  <si>
    <t>23/05/2029</t>
  </si>
  <si>
    <t>ORACLE CORP</t>
  </si>
  <si>
    <t>1Z4GXXU7ZHVWFCD8TV52</t>
  </si>
  <si>
    <t>ORACLE 3.25</t>
  </si>
  <si>
    <t>US68389XBN49</t>
  </si>
  <si>
    <t>perrigo finance</t>
  </si>
  <si>
    <t>549300E86RB6YCTMRM83</t>
  </si>
  <si>
    <t>PRGO 4.375 3/26</t>
  </si>
  <si>
    <t>US71429MAB19</t>
  </si>
  <si>
    <t>15/03/2026</t>
  </si>
  <si>
    <t>TEVA 3.75</t>
  </si>
  <si>
    <t>XS2406607098</t>
  </si>
  <si>
    <t>09/05/2027</t>
  </si>
  <si>
    <t>TEVA 4.375 30</t>
  </si>
  <si>
    <t>XS2406607171</t>
  </si>
  <si>
    <t>09/05/2030</t>
  </si>
  <si>
    <t>TEVA PHARMACEUT</t>
  </si>
  <si>
    <t>US88167AAE10</t>
  </si>
  <si>
    <t>01/10/2026</t>
  </si>
  <si>
    <t>VERIZON COMMUNICATI</t>
  </si>
  <si>
    <t>2S72QS2UO2OESLG6Y829</t>
  </si>
  <si>
    <t>VERIZON 4.016 1</t>
  </si>
  <si>
    <t>US92343VEU44</t>
  </si>
  <si>
    <t>03/12/2029</t>
  </si>
  <si>
    <t>Viatris Inc</t>
  </si>
  <si>
    <t>254900ZZTSW7NL773X71</t>
  </si>
  <si>
    <t>VTRS 2.3 06.22.27 corp</t>
  </si>
  <si>
    <t>US92556VAC00</t>
  </si>
  <si>
    <t>22/06/2027</t>
  </si>
  <si>
    <t>Chamoss International Limited</t>
  </si>
  <si>
    <t>633896</t>
  </si>
  <si>
    <t>שמוס אגח א</t>
  </si>
  <si>
    <t>IL0011559510</t>
  </si>
  <si>
    <t>10/07/2028</t>
  </si>
  <si>
    <t>עילוי פיננסי בע"מ לשעבר אס.אר אק טכנ,שרם פודים טכ</t>
  </si>
  <si>
    <t>512882804</t>
  </si>
  <si>
    <t>שרם פוד טכ אג3</t>
  </si>
  <si>
    <t>1096353</t>
  </si>
  <si>
    <t>28/02/2013</t>
  </si>
  <si>
    <t>מזרחי טפחות הנפ מסחרי 3</t>
  </si>
  <si>
    <t>IL0012075474</t>
  </si>
  <si>
    <t>05/06/2025</t>
  </si>
  <si>
    <t>חוזים עתידיים בחול</t>
  </si>
  <si>
    <t>10527</t>
  </si>
  <si>
    <t>F 09/24 MICRO S HWAU4 INDEX</t>
  </si>
  <si>
    <t>HWAU4 Index</t>
  </si>
  <si>
    <t>F 9/24 MINI DAX DFWU4 INDEX</t>
  </si>
  <si>
    <t>DFWU4 Index</t>
  </si>
  <si>
    <t>F 9/24 SPI 200 XPU4 INDEX</t>
  </si>
  <si>
    <t>XPU4 INDEX</t>
  </si>
  <si>
    <t>ASX </t>
  </si>
  <si>
    <t>F-07/24 MINI HANG SENG HUN4 INDEX</t>
  </si>
  <si>
    <t>HUN4 INDEX</t>
  </si>
  <si>
    <t>F-09/24 E MINI RTYU4 INDEX</t>
  </si>
  <si>
    <t>RTYU4 Index</t>
  </si>
  <si>
    <t>F-09/24 EUROSTO VGU4 INDEX</t>
  </si>
  <si>
    <t>VGU4 Index</t>
  </si>
  <si>
    <t>S&amp;P 500 EMINI F ESU4 INDEX</t>
  </si>
  <si>
    <t>ESU4 Index</t>
  </si>
  <si>
    <t>F 09/24 MICRO N HWBU4 INDEX</t>
  </si>
  <si>
    <t>HWBU4 Index</t>
  </si>
  <si>
    <t>F 9/24 MINI DOW DMU4 INDEX</t>
  </si>
  <si>
    <t>DMU4 Index</t>
  </si>
  <si>
    <t>NASDAQ 100 E MI NQU4 INDEX</t>
  </si>
  <si>
    <t>NQU4 INDEX</t>
  </si>
  <si>
    <t>אלומה אופ 1</t>
  </si>
  <si>
    <t>IL0011909251</t>
  </si>
  <si>
    <t>01/11/2026</t>
  </si>
  <si>
    <t>אלומיי אופ 2</t>
  </si>
  <si>
    <t>IL0012030826</t>
  </si>
  <si>
    <t>05/01/2028</t>
  </si>
  <si>
    <t>מניבים ריט אפ 4</t>
  </si>
  <si>
    <t>IL0011993222</t>
  </si>
  <si>
    <t>07/12/2025</t>
  </si>
  <si>
    <t>אלומיי  אפ 1</t>
  </si>
  <si>
    <t>IL0011693251</t>
  </si>
  <si>
    <t>15/10/2024</t>
  </si>
  <si>
    <t>זוז פאוור בע"מ</t>
  </si>
  <si>
    <t>514881564</t>
  </si>
  <si>
    <t>זוז פאוור אופ 3</t>
  </si>
  <si>
    <t>IL0011853210</t>
  </si>
  <si>
    <t>פטרוכימים  אפ 1</t>
  </si>
  <si>
    <t>IL0011903056</t>
  </si>
  <si>
    <t>25/10/2026</t>
  </si>
  <si>
    <t>NAV
(במטבע הדיווח של קרן ההשקעה)</t>
  </si>
  <si>
    <t>Ap Partners</t>
  </si>
  <si>
    <t>515472009</t>
  </si>
  <si>
    <t>AP Partners קרן השקעה</t>
  </si>
  <si>
    <t>17/04/2018</t>
  </si>
  <si>
    <t>30/04/2024</t>
  </si>
  <si>
    <t xml:space="preserve">Electra Capital PM </t>
  </si>
  <si>
    <t>87-4404526</t>
  </si>
  <si>
    <t>ELECTRA CAPITAL PM קרן השקעה</t>
  </si>
  <si>
    <t>18/03/2020</t>
  </si>
  <si>
    <t>30/05/2024</t>
  </si>
  <si>
    <t>יסודות א נדלן ופיתוח שותפות מוגבלת</t>
  </si>
  <si>
    <t>550263420</t>
  </si>
  <si>
    <t>יסודות אנקס קרן נדלן</t>
  </si>
  <si>
    <t>09/10/2016</t>
  </si>
  <si>
    <t>יסודות קרן נדלן</t>
  </si>
  <si>
    <t>07/09/2015</t>
  </si>
  <si>
    <t>Madison Realty Capital</t>
  </si>
  <si>
    <t>84-2386457</t>
  </si>
  <si>
    <t>מדיסון 4 - קרן השקעה</t>
  </si>
  <si>
    <t>16/05/2024</t>
  </si>
  <si>
    <t>מדיסון 5 - קרן השקעה</t>
  </si>
  <si>
    <t>09/06/2024</t>
  </si>
  <si>
    <t>קרן נוי 2 להשקעה בתשתיות אנרגיה</t>
  </si>
  <si>
    <t>550241467</t>
  </si>
  <si>
    <t>נוי 2  - קרן השקעה חשמל</t>
  </si>
  <si>
    <t>23/12/2014</t>
  </si>
  <si>
    <t>26/06/2024</t>
  </si>
  <si>
    <t>קוגיטו קפיטל אל.אמ.אי שותף כללי, שותפות מוגבלת</t>
  </si>
  <si>
    <t>550270912</t>
  </si>
  <si>
    <t>קוגיטו קפיטל קרן השקעה</t>
  </si>
  <si>
    <t>14/12/2015</t>
  </si>
  <si>
    <t>29/05/2024</t>
  </si>
  <si>
    <t>קוגיטו קרן משלימה</t>
  </si>
  <si>
    <t>12/12/2016</t>
  </si>
  <si>
    <t>05/06/2024</t>
  </si>
  <si>
    <t>קרדיטו בע"מ</t>
  </si>
  <si>
    <t>515251494</t>
  </si>
  <si>
    <t>קרדיטו - קרן השקעה</t>
  </si>
  <si>
    <t>22/03/2020</t>
  </si>
  <si>
    <t>Accelmed Growth Partners L.P</t>
  </si>
  <si>
    <t>MC-83827</t>
  </si>
  <si>
    <t>קרן אקסלמד</t>
  </si>
  <si>
    <t>30/12/2015</t>
  </si>
  <si>
    <t>לידר החזקות והשקעות בע"מ</t>
  </si>
  <si>
    <t>520037664</t>
  </si>
  <si>
    <t>קרן לידר טופ קפיטל</t>
  </si>
  <si>
    <t>04/06/2024</t>
  </si>
  <si>
    <t>קרן שביט 4</t>
  </si>
  <si>
    <t>550271712</t>
  </si>
  <si>
    <t>שביט קרן השקעה</t>
  </si>
  <si>
    <t>05/09/2018</t>
  </si>
  <si>
    <t>14/04/2024</t>
  </si>
  <si>
    <t>Frux Capital Investments</t>
  </si>
  <si>
    <t>B252604</t>
  </si>
  <si>
    <t>Frux Debt Fund II</t>
  </si>
  <si>
    <t>16/12/2021</t>
  </si>
  <si>
    <t>06/06/2024</t>
  </si>
  <si>
    <t>Hamilton Lane Advisors, LLC</t>
  </si>
  <si>
    <t xml:space="preserve">98-1588386 </t>
  </si>
  <si>
    <t>Hamilton Lane VII LP</t>
  </si>
  <si>
    <t>ISF</t>
  </si>
  <si>
    <t>113507-CO</t>
  </si>
  <si>
    <t>ISF III OVERFLOW FUND</t>
  </si>
  <si>
    <t>26/01/2023</t>
  </si>
  <si>
    <t>13/06/2024</t>
  </si>
  <si>
    <t xml:space="preserve"> Electra Capital PM</t>
  </si>
  <si>
    <t>אלקטרה נדלן חוב 2 קרן  השקעה מחוג</t>
  </si>
  <si>
    <t>GOLDEN TREE</t>
  </si>
  <si>
    <t>549300WMN0QTKIC7M266</t>
  </si>
  <si>
    <t>גולדן טרי</t>
  </si>
  <si>
    <t>31/05/2022</t>
  </si>
  <si>
    <t>25/04/2024</t>
  </si>
  <si>
    <t>מדיסון 6 מחוג</t>
  </si>
  <si>
    <t>24/08/2022</t>
  </si>
  <si>
    <t>Viola Private Equity I L.P</t>
  </si>
  <si>
    <t>12169</t>
  </si>
  <si>
    <t>קרן VIOLA</t>
  </si>
  <si>
    <t>15/07/2021</t>
  </si>
  <si>
    <t>31/05/2024</t>
  </si>
  <si>
    <t>Penfund Capital Fund Inc</t>
  </si>
  <si>
    <t xml:space="preserve">793297201 RC0001 </t>
  </si>
  <si>
    <t>קרן השקעות פן פאנד</t>
  </si>
  <si>
    <t>20/09/2022</t>
  </si>
  <si>
    <t>27/06/2024</t>
  </si>
  <si>
    <t>Pantheon Private Debt</t>
  </si>
  <si>
    <t>549300SJMQ4H0G697179</t>
  </si>
  <si>
    <t>קרן פנתיאון</t>
  </si>
  <si>
    <t>Naftali Capital Partners L.p</t>
  </si>
  <si>
    <t>92-1884890</t>
  </si>
  <si>
    <t>Naftali Shaked Partners II Feeder LP</t>
  </si>
  <si>
    <t>03/04/2023</t>
  </si>
  <si>
    <t>אוורגרין ניהול בע"מ</t>
  </si>
  <si>
    <t>512835760</t>
  </si>
  <si>
    <t>אוורגרין- חשמל</t>
  </si>
  <si>
    <t>30/11/1999</t>
  </si>
  <si>
    <t>24/05/2023</t>
  </si>
  <si>
    <t>BRIDGES ISRAEL GP GROWTH FUND 1 LIMITED PARTNERSHI</t>
  </si>
  <si>
    <t>540279767</t>
  </si>
  <si>
    <t>פימי 2 חשמל</t>
  </si>
  <si>
    <t>30/06/2009</t>
  </si>
  <si>
    <t>אגד חברה לתחבורה בע"מ</t>
  </si>
  <si>
    <t>570012377</t>
  </si>
  <si>
    <t>אגד אגח 1-רמ</t>
  </si>
  <si>
    <t>IL0011987877</t>
  </si>
  <si>
    <t>16/08/2023</t>
  </si>
  <si>
    <t>מקורות אגח 8 רמ</t>
  </si>
  <si>
    <t>IL0011243461</t>
  </si>
  <si>
    <t>18/01/2023</t>
  </si>
  <si>
    <t>14/07/2048</t>
  </si>
  <si>
    <t>אי תלות</t>
  </si>
  <si>
    <t>אנרג'יאן ישראל פיננס בע"מ</t>
  </si>
  <si>
    <t>516301843</t>
  </si>
  <si>
    <t>ENOIGA 8.5  30/09/2033</t>
  </si>
  <si>
    <t>IL0011971442</t>
  </si>
  <si>
    <t>28/06/2023</t>
  </si>
  <si>
    <t>URBANCORP INC</t>
  </si>
  <si>
    <t>1656</t>
  </si>
  <si>
    <t>אורבנקורפ אגח א</t>
  </si>
  <si>
    <t>IL0011370413</t>
  </si>
  <si>
    <t>03/04/2024</t>
  </si>
  <si>
    <t>אורכית תקשורת (2014) בע"מ</t>
  </si>
  <si>
    <t>515169928</t>
  </si>
  <si>
    <t>אורכית אגח א ( מחוקה )</t>
  </si>
  <si>
    <t>IL0011032096</t>
  </si>
  <si>
    <t>26/03/2007</t>
  </si>
  <si>
    <t>30/12/2020</t>
  </si>
  <si>
    <t>05/01/2022</t>
  </si>
  <si>
    <t xml:space="preserve">אורמת טכנולגיות אינק </t>
  </si>
  <si>
    <t>5493000TSHHWY24VHM09</t>
  </si>
  <si>
    <t>אורמת אגח 4 רמ</t>
  </si>
  <si>
    <t>IL0011672123</t>
  </si>
  <si>
    <t>12/09/2016</t>
  </si>
  <si>
    <t>20/06/2041</t>
  </si>
  <si>
    <t>אורתם סהר הנדסה בע"מ</t>
  </si>
  <si>
    <t>512855404</t>
  </si>
  <si>
    <t>אורתם סהר אגח ה</t>
  </si>
  <si>
    <t>IL0011283962</t>
  </si>
  <si>
    <t>31/05/2020</t>
  </si>
  <si>
    <t>אינטרנט גולד - קווי זהב בע"מ</t>
  </si>
  <si>
    <t>520044264</t>
  </si>
  <si>
    <t>אינטרנט זהב אגח ד חשמל</t>
  </si>
  <si>
    <t>IL0011316143</t>
  </si>
  <si>
    <t>15/09/2022</t>
  </si>
  <si>
    <t>אלון חברת הדלק לישראל בע"מ</t>
  </si>
  <si>
    <t>520041690</t>
  </si>
  <si>
    <t>אלון חברת הדלק רמ אגח א מחוג</t>
  </si>
  <si>
    <t>IL0011015679</t>
  </si>
  <si>
    <t>31/12/2023</t>
  </si>
  <si>
    <t>אפריקה-ישראל להשקעות בע"מ</t>
  </si>
  <si>
    <t>520005067</t>
  </si>
  <si>
    <t>אפריקה אגח כז סכומים לקבל)</t>
  </si>
  <si>
    <t>IL0061104316</t>
  </si>
  <si>
    <t>31/08/2022</t>
  </si>
  <si>
    <t>30/09/2021</t>
  </si>
  <si>
    <t>01/07/2021</t>
  </si>
  <si>
    <t>אפריקה אגח כח (סכומים לקבל)</t>
  </si>
  <si>
    <t>IL0061104803</t>
  </si>
  <si>
    <t>ב.ס.ר אירופה בע"מ</t>
  </si>
  <si>
    <t>520033838</t>
  </si>
  <si>
    <t>בסר אירופה אגח ט</t>
  </si>
  <si>
    <t>IL0011701666</t>
  </si>
  <si>
    <t>בסר ט חש 12/12</t>
  </si>
  <si>
    <t>117019014</t>
  </si>
  <si>
    <t>31/03/2022</t>
  </si>
  <si>
    <t>ברוקלנד</t>
  </si>
  <si>
    <t>1814237</t>
  </si>
  <si>
    <t>ברוקלנד אפריל אגח ב (מחוקה- מחוג</t>
  </si>
  <si>
    <t>IL0011369936</t>
  </si>
  <si>
    <t>28/09/2023</t>
  </si>
  <si>
    <t>01/12/2021</t>
  </si>
  <si>
    <t xml:space="preserve">גדות מסופים כימיקלים (1985) בע"מ </t>
  </si>
  <si>
    <t>520040775</t>
  </si>
  <si>
    <t>גדות מספ אגח א רמ</t>
  </si>
  <si>
    <t>IL0011623209</t>
  </si>
  <si>
    <t>15/08/2018</t>
  </si>
  <si>
    <t>גמול חברה להשקעות בע"מ</t>
  </si>
  <si>
    <t>520018136</t>
  </si>
  <si>
    <t>גמול השקעות אגח ב</t>
  </si>
  <si>
    <t>IL0011167553</t>
  </si>
  <si>
    <t>דרך ארץ הייווייז (1997) בע"מ</t>
  </si>
  <si>
    <t>512475203</t>
  </si>
  <si>
    <t>דרך ארץ אגח ב ( מזנין)</t>
  </si>
  <si>
    <t>29991667</t>
  </si>
  <si>
    <t>31/01/2025</t>
  </si>
  <si>
    <t>הפועלים ש-ה מדד</t>
  </si>
  <si>
    <t>306620469</t>
  </si>
  <si>
    <t>30/01/2005</t>
  </si>
  <si>
    <t>30/01/2025</t>
  </si>
  <si>
    <t>חבס השקעות (1960) בע"מ</t>
  </si>
  <si>
    <t>520039017</t>
  </si>
  <si>
    <t>חבס אגח 4</t>
  </si>
  <si>
    <t>IL0041501243</t>
  </si>
  <si>
    <t>28/06/2019</t>
  </si>
  <si>
    <t>31/07/2022</t>
  </si>
  <si>
    <t xml:space="preserve">י.ח.ק להשקעות שותפות מוגבלת </t>
  </si>
  <si>
    <t>550016091</t>
  </si>
  <si>
    <t>י.ח.ק.  אגח ב רמ</t>
  </si>
  <si>
    <t>IL0011817835</t>
  </si>
  <si>
    <t>29/12/2022</t>
  </si>
  <si>
    <t>31/12/2028</t>
  </si>
  <si>
    <t>כלל תעשיות בע"מ</t>
  </si>
  <si>
    <t>520021874</t>
  </si>
  <si>
    <t>כלל תעש אגח טז-רמ</t>
  </si>
  <si>
    <t>IL0060802381</t>
  </si>
  <si>
    <t>25/12/2019</t>
  </si>
  <si>
    <t>מעין ונצ'ורס בע"מ</t>
  </si>
  <si>
    <t>512420647</t>
  </si>
  <si>
    <t>מעין ונצורס אגח ב' להמרה(מחוקה)</t>
  </si>
  <si>
    <t>IL0011351850</t>
  </si>
  <si>
    <t>06/04/2015</t>
  </si>
  <si>
    <t>02/04/2022</t>
  </si>
  <si>
    <t>31/10/2022</t>
  </si>
  <si>
    <t>14/07/2011</t>
  </si>
  <si>
    <t>נתיבי גז אג"ח א - רמ</t>
  </si>
  <si>
    <t>IL0011030843</t>
  </si>
  <si>
    <t>28/12/2006</t>
  </si>
  <si>
    <t>29/12/2026</t>
  </si>
  <si>
    <t>31/03/2024</t>
  </si>
  <si>
    <t>סיאלו טכנולוגיה ישראל בע"מ</t>
  </si>
  <si>
    <t>513310235</t>
  </si>
  <si>
    <t>סיאלו אגח א ( מחוקה )</t>
  </si>
  <si>
    <t>IL0011020604</t>
  </si>
  <si>
    <t>13/03/2007</t>
  </si>
  <si>
    <t>28/09/2019</t>
  </si>
  <si>
    <t>29/11/2018</t>
  </si>
  <si>
    <t>קאר אנד גו (סדרה א) בע"מ</t>
  </si>
  <si>
    <t>513406835</t>
  </si>
  <si>
    <t>קאר אנד גו</t>
  </si>
  <si>
    <t>IL0010882020</t>
  </si>
  <si>
    <t>D</t>
  </si>
  <si>
    <t>10/08/2007</t>
  </si>
  <si>
    <t>קאר אנד גו %7.4 (חודשי+קרן) 07</t>
  </si>
  <si>
    <t>10/08/2003</t>
  </si>
  <si>
    <t>28/12/2014</t>
  </si>
  <si>
    <t>קמור בע"מ</t>
  </si>
  <si>
    <t>520034117</t>
  </si>
  <si>
    <t>קמור אגח ו</t>
  </si>
  <si>
    <t>IL0013201186</t>
  </si>
  <si>
    <t>08/02/2024</t>
  </si>
  <si>
    <t>רפאל-רשות לפיתוח אמצעי לחימה בע"מ</t>
  </si>
  <si>
    <t>520042185</t>
  </si>
  <si>
    <t>רפאל אגח סדרה ה 2020/2026</t>
  </si>
  <si>
    <t>IL0011402927</t>
  </si>
  <si>
    <t>01/03/2017</t>
  </si>
  <si>
    <t>רפאל סד' ד 2020/2034</t>
  </si>
  <si>
    <t>IL0011402844</t>
  </si>
  <si>
    <t>15/09/2034</t>
  </si>
  <si>
    <t>רשות שדות התעופה בישראל</t>
  </si>
  <si>
    <t>500102868</t>
  </si>
  <si>
    <t>רש"ת אגח א - רמ</t>
  </si>
  <si>
    <t>IL0011873358</t>
  </si>
  <si>
    <t>רש"ת אגח ב -רמ</t>
  </si>
  <si>
    <t>IL0011873432</t>
  </si>
  <si>
    <t>31/12/2036</t>
  </si>
  <si>
    <t>תשתיות נפט ואנרגיה בעמ</t>
  </si>
  <si>
    <t>520027293</t>
  </si>
  <si>
    <t>תשת אנרג אגח א 2023/2040</t>
  </si>
  <si>
    <t>IL0011680878</t>
  </si>
  <si>
    <t>17/08/2020</t>
  </si>
  <si>
    <t>31/12/2040</t>
  </si>
  <si>
    <t>306620477</t>
  </si>
  <si>
    <t>קמור אגח ח מחוקה</t>
  </si>
  <si>
    <t>IL0013201343</t>
  </si>
  <si>
    <t>קמור ח חש11/12 מחוג</t>
  </si>
  <si>
    <t>132016714</t>
  </si>
  <si>
    <t>30/11/2014</t>
  </si>
  <si>
    <t>אלה פקדונות בע"מ</t>
  </si>
  <si>
    <t>515666881</t>
  </si>
  <si>
    <t>אלה פקדון אגח ד</t>
  </si>
  <si>
    <t>IL0011623043</t>
  </si>
  <si>
    <t>אלה פקדון אגח ה</t>
  </si>
  <si>
    <t>IL0011625774</t>
  </si>
  <si>
    <t>הראל פיקדון סחיר בע"מ</t>
  </si>
  <si>
    <t>515989440</t>
  </si>
  <si>
    <t>הראל פיקד אגח א</t>
  </si>
  <si>
    <t>IL0011596231</t>
  </si>
  <si>
    <t>אדמה פתרונות לחקלאות בע"מ</t>
  </si>
  <si>
    <t>520043605</t>
  </si>
  <si>
    <t>אדמה נעמ סדרה 2</t>
  </si>
  <si>
    <t>IL0011619835</t>
  </si>
  <si>
    <t>15/06/2023</t>
  </si>
  <si>
    <t>23/07/2024</t>
  </si>
  <si>
    <t>מרווח הוגן</t>
  </si>
  <si>
    <t>אלביט מערכות נעמ1-ל</t>
  </si>
  <si>
    <t>IL0011991572</t>
  </si>
  <si>
    <t>31/08/2023</t>
  </si>
  <si>
    <t>04/08/2028</t>
  </si>
  <si>
    <t>נוי 2</t>
  </si>
  <si>
    <t xml:space="preserve">יסודות </t>
  </si>
  <si>
    <t>יסודות (אנקס)</t>
  </si>
  <si>
    <t>קוגיטו - בערבות המדינה</t>
  </si>
  <si>
    <t>קוגיטו - משלימה</t>
  </si>
  <si>
    <t>אקסלמד</t>
  </si>
  <si>
    <t>AP Partners</t>
  </si>
  <si>
    <t>מדיסון 4</t>
  </si>
  <si>
    <t>מדיסון 5</t>
  </si>
  <si>
    <t>מדיסון 6</t>
  </si>
  <si>
    <t>אלקטרה נדל"ן חוב 2</t>
  </si>
  <si>
    <t>שביט</t>
  </si>
  <si>
    <t>קרדיטו</t>
  </si>
  <si>
    <t>ויולה</t>
  </si>
  <si>
    <t>פרוקס</t>
  </si>
  <si>
    <t>פנתיאון</t>
  </si>
  <si>
    <t>לידר טופ קפיטל</t>
  </si>
  <si>
    <t>קרן המילטון</t>
  </si>
  <si>
    <t>פן פאנד</t>
  </si>
  <si>
    <t>28614</t>
  </si>
  <si>
    <t>13075</t>
  </si>
  <si>
    <t>27425</t>
  </si>
  <si>
    <t>2105</t>
  </si>
  <si>
    <t>11314</t>
  </si>
  <si>
    <t>27178</t>
  </si>
  <si>
    <t>549300TS068SCJRDSP12</t>
  </si>
  <si>
    <t>קרן יסודות א להשקעה בנדלן</t>
  </si>
  <si>
    <t>11270</t>
  </si>
  <si>
    <t>2106</t>
  </si>
  <si>
    <t>550274542</t>
  </si>
  <si>
    <t>9486</t>
  </si>
  <si>
    <t>11542</t>
  </si>
  <si>
    <t>13166</t>
  </si>
  <si>
    <t>23-2962336</t>
  </si>
  <si>
    <t>11280</t>
  </si>
  <si>
    <t>אורן בנימין</t>
  </si>
  <si>
    <t>052-3187773</t>
  </si>
  <si>
    <t>ocpa75@gmail.com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</si>
</sst>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0.000"/>
    <numFmt numFmtId="165" formatCode="0.000%"/>
    <numFmt numFmtId="166" formatCode="_ &quot;₪&quot;\ * #,##0.0_ ;_ &quot;₪&quot;\ * \-#,##0.0_ ;_ &quot;₪&quot;\ * &quot;-&quot;??_ ;_ @_ "/>
    <numFmt numFmtId="167" formatCode="_ [$€-2]\ * #,##0.00_ ;_ [$€-2]\ * \-#,##0.00_ ;_ [$€-2]\ * &quot;-&quot;??_ ;_ @_ "/>
    <numFmt numFmtId="168" formatCode="_-[$$-409]* #,##0.00_ ;_-[$$-409]* \-#,##0.00\ ;_-[$$-409]* &quot;-&quot;??_ ;_-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7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44" fontId="2" fillId="0" borderId="0" applyFont="0" applyFill="0" applyBorder="0" applyAlignment="0" applyProtection="0"/>
    <xf numFmtId="0" fontId="30" fillId="0" borderId="0" applyNumberForma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4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4" fontId="0" fillId="0" borderId="0" xfId="0" applyNumberFormat="1" applyAlignment="1">
      <alignment horizontal="center"/>
    </xf>
    <xf numFmtId="4" fontId="4" fillId="0" borderId="0" xfId="0" applyNumberFormat="1" applyFont="1"/>
    <xf numFmtId="4" fontId="3" fillId="0" borderId="0" xfId="0" applyNumberFormat="1" applyFont="1"/>
    <xf numFmtId="4" fontId="3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4" fontId="25" fillId="0" borderId="0" xfId="0" applyNumberFormat="1" applyFont="1" applyProtection="1">
      <protection locked="0"/>
    </xf>
    <xf numFmtId="4" fontId="25" fillId="0" borderId="0" xfId="0" applyNumberFormat="1" applyFont="1"/>
    <xf numFmtId="4" fontId="0" fillId="0" borderId="0" xfId="0" applyNumberFormat="1"/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>
      <alignment horizontal="center"/>
    </xf>
    <xf numFmtId="4" fontId="2" fillId="0" borderId="0" xfId="0" applyNumberFormat="1" applyFont="1"/>
    <xf numFmtId="165" fontId="7" fillId="3" borderId="3" xfId="4" applyNumberFormat="1" applyFont="1" applyFill="1" applyBorder="1" applyAlignment="1">
      <alignment horizontal="center" vertical="center" wrapText="1"/>
    </xf>
    <xf numFmtId="165" fontId="26" fillId="0" borderId="0" xfId="4" applyNumberFormat="1" applyFont="1" applyAlignment="1">
      <alignment horizontal="center"/>
    </xf>
    <xf numFmtId="165" fontId="0" fillId="0" borderId="0" xfId="4" applyNumberFormat="1" applyFont="1"/>
    <xf numFmtId="165" fontId="4" fillId="0" borderId="0" xfId="4" applyNumberFormat="1" applyFont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/>
    <xf numFmtId="165" fontId="3" fillId="0" borderId="0" xfId="4" applyNumberFormat="1" applyFont="1"/>
    <xf numFmtId="165" fontId="3" fillId="0" borderId="0" xfId="0" applyNumberFormat="1" applyFont="1"/>
    <xf numFmtId="165" fontId="3" fillId="0" borderId="0" xfId="4" applyNumberFormat="1" applyFont="1" applyProtection="1">
      <protection locked="0"/>
    </xf>
    <xf numFmtId="165" fontId="3" fillId="0" borderId="0" xfId="0" applyNumberFormat="1" applyFont="1" applyProtection="1">
      <protection locked="0"/>
    </xf>
    <xf numFmtId="165" fontId="4" fillId="0" borderId="0" xfId="4" applyNumberFormat="1" applyFont="1" applyProtection="1">
      <protection locked="0"/>
    </xf>
    <xf numFmtId="165" fontId="4" fillId="0" borderId="0" xfId="0" applyNumberFormat="1" applyFont="1" applyProtection="1">
      <protection locked="0"/>
    </xf>
    <xf numFmtId="165" fontId="0" fillId="0" borderId="0" xfId="0" applyNumberFormat="1"/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Protection="1">
      <protection locked="0"/>
    </xf>
    <xf numFmtId="165" fontId="2" fillId="0" borderId="0" xfId="4" applyNumberFormat="1" applyFont="1"/>
    <xf numFmtId="10" fontId="28" fillId="0" borderId="0" xfId="4" applyNumberFormat="1" applyFont="1" applyAlignment="1">
      <alignment horizontal="center"/>
    </xf>
    <xf numFmtId="166" fontId="28" fillId="0" borderId="0" xfId="5" applyNumberFormat="1" applyFont="1" applyAlignment="1">
      <alignment horizontal="center"/>
    </xf>
    <xf numFmtId="0" fontId="7" fillId="3" borderId="21" xfId="0" applyFont="1" applyFill="1" applyBorder="1" applyAlignment="1">
      <alignment horizontal="center" vertical="center" wrapText="1"/>
    </xf>
    <xf numFmtId="44" fontId="28" fillId="0" borderId="0" xfId="5" applyFont="1" applyAlignment="1">
      <alignment horizontal="center"/>
    </xf>
    <xf numFmtId="14" fontId="2" fillId="0" borderId="0" xfId="0" applyNumberFormat="1" applyFont="1" applyProtection="1">
      <protection locked="0"/>
    </xf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29" fillId="0" borderId="0" xfId="0" applyFont="1"/>
    <xf numFmtId="44" fontId="28" fillId="0" borderId="0" xfId="5" applyFont="1" applyFill="1" applyAlignment="1">
      <alignment horizontal="center"/>
    </xf>
    <xf numFmtId="166" fontId="28" fillId="0" borderId="0" xfId="5" applyNumberFormat="1" applyFont="1" applyFill="1" applyAlignment="1">
      <alignment horizontal="center"/>
    </xf>
    <xf numFmtId="167" fontId="28" fillId="0" borderId="0" xfId="5" applyNumberFormat="1" applyFont="1" applyAlignment="1">
      <alignment horizontal="center"/>
    </xf>
    <xf numFmtId="168" fontId="28" fillId="0" borderId="0" xfId="5" applyNumberFormat="1" applyFont="1" applyAlignment="1">
      <alignment horizontal="center"/>
    </xf>
    <xf numFmtId="165" fontId="2" fillId="0" borderId="0" xfId="4" applyNumberFormat="1" applyFont="1" applyProtection="1">
      <protection locked="0"/>
    </xf>
    <xf numFmtId="165" fontId="2" fillId="0" borderId="0" xfId="0" applyNumberFormat="1" applyFont="1" applyProtection="1">
      <protection locked="0"/>
    </xf>
    <xf numFmtId="165" fontId="2" fillId="0" borderId="0" xfId="0" applyNumberFormat="1" applyFont="1"/>
    <xf numFmtId="10" fontId="2" fillId="0" borderId="0" xfId="4" applyNumberFormat="1" applyFont="1"/>
    <xf numFmtId="0" fontId="30" fillId="5" borderId="12" xfId="6" applyFill="1" applyBorder="1" applyAlignment="1" applyProtection="1">
      <alignment vertical="center" wrapText="1"/>
      <protection locked="0"/>
    </xf>
  </cellXfs>
  <cellStyles count="7">
    <cellStyle name="Comma" xfId="1" builtinId="3"/>
    <cellStyle name="Currency" xfId="5" builtinId="4"/>
    <cellStyle name="Hyperlink" xfId="6" builtinId="8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ndense val="0"/>
        <extend val="0"/>
        <color indexed="10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tyles" Target="style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externalLink" Target="externalLinks/externalLink3.xml" /><Relationship Id="rId40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2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theme" Target="theme/theme1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2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_rels/externalLink3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#" TargetMode="External" /></Relationships>
</file>

<file path=xl/worksheets/_rels/sheet3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topLeftCell="A6" workbookViewId="0">
      <selection activeCell="F14" sqref="F14"/>
    </sheetView>
  </sheetViews>
  <sheetFormatPr defaultRowHeight="14.4"/>
  <cols>
    <col min="1" max="1" width="29.44140625" bestFit="1" customWidth="1"/>
    <col min="2" max="2" width="11" customWidth="1"/>
    <col min="3" max="3" width="4.6640625" customWidth="1"/>
    <col min="4" max="4" width="67.44140625" customWidth="1"/>
    <col min="10" max="10" width="34.77734375" customWidth="1"/>
    <col min="11" max="11" width="25.88671875" customWidth="1"/>
    <col min="12" max="12" width="21.44140625" customWidth="1"/>
  </cols>
  <sheetData>
    <row r="1" spans="1:8" ht="17.399999999999999">
      <c r="A1" s="32" t="s">
        <v>367</v>
      </c>
      <c r="B1" s="33"/>
      <c r="C1" s="33"/>
      <c r="D1" s="33"/>
    </row>
    <row r="3" spans="1:8">
      <c r="A3" t="s">
        <v>368</v>
      </c>
      <c r="D3" s="101" t="s">
        <v>369</v>
      </c>
    </row>
    <row r="5" spans="1:8" ht="15">
      <c r="A5" t="s">
        <v>370</v>
      </c>
      <c r="D5" s="101" t="s">
        <v>1380</v>
      </c>
    </row>
    <row r="7" spans="1:8" ht="15">
      <c r="A7" t="s">
        <v>371</v>
      </c>
      <c r="D7" s="101" t="s">
        <v>1385</v>
      </c>
    </row>
    <row r="8" spans="1:8">
      <c r="D8" s="31"/>
      <c r="E8" s="31"/>
      <c r="F8" s="31"/>
      <c r="G8" s="31"/>
      <c r="H8" s="31"/>
    </row>
    <row r="9" spans="1:8" ht="15">
      <c r="A9" t="s">
        <v>372</v>
      </c>
      <c r="D9" s="101">
        <v>2024</v>
      </c>
    </row>
    <row r="11" spans="1:8" ht="15">
      <c r="A11" t="s">
        <v>373</v>
      </c>
      <c r="D11" s="101" t="s">
        <v>1442</v>
      </c>
    </row>
    <row r="13" spans="1:8">
      <c r="A13" t="s">
        <v>374</v>
      </c>
      <c r="D13" s="102">
        <f>IFERROR(VLOOKUP(D11,'File Name Info'!A35:B121,2,0),"תא מחושב")</f>
        <v>512362914</v>
      </c>
    </row>
    <row r="15" spans="1:8">
      <c r="A15" s="17" t="s">
        <v>375</v>
      </c>
      <c r="D15" s="10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512362914_gm_0224.xlxs</v>
      </c>
    </row>
    <row r="16" spans="1:8">
      <c r="A16" s="17"/>
      <c r="D16" s="31"/>
      <c r="E16" s="31"/>
      <c r="F16" s="31"/>
      <c r="G16" s="31"/>
      <c r="H16" s="31"/>
    </row>
    <row r="17" spans="1:8" ht="15">
      <c r="A17" s="17" t="s">
        <v>376</v>
      </c>
      <c r="B17" s="15" t="s">
        <v>377</v>
      </c>
      <c r="C17" s="15"/>
      <c r="D17" s="103" t="s">
        <v>3404</v>
      </c>
    </row>
    <row r="18" spans="1:8">
      <c r="A18" s="13"/>
      <c r="D18" s="16"/>
      <c r="E18" s="16"/>
      <c r="F18" s="16"/>
      <c r="G18" s="16"/>
      <c r="H18" s="16"/>
    </row>
    <row r="19" spans="1:8" ht="15">
      <c r="A19" s="13"/>
      <c r="B19" s="15" t="s">
        <v>378</v>
      </c>
      <c r="C19" s="15"/>
      <c r="D19" s="103" t="s">
        <v>3405</v>
      </c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379</v>
      </c>
      <c r="C21" s="15"/>
      <c r="D21" s="191" t="s">
        <v>3406</v>
      </c>
    </row>
    <row r="22" spans="1:8">
      <c r="A22" s="13"/>
      <c r="B22" s="14"/>
      <c r="C22" s="14"/>
    </row>
    <row r="23" spans="1:8">
      <c r="A23" s="17" t="s">
        <v>380</v>
      </c>
      <c r="D23" t="s">
        <v>381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8" priority="13" operator="containsText" text="Please fill in data">
      <formula>NOT(ISERROR(SEARCH("Please fill in data",D3)))</formula>
    </cfRule>
  </conditionalFormatting>
  <conditionalFormatting sqref="D5">
    <cfRule type="containsText" dxfId="7" priority="7" operator="containsText" text="Please fill in data">
      <formula>NOT(ISERROR(SEARCH("Please fill in data",D5)))</formula>
    </cfRule>
  </conditionalFormatting>
  <conditionalFormatting sqref="D7:D9">
    <cfRule type="containsText" dxfId="6" priority="5" operator="containsText" text="Please fill in data">
      <formula>NOT(ISERROR(SEARCH("Please fill in data",D7)))</formula>
    </cfRule>
  </conditionalFormatting>
  <conditionalFormatting sqref="D11">
    <cfRule type="containsText" dxfId="5" priority="4" operator="containsText" text="Please fill in data">
      <formula>NOT(ISERROR(SEARCH("Please fill in data",D11)))</formula>
    </cfRule>
  </conditionalFormatting>
  <conditionalFormatting sqref="D13">
    <cfRule type="containsText" dxfId="4" priority="3" operator="containsText" text="Please fill in data">
      <formula>NOT(ISERROR(SEARCH("Please fill in data",D13)))</formula>
    </cfRule>
  </conditionalFormatting>
  <conditionalFormatting sqref="D15:D17">
    <cfRule type="containsText" dxfId="3" priority="1" operator="containsText" text="Please fill in data">
      <formula>NOT(ISERROR(SEARCH("Please fill in data",D15)))</formula>
    </cfRule>
  </conditionalFormatting>
  <conditionalFormatting sqref="D19">
    <cfRule type="containsText" dxfId="2" priority="20" operator="containsText" text="Please fill in data">
      <formula>NOT(ISERROR(SEARCH("Please fill in data",D19)))</formula>
    </cfRule>
  </conditionalFormatting>
  <conditionalFormatting sqref="D21">
    <cfRule type="containsText" dxfId="1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86A18EE4-7C24-460B-8173-7D5CA6BCFED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/>
  </sheetViews>
  <sheetFormatPr defaultColWidth="9" defaultRowHeight="13.8"/>
  <cols>
    <col min="1" max="1" width="42.77734375" style="9" customWidth="1"/>
    <col min="2" max="2" width="13" style="136" customWidth="1"/>
    <col min="3" max="3" width="13" style="10" customWidth="1"/>
    <col min="4" max="4" width="13" style="136" customWidth="1"/>
    <col min="5" max="5" width="13" style="141" customWidth="1"/>
    <col min="6" max="6" width="11.109375" style="9" customWidth="1"/>
    <col min="7" max="8" width="8.6640625" style="9" customWidth="1"/>
    <col min="9" max="10" width="9" style="9" customWidth="1"/>
    <col min="11" max="12" width="8.6640625" style="9" customWidth="1"/>
    <col min="13" max="13" width="9" style="9" customWidth="1"/>
    <col min="14" max="16384" width="9" style="9"/>
  </cols>
  <sheetData>
    <row r="1" spans="1:5" ht="18.75" customHeight="1">
      <c r="A1" s="44"/>
      <c r="B1" s="133"/>
      <c r="C1" s="104" t="s">
        <v>1359</v>
      </c>
      <c r="D1" s="137"/>
      <c r="E1" s="138"/>
    </row>
    <row r="2" spans="1:5" ht="39.75" customHeight="1">
      <c r="A2" s="44"/>
      <c r="B2" s="133" t="s">
        <v>37</v>
      </c>
      <c r="C2" s="45" t="s">
        <v>1087</v>
      </c>
      <c r="D2" s="133" t="s">
        <v>22</v>
      </c>
      <c r="E2" s="138" t="s">
        <v>1360</v>
      </c>
    </row>
    <row r="3" spans="1:5">
      <c r="A3" s="47" t="s">
        <v>1140</v>
      </c>
      <c r="B3" s="134">
        <f>SUM('מזומנים ושווי מזומנים'!O:O)</f>
        <v>137306.97299999997</v>
      </c>
      <c r="C3" s="48"/>
      <c r="D3" s="134">
        <f>B3+C3</f>
        <v>137306.97299999997</v>
      </c>
      <c r="E3" s="139">
        <f>SUM('מזומנים ושווי מזומנים'!O:O)/B30</f>
        <v>5.7036913883191584E-2</v>
      </c>
    </row>
    <row r="4" spans="1:5">
      <c r="A4" s="47" t="s">
        <v>1150</v>
      </c>
      <c r="B4" s="134">
        <f>SUM('איגרות חוב ממשלתיות'!U:U)</f>
        <v>1072328.1669999997</v>
      </c>
      <c r="C4" s="48"/>
      <c r="D4" s="134">
        <f t="shared" ref="D4:D29" si="0">B4+C4</f>
        <v>1072328.1669999997</v>
      </c>
      <c r="E4" s="139">
        <f>SUM('איגרות חוב ממשלתיות'!U:U)/B30</f>
        <v>0.44544197559216225</v>
      </c>
    </row>
    <row r="5" spans="1:5">
      <c r="A5" s="47" t="s">
        <v>1152</v>
      </c>
      <c r="B5" s="134">
        <f>SUM('ניירות ערך מסחריים'!AD:AD)</f>
        <v>2005.7390000000003</v>
      </c>
      <c r="C5" s="48"/>
      <c r="D5" s="134">
        <f t="shared" si="0"/>
        <v>2005.7390000000003</v>
      </c>
      <c r="E5" s="139">
        <f>SUM('ניירות ערך מסחריים'!AD:AD)/B30</f>
        <v>8.331780980646835E-4</v>
      </c>
    </row>
    <row r="6" spans="1:5">
      <c r="A6" s="47" t="s">
        <v>1153</v>
      </c>
      <c r="B6" s="134">
        <f>SUM('איגרות חוב'!AD:AD)</f>
        <v>413292.8389999998</v>
      </c>
      <c r="C6" s="48"/>
      <c r="D6" s="134">
        <f t="shared" si="0"/>
        <v>413292.8389999998</v>
      </c>
      <c r="E6" s="139">
        <f>SUM('איגרות חוב'!AD:AD)/B30</f>
        <v>0.17168063319393662</v>
      </c>
    </row>
    <row r="7" spans="1:5">
      <c r="A7" s="47" t="s">
        <v>1160</v>
      </c>
      <c r="B7" s="134">
        <f>SUM('מניות מבכ ויהש'!U:U)</f>
        <v>326138.90800000011</v>
      </c>
      <c r="C7" s="48"/>
      <c r="D7" s="134">
        <f t="shared" si="0"/>
        <v>326138.90800000011</v>
      </c>
      <c r="E7" s="139">
        <f>SUM('מניות מבכ ויהש'!U:U)/B30</f>
        <v>0.13547714586610363</v>
      </c>
    </row>
    <row r="8" spans="1:5">
      <c r="A8" s="47" t="s">
        <v>661</v>
      </c>
      <c r="B8" s="134">
        <f>SUM('קרנות סל'!T:T)</f>
        <v>151378.11800000007</v>
      </c>
      <c r="C8" s="48"/>
      <c r="D8" s="134">
        <f t="shared" si="0"/>
        <v>151378.11800000007</v>
      </c>
      <c r="E8" s="139">
        <f>SUM('קרנות סל'!T:T)/B30</f>
        <v>6.2882026247608122E-2</v>
      </c>
    </row>
    <row r="9" spans="1:5">
      <c r="A9" s="47" t="s">
        <v>1173</v>
      </c>
      <c r="B9" s="134">
        <f>SUM('קרנות נאמנות'!T:T)</f>
        <v>0</v>
      </c>
      <c r="C9" s="48"/>
      <c r="D9" s="134">
        <f t="shared" si="0"/>
        <v>0</v>
      </c>
      <c r="E9" s="139">
        <f>SUM('קרנות נאמנות'!T:T)/B30</f>
        <v>0</v>
      </c>
    </row>
    <row r="10" spans="1:5">
      <c r="A10" s="47" t="s">
        <v>1304</v>
      </c>
      <c r="B10" s="134">
        <f>SUM('כתבי אופציה'!W:W)</f>
        <v>193.57400000000001</v>
      </c>
      <c r="C10" s="48"/>
      <c r="D10" s="134">
        <f t="shared" si="0"/>
        <v>193.57400000000001</v>
      </c>
      <c r="E10" s="139">
        <f>SUM('כתבי אופציה'!W:W)/B30</f>
        <v>8.0410071876137933E-5</v>
      </c>
    </row>
    <row r="11" spans="1:5">
      <c r="A11" s="47" t="s">
        <v>1176</v>
      </c>
      <c r="B11" s="134">
        <f>SUM(אופציות!V:V)</f>
        <v>0</v>
      </c>
      <c r="C11" s="48"/>
      <c r="D11" s="134">
        <f t="shared" si="0"/>
        <v>0</v>
      </c>
      <c r="E11" s="139">
        <f>SUM(אופציות!V:V)/B30</f>
        <v>0</v>
      </c>
    </row>
    <row r="12" spans="1:5">
      <c r="A12" s="47" t="s">
        <v>1309</v>
      </c>
      <c r="B12" s="134">
        <f>SUM('חוזים עתידיים'!R:R)</f>
        <v>958.93799999999999</v>
      </c>
      <c r="C12" s="48"/>
      <c r="D12" s="134">
        <f t="shared" si="0"/>
        <v>958.93799999999999</v>
      </c>
      <c r="E12" s="139">
        <f>SUM('חוזים עתידיים'!R:R)/B30</f>
        <v>3.983400327769223E-4</v>
      </c>
    </row>
    <row r="13" spans="1:5">
      <c r="A13" s="47" t="s">
        <v>1181</v>
      </c>
      <c r="B13" s="134">
        <f>SUM('מוצרים מובנים'!Z:Z)</f>
        <v>18381.018</v>
      </c>
      <c r="C13" s="48"/>
      <c r="D13" s="134">
        <f t="shared" si="0"/>
        <v>18381.018</v>
      </c>
      <c r="E13" s="139">
        <f>SUM('מוצרים מובנים'!Z:Z)/B30</f>
        <v>7.6354209683975379E-3</v>
      </c>
    </row>
    <row r="14" spans="1:5">
      <c r="A14" s="47" t="s">
        <v>1188</v>
      </c>
      <c r="B14" s="134">
        <f>SUM('לא סחיר איגרות חוב ממשלתיות'!U:U)</f>
        <v>0</v>
      </c>
      <c r="C14" s="48"/>
      <c r="D14" s="134">
        <f t="shared" si="0"/>
        <v>0</v>
      </c>
      <c r="E14" s="139">
        <f>SUM('לא סחיר איגרות חוב ממשלתיות'!U:U)/B30</f>
        <v>0</v>
      </c>
    </row>
    <row r="15" spans="1:5">
      <c r="A15" s="47" t="s">
        <v>1189</v>
      </c>
      <c r="B15" s="134">
        <f>SUM('לא סחיר איגרות חוב מיועדות'!N:N)</f>
        <v>0</v>
      </c>
      <c r="C15" s="48"/>
      <c r="D15" s="134">
        <f t="shared" si="0"/>
        <v>0</v>
      </c>
      <c r="E15" s="139">
        <f>SUM('לא סחיר איגרות חוב מיועדות'!N:N)/B30</f>
        <v>0</v>
      </c>
    </row>
    <row r="16" spans="1:5">
      <c r="A16" s="47" t="s">
        <v>1195</v>
      </c>
      <c r="B16" s="134">
        <f>SUM('אפיק השקעה מובטח תשואה'!F:F)</f>
        <v>0</v>
      </c>
      <c r="C16" s="48"/>
      <c r="D16" s="134">
        <f t="shared" si="0"/>
        <v>0</v>
      </c>
      <c r="E16" s="139">
        <f>SUM('אפיק השקעה מובטח תשואה'!F:F)/B30</f>
        <v>0</v>
      </c>
    </row>
    <row r="17" spans="1:5">
      <c r="A17" s="47" t="s">
        <v>1199</v>
      </c>
      <c r="B17" s="134">
        <f>SUM('לא סחיר ניירות ערך מסחריים'!AI:AI)</f>
        <v>18910.401000000002</v>
      </c>
      <c r="C17" s="48"/>
      <c r="D17" s="134">
        <f t="shared" si="0"/>
        <v>18910.401000000002</v>
      </c>
      <c r="E17" s="139">
        <f>SUM('לא סחיר ניירות ערך מסחריים'!AI:AI)/B30</f>
        <v>7.8553251139956339E-3</v>
      </c>
    </row>
    <row r="18" spans="1:5">
      <c r="A18" s="47" t="s">
        <v>1201</v>
      </c>
      <c r="B18" s="134">
        <f>SUM('לא סחיר איגרות חוב'!AG:AG)</f>
        <v>45400.765999999981</v>
      </c>
      <c r="C18" s="48"/>
      <c r="D18" s="134">
        <f t="shared" si="0"/>
        <v>45400.765999999981</v>
      </c>
      <c r="E18" s="139">
        <f>SUM('לא סחיר איגרות חוב'!AG:AG)/B30</f>
        <v>1.8859345042679894E-2</v>
      </c>
    </row>
    <row r="19" spans="1:5">
      <c r="A19" s="47" t="s">
        <v>1204</v>
      </c>
      <c r="B19" s="134">
        <f>SUM('לא סחיר מניות מבכ ויהש'!X:X)</f>
        <v>0</v>
      </c>
      <c r="C19" s="48"/>
      <c r="D19" s="134">
        <f t="shared" si="0"/>
        <v>0</v>
      </c>
      <c r="E19" s="139">
        <f>SUM('לא סחיר מניות מבכ ויהש'!X:X)/B30</f>
        <v>0</v>
      </c>
    </row>
    <row r="20" spans="1:5">
      <c r="A20" s="47" t="s">
        <v>964</v>
      </c>
      <c r="B20" s="134">
        <f>SUM('קרנות השקעה'!W:W)</f>
        <v>144105.935</v>
      </c>
      <c r="C20" s="48"/>
      <c r="D20" s="134">
        <f t="shared" si="0"/>
        <v>144105.935</v>
      </c>
      <c r="E20" s="139">
        <f>SUM('קרנות השקעה'!W:W)/B30</f>
        <v>5.9861182757643384E-2</v>
      </c>
    </row>
    <row r="21" spans="1:5">
      <c r="A21" s="47" t="s">
        <v>1320</v>
      </c>
      <c r="B21" s="134">
        <f>SUM('לא סחיר כתבי אופציה'!Z:Z)</f>
        <v>0</v>
      </c>
      <c r="C21" s="48"/>
      <c r="D21" s="134">
        <f t="shared" si="0"/>
        <v>0</v>
      </c>
      <c r="E21" s="139">
        <f>SUM('לא סחיר כתבי אופציה'!Z:Z)/B30</f>
        <v>0</v>
      </c>
    </row>
    <row r="22" spans="1:5">
      <c r="A22" s="47" t="s">
        <v>1219</v>
      </c>
      <c r="B22" s="134">
        <f>SUM('לא סחיר אופציות'!Z:Z)</f>
        <v>0</v>
      </c>
      <c r="C22" s="48"/>
      <c r="D22" s="134">
        <f t="shared" si="0"/>
        <v>0</v>
      </c>
      <c r="E22" s="139">
        <f>SUM('לא סחיר אופציות'!Z:Z)/B30</f>
        <v>0</v>
      </c>
    </row>
    <row r="23" spans="1:5">
      <c r="A23" s="47" t="s">
        <v>1228</v>
      </c>
      <c r="B23" s="134">
        <f>SUM('לא סחיר נגזרים אחרים'!R:R)</f>
        <v>48208.140000000014</v>
      </c>
      <c r="C23" s="48"/>
      <c r="D23" s="134">
        <f t="shared" si="0"/>
        <v>48208.140000000014</v>
      </c>
      <c r="E23" s="139">
        <f>SUM('לא סחיר נגזרים אחרים'!R:R)/B30</f>
        <v>2.0025519968667905E-2</v>
      </c>
    </row>
    <row r="24" spans="1:5">
      <c r="A24" s="47" t="s">
        <v>1221</v>
      </c>
      <c r="B24" s="134">
        <f>SUM(הלוואות!AT:AT)</f>
        <v>5557.44</v>
      </c>
      <c r="C24" s="48"/>
      <c r="D24" s="134">
        <f t="shared" si="0"/>
        <v>5557.44</v>
      </c>
      <c r="E24" s="139">
        <f>SUM(הלוואות!AT:AT)/B30</f>
        <v>2.3085442768518705E-3</v>
      </c>
    </row>
    <row r="25" spans="1:5">
      <c r="A25" s="47" t="s">
        <v>1240</v>
      </c>
      <c r="B25" s="134">
        <f>SUM('לא סחיר מוצרים מובנים'!AB:AB)</f>
        <v>0</v>
      </c>
      <c r="C25" s="48"/>
      <c r="D25" s="134">
        <f t="shared" si="0"/>
        <v>0</v>
      </c>
      <c r="E25" s="139">
        <f>SUM('לא סחיר מוצרים מובנים'!AB:AB)/B30</f>
        <v>0</v>
      </c>
    </row>
    <row r="26" spans="1:5">
      <c r="A26" s="47" t="s">
        <v>1245</v>
      </c>
      <c r="B26" s="134">
        <f>SUM('פיקדונות מעל 3 חודשים'!T:T)</f>
        <v>21843.175000000003</v>
      </c>
      <c r="C26" s="48"/>
      <c r="D26" s="134">
        <f t="shared" si="0"/>
        <v>21843.175000000003</v>
      </c>
      <c r="E26" s="139">
        <f>SUM('פיקדונות מעל 3 חודשים'!T:T)/B30</f>
        <v>9.0735908322040117E-3</v>
      </c>
    </row>
    <row r="27" spans="1:5">
      <c r="A27" s="47" t="s">
        <v>1248</v>
      </c>
      <c r="B27" s="134">
        <f>SUM('זכויות מקרקעין'!S:S)</f>
        <v>1430</v>
      </c>
      <c r="C27" s="48"/>
      <c r="D27" s="134">
        <f t="shared" si="0"/>
        <v>1430</v>
      </c>
      <c r="E27" s="139">
        <f>SUM('זכויות מקרקעין'!S:S)/B30</f>
        <v>5.9401780602186889E-4</v>
      </c>
    </row>
    <row r="28" spans="1:5">
      <c r="A28" s="47" t="s">
        <v>1282</v>
      </c>
      <c r="B28" s="134">
        <f>SUM('השקעה בחברות מוחזקות'!U:U)</f>
        <v>0</v>
      </c>
      <c r="C28" s="48"/>
      <c r="D28" s="134">
        <f t="shared" si="0"/>
        <v>0</v>
      </c>
      <c r="E28" s="139">
        <f>SUM('השקעה בחברות מוחזקות'!U:U)/B30</f>
        <v>0</v>
      </c>
    </row>
    <row r="29" spans="1:5">
      <c r="A29" s="47" t="s">
        <v>1250</v>
      </c>
      <c r="B29" s="134">
        <f>SUM('נכסים אחרים'!N:N)</f>
        <v>-104.88699999999997</v>
      </c>
      <c r="C29" s="48"/>
      <c r="D29" s="134">
        <f t="shared" si="0"/>
        <v>-104.88699999999997</v>
      </c>
      <c r="E29" s="139">
        <f>SUM('נכסים אחרים'!N:N)/B30</f>
        <v>-4.356975218196905E-5</v>
      </c>
    </row>
    <row r="30" spans="1:5">
      <c r="A30" s="46" t="s">
        <v>1361</v>
      </c>
      <c r="B30" s="135">
        <f>IF(SUM(B3:B29)=0,0.0001,SUM(B3:B29))</f>
        <v>2407335.2439999995</v>
      </c>
      <c r="C30" s="49">
        <f t="shared" ref="C30:E30" si="1">SUM(C3:C29)</f>
        <v>0</v>
      </c>
      <c r="D30" s="135">
        <f t="shared" si="1"/>
        <v>2407335.2439999995</v>
      </c>
      <c r="E30" s="140">
        <f t="shared" si="1"/>
        <v>1.0000000000000002</v>
      </c>
    </row>
    <row r="31" spans="1:5">
      <c r="A31" s="47" t="s">
        <v>1358</v>
      </c>
      <c r="B31" s="134"/>
      <c r="C31" s="48"/>
      <c r="D31" s="134"/>
      <c r="E31" s="139"/>
    </row>
    <row r="32" spans="1:5">
      <c r="A32" s="47" t="s">
        <v>1362</v>
      </c>
      <c r="B32" s="134">
        <f>SUM('יתרות התחייבות להשקעה'!O:O)</f>
        <v>89410.517814000006</v>
      </c>
      <c r="C32" s="48"/>
      <c r="D32" s="134"/>
      <c r="E32" s="13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71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13" width="11.6640625" style="2" customWidth="1"/>
    <col min="14" max="14" width="11.6640625" style="144" customWidth="1"/>
    <col min="15" max="18" width="11.6640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346</v>
      </c>
      <c r="D1" s="19" t="s">
        <v>347</v>
      </c>
      <c r="E1" s="19" t="s">
        <v>348</v>
      </c>
      <c r="F1" s="19" t="s">
        <v>5</v>
      </c>
      <c r="G1" s="19" t="s">
        <v>6</v>
      </c>
      <c r="H1" s="19" t="s">
        <v>298</v>
      </c>
      <c r="I1" s="19" t="s">
        <v>350</v>
      </c>
      <c r="J1" s="19" t="s">
        <v>10</v>
      </c>
      <c r="K1" s="19" t="s">
        <v>11</v>
      </c>
      <c r="L1" s="19" t="s">
        <v>308</v>
      </c>
      <c r="M1" s="19" t="s">
        <v>18</v>
      </c>
      <c r="N1" s="159" t="s">
        <v>14</v>
      </c>
      <c r="O1" s="19" t="s">
        <v>20</v>
      </c>
      <c r="P1" s="163" t="s">
        <v>24</v>
      </c>
      <c r="Q1" s="163" t="s">
        <v>25</v>
      </c>
    </row>
    <row r="2" spans="1:17">
      <c r="A2" s="2" t="s">
        <v>26</v>
      </c>
      <c r="B2" s="2">
        <v>13711</v>
      </c>
      <c r="C2" s="2" t="s">
        <v>352</v>
      </c>
      <c r="D2" s="2" t="s">
        <v>353</v>
      </c>
      <c r="E2" s="4" t="s">
        <v>354</v>
      </c>
      <c r="F2" s="2" t="s">
        <v>1143</v>
      </c>
      <c r="G2" s="2" t="s">
        <v>31</v>
      </c>
      <c r="H2" s="2" t="s">
        <v>312</v>
      </c>
      <c r="I2" s="2" t="s">
        <v>357</v>
      </c>
      <c r="J2" s="2" t="s">
        <v>358</v>
      </c>
      <c r="K2" s="2" t="s">
        <v>1363</v>
      </c>
      <c r="L2" s="148">
        <v>26.225000000000001</v>
      </c>
      <c r="M2" s="149">
        <v>2.4929999999999999</v>
      </c>
      <c r="N2" s="160">
        <v>0</v>
      </c>
      <c r="O2" s="149">
        <v>65.381</v>
      </c>
      <c r="P2" s="164">
        <v>1.6718658904209701E-2</v>
      </c>
      <c r="Q2" s="164">
        <v>1.7810195391272899E-3</v>
      </c>
    </row>
    <row r="3" spans="1:17">
      <c r="A3" s="2" t="s">
        <v>26</v>
      </c>
      <c r="B3" s="2">
        <v>13711</v>
      </c>
      <c r="C3" s="2" t="s">
        <v>352</v>
      </c>
      <c r="D3" s="2" t="s">
        <v>353</v>
      </c>
      <c r="E3" s="18" t="s">
        <v>354</v>
      </c>
      <c r="F3" s="2" t="s">
        <v>1146</v>
      </c>
      <c r="G3" s="2" t="s">
        <v>31</v>
      </c>
      <c r="H3" s="2" t="s">
        <v>312</v>
      </c>
      <c r="I3" s="2" t="s">
        <v>357</v>
      </c>
      <c r="J3" s="2" t="s">
        <v>358</v>
      </c>
      <c r="K3" s="2" t="s">
        <v>1363</v>
      </c>
      <c r="L3" s="149">
        <v>-1.7549999999999999</v>
      </c>
      <c r="M3" s="149">
        <v>2.4929999999999999</v>
      </c>
      <c r="N3" s="161">
        <v>0</v>
      </c>
      <c r="O3" s="149">
        <v>-4.3769999999999998</v>
      </c>
      <c r="P3" s="164">
        <v>-1.1191384415548101E-3</v>
      </c>
      <c r="Q3" s="164">
        <v>-1.1922053334647E-4</v>
      </c>
    </row>
    <row r="4" spans="1:17">
      <c r="A4" s="2" t="s">
        <v>26</v>
      </c>
      <c r="B4" s="2">
        <v>13711</v>
      </c>
      <c r="C4" s="2" t="s">
        <v>352</v>
      </c>
      <c r="D4" s="2" t="s">
        <v>353</v>
      </c>
      <c r="E4" s="18" t="s">
        <v>354</v>
      </c>
      <c r="F4" s="2" t="s">
        <v>1146</v>
      </c>
      <c r="G4" s="2" t="s">
        <v>31</v>
      </c>
      <c r="H4" s="2" t="s">
        <v>312</v>
      </c>
      <c r="I4" s="2" t="s">
        <v>357</v>
      </c>
      <c r="J4" s="2" t="s">
        <v>358</v>
      </c>
      <c r="K4" s="2" t="s">
        <v>169</v>
      </c>
      <c r="L4" s="149">
        <v>16.956</v>
      </c>
      <c r="M4" s="149">
        <v>4.0199999999999996</v>
      </c>
      <c r="N4" s="161">
        <v>0</v>
      </c>
      <c r="O4" s="149">
        <v>68.165000000000006</v>
      </c>
      <c r="P4" s="164">
        <v>1.74304167177564E-2</v>
      </c>
      <c r="Q4" s="164">
        <v>1.85684228186738E-3</v>
      </c>
    </row>
    <row r="5" spans="1:17">
      <c r="A5" s="2" t="s">
        <v>26</v>
      </c>
      <c r="B5" s="2">
        <v>13711</v>
      </c>
      <c r="C5" s="2" t="s">
        <v>352</v>
      </c>
      <c r="D5" s="2" t="s">
        <v>353</v>
      </c>
      <c r="E5" s="18" t="s">
        <v>354</v>
      </c>
      <c r="F5" s="2" t="s">
        <v>1146</v>
      </c>
      <c r="G5" s="2" t="s">
        <v>31</v>
      </c>
      <c r="H5" s="2" t="s">
        <v>312</v>
      </c>
      <c r="I5" s="2" t="s">
        <v>357</v>
      </c>
      <c r="J5" s="2" t="s">
        <v>358</v>
      </c>
      <c r="K5" s="2" t="s">
        <v>1364</v>
      </c>
      <c r="L5" s="149">
        <v>20.050999999999998</v>
      </c>
      <c r="M5" s="149">
        <v>0.48199999999999998</v>
      </c>
      <c r="N5" s="161">
        <v>0</v>
      </c>
      <c r="O5" s="149">
        <v>9.6720000000000006</v>
      </c>
      <c r="P5" s="164">
        <v>2.4733446294026898E-3</v>
      </c>
      <c r="Q5" s="164">
        <v>2.6348256383486302E-4</v>
      </c>
    </row>
    <row r="6" spans="1:17">
      <c r="A6" s="2" t="s">
        <v>26</v>
      </c>
      <c r="B6" s="2">
        <v>13711</v>
      </c>
      <c r="C6" s="2" t="s">
        <v>352</v>
      </c>
      <c r="D6" s="2" t="s">
        <v>353</v>
      </c>
      <c r="E6" s="18" t="s">
        <v>354</v>
      </c>
      <c r="F6" s="2" t="s">
        <v>1146</v>
      </c>
      <c r="G6" s="2" t="s">
        <v>31</v>
      </c>
      <c r="H6" s="2" t="s">
        <v>312</v>
      </c>
      <c r="I6" s="2" t="s">
        <v>357</v>
      </c>
      <c r="J6" s="2" t="s">
        <v>358</v>
      </c>
      <c r="K6" s="2" t="s">
        <v>159</v>
      </c>
      <c r="L6" s="149">
        <v>156.709</v>
      </c>
      <c r="M6" s="149">
        <v>3.7589999999999999</v>
      </c>
      <c r="N6" s="161">
        <v>0</v>
      </c>
      <c r="O6" s="149">
        <v>589.06799999999998</v>
      </c>
      <c r="P6" s="164">
        <v>0.15063073914160999</v>
      </c>
      <c r="Q6" s="164">
        <v>1.6046519708398502E-2</v>
      </c>
    </row>
    <row r="7" spans="1:17">
      <c r="A7" s="2" t="s">
        <v>26</v>
      </c>
      <c r="B7" s="2">
        <v>13711</v>
      </c>
      <c r="C7" s="2" t="s">
        <v>352</v>
      </c>
      <c r="D7" s="2" t="s">
        <v>353</v>
      </c>
      <c r="E7" s="18" t="s">
        <v>354</v>
      </c>
      <c r="F7" s="2" t="s">
        <v>1143</v>
      </c>
      <c r="G7" s="2" t="s">
        <v>31</v>
      </c>
      <c r="H7" s="2" t="s">
        <v>312</v>
      </c>
      <c r="I7" s="2" t="s">
        <v>357</v>
      </c>
      <c r="J7" s="2" t="s">
        <v>358</v>
      </c>
      <c r="K7" s="2" t="s">
        <v>159</v>
      </c>
      <c r="L7" s="149">
        <v>123.44499999999999</v>
      </c>
      <c r="M7" s="149">
        <v>3.7589999999999999</v>
      </c>
      <c r="N7" s="161">
        <v>0</v>
      </c>
      <c r="O7" s="149">
        <v>464.03</v>
      </c>
      <c r="P7" s="164">
        <v>0.11865728596788599</v>
      </c>
      <c r="Q7" s="164">
        <v>1.2640424449081099E-2</v>
      </c>
    </row>
    <row r="8" spans="1:17">
      <c r="A8" s="2" t="s">
        <v>26</v>
      </c>
      <c r="B8" s="2">
        <v>13711</v>
      </c>
      <c r="C8" s="2" t="s">
        <v>352</v>
      </c>
      <c r="D8" s="2" t="s">
        <v>353</v>
      </c>
      <c r="E8" s="18" t="s">
        <v>354</v>
      </c>
      <c r="F8" s="2" t="s">
        <v>1143</v>
      </c>
      <c r="G8" s="2" t="s">
        <v>31</v>
      </c>
      <c r="H8" s="2" t="s">
        <v>312</v>
      </c>
      <c r="I8" s="2" t="s">
        <v>357</v>
      </c>
      <c r="J8" s="2" t="s">
        <v>358</v>
      </c>
      <c r="K8" s="2" t="s">
        <v>1364</v>
      </c>
      <c r="L8" s="149">
        <v>0.68700000000000006</v>
      </c>
      <c r="M8" s="149">
        <v>0.48199999999999998</v>
      </c>
      <c r="N8" s="161">
        <v>0</v>
      </c>
      <c r="O8" s="149">
        <v>0.33200000000000002</v>
      </c>
      <c r="P8" s="164">
        <v>8.4781651484561502E-5</v>
      </c>
      <c r="Q8" s="164">
        <v>9.0316919986604598E-6</v>
      </c>
    </row>
    <row r="9" spans="1:17">
      <c r="A9" s="2" t="s">
        <v>26</v>
      </c>
      <c r="B9" s="2">
        <v>13711</v>
      </c>
      <c r="C9" s="2" t="s">
        <v>352</v>
      </c>
      <c r="D9" s="2" t="s">
        <v>353</v>
      </c>
      <c r="E9" s="18" t="s">
        <v>354</v>
      </c>
      <c r="F9" s="2" t="s">
        <v>1143</v>
      </c>
      <c r="G9" s="2" t="s">
        <v>31</v>
      </c>
      <c r="H9" s="2" t="s">
        <v>312</v>
      </c>
      <c r="I9" s="2" t="s">
        <v>357</v>
      </c>
      <c r="J9" s="2" t="s">
        <v>358</v>
      </c>
      <c r="K9" s="2" t="s">
        <v>169</v>
      </c>
      <c r="L9" s="149">
        <v>39.665999999999997</v>
      </c>
      <c r="M9" s="149">
        <v>4.0199999999999996</v>
      </c>
      <c r="N9" s="161">
        <v>0</v>
      </c>
      <c r="O9" s="149">
        <v>260.053</v>
      </c>
      <c r="P9" s="164">
        <v>6.6498270045097604E-2</v>
      </c>
      <c r="Q9" s="164">
        <v>7.0839843642399097E-3</v>
      </c>
    </row>
    <row r="10" spans="1:17">
      <c r="A10" s="2" t="s">
        <v>26</v>
      </c>
      <c r="B10" s="2">
        <v>13711</v>
      </c>
      <c r="C10" s="2" t="s">
        <v>352</v>
      </c>
      <c r="D10" s="2" t="s">
        <v>353</v>
      </c>
      <c r="E10" s="18" t="s">
        <v>354</v>
      </c>
      <c r="F10" s="2" t="s">
        <v>1141</v>
      </c>
      <c r="G10" s="2" t="s">
        <v>31</v>
      </c>
      <c r="H10" s="2" t="s">
        <v>312</v>
      </c>
      <c r="I10" s="2" t="s">
        <v>357</v>
      </c>
      <c r="J10" s="2" t="s">
        <v>358</v>
      </c>
      <c r="K10" s="2" t="s">
        <v>35</v>
      </c>
      <c r="L10" s="149">
        <v>0</v>
      </c>
      <c r="M10" s="149">
        <v>1</v>
      </c>
      <c r="N10" s="161">
        <v>0</v>
      </c>
      <c r="O10" s="149">
        <v>6.4820000000000002</v>
      </c>
      <c r="P10" s="164">
        <v>1.65751930655406E-3</v>
      </c>
      <c r="Q10" s="164">
        <v>1.7657362880405301E-4</v>
      </c>
    </row>
    <row r="11" spans="1:17">
      <c r="A11" s="2" t="s">
        <v>26</v>
      </c>
      <c r="B11" s="2">
        <v>13711</v>
      </c>
      <c r="C11" s="2" t="s">
        <v>352</v>
      </c>
      <c r="D11" s="2" t="s">
        <v>353</v>
      </c>
      <c r="E11" s="18" t="s">
        <v>354</v>
      </c>
      <c r="F11" s="2" t="s">
        <v>1144</v>
      </c>
      <c r="G11" s="2" t="s">
        <v>31</v>
      </c>
      <c r="H11" s="2" t="s">
        <v>312</v>
      </c>
      <c r="I11" s="2" t="s">
        <v>357</v>
      </c>
      <c r="J11" s="2" t="s">
        <v>358</v>
      </c>
      <c r="K11" s="2" t="s">
        <v>35</v>
      </c>
      <c r="L11" s="149">
        <v>0</v>
      </c>
      <c r="M11" s="149">
        <v>1</v>
      </c>
      <c r="N11" s="161">
        <v>0</v>
      </c>
      <c r="O11" s="149">
        <v>1874.5</v>
      </c>
      <c r="P11" s="164">
        <v>0.47932891678935202</v>
      </c>
      <c r="Q11" s="164">
        <v>5.1062359209661103E-2</v>
      </c>
    </row>
    <row r="12" spans="1:17">
      <c r="A12" s="2" t="s">
        <v>26</v>
      </c>
      <c r="B12" s="2">
        <v>13711</v>
      </c>
      <c r="C12" s="2" t="s">
        <v>362</v>
      </c>
      <c r="D12" s="2" t="s">
        <v>363</v>
      </c>
      <c r="E12" s="18" t="s">
        <v>354</v>
      </c>
      <c r="F12" s="2" t="s">
        <v>1143</v>
      </c>
      <c r="G12" s="2" t="s">
        <v>31</v>
      </c>
      <c r="H12" s="2" t="s">
        <v>312</v>
      </c>
      <c r="I12" s="2" t="s">
        <v>357</v>
      </c>
      <c r="J12" s="2" t="s">
        <v>358</v>
      </c>
      <c r="K12" s="2" t="s">
        <v>159</v>
      </c>
      <c r="L12" s="149">
        <v>7.5570000000000004</v>
      </c>
      <c r="M12" s="149">
        <v>3.7589999999999999</v>
      </c>
      <c r="N12" s="161">
        <v>0</v>
      </c>
      <c r="O12" s="149">
        <v>28.407</v>
      </c>
      <c r="P12" s="164">
        <v>7.2638731739108004E-3</v>
      </c>
      <c r="Q12" s="164">
        <v>7.73812069891574E-4</v>
      </c>
    </row>
    <row r="13" spans="1:17">
      <c r="A13" s="2" t="s">
        <v>26</v>
      </c>
      <c r="B13" s="2">
        <v>13711</v>
      </c>
      <c r="C13" s="2" t="s">
        <v>362</v>
      </c>
      <c r="D13" s="2" t="s">
        <v>363</v>
      </c>
      <c r="E13" s="18" t="s">
        <v>354</v>
      </c>
      <c r="F13" s="2" t="s">
        <v>1141</v>
      </c>
      <c r="G13" s="2" t="s">
        <v>31</v>
      </c>
      <c r="H13" s="2" t="s">
        <v>312</v>
      </c>
      <c r="I13" s="2" t="s">
        <v>357</v>
      </c>
      <c r="J13" s="2" t="s">
        <v>358</v>
      </c>
      <c r="K13" s="2" t="s">
        <v>35</v>
      </c>
      <c r="L13" s="149">
        <v>0</v>
      </c>
      <c r="M13" s="149">
        <v>1</v>
      </c>
      <c r="N13" s="161">
        <v>0</v>
      </c>
      <c r="O13" s="149">
        <v>548.96299999999997</v>
      </c>
      <c r="P13" s="164">
        <v>0.14037537302794001</v>
      </c>
      <c r="Q13" s="164">
        <v>1.49540273300325E-2</v>
      </c>
    </row>
    <row r="14" spans="1:17">
      <c r="A14" s="2" t="s">
        <v>256</v>
      </c>
      <c r="B14" s="2">
        <v>556</v>
      </c>
      <c r="C14" s="2" t="s">
        <v>352</v>
      </c>
      <c r="D14" s="2" t="s">
        <v>353</v>
      </c>
      <c r="E14" s="18" t="s">
        <v>354</v>
      </c>
      <c r="F14" s="2" t="s">
        <v>1143</v>
      </c>
      <c r="G14" s="2" t="s">
        <v>31</v>
      </c>
      <c r="H14" s="2" t="s">
        <v>312</v>
      </c>
      <c r="I14" s="2" t="s">
        <v>357</v>
      </c>
      <c r="J14" s="2" t="s">
        <v>358</v>
      </c>
      <c r="K14" s="2" t="s">
        <v>1363</v>
      </c>
      <c r="L14" s="149">
        <v>48.478999999999999</v>
      </c>
      <c r="M14" s="149">
        <v>2.4929999999999999</v>
      </c>
      <c r="N14" s="161">
        <v>0</v>
      </c>
      <c r="O14" s="149">
        <v>120.863</v>
      </c>
      <c r="P14" s="164">
        <v>7.2093157157852904E-3</v>
      </c>
      <c r="Q14" s="164">
        <v>3.7894897707889901E-4</v>
      </c>
    </row>
    <row r="15" spans="1:17">
      <c r="A15" s="2" t="s">
        <v>256</v>
      </c>
      <c r="B15" s="2">
        <v>556</v>
      </c>
      <c r="C15" s="2" t="s">
        <v>352</v>
      </c>
      <c r="D15" s="2" t="s">
        <v>353</v>
      </c>
      <c r="E15" s="18" t="s">
        <v>354</v>
      </c>
      <c r="F15" s="2" t="s">
        <v>1146</v>
      </c>
      <c r="G15" s="2" t="s">
        <v>31</v>
      </c>
      <c r="H15" s="2" t="s">
        <v>312</v>
      </c>
      <c r="I15" s="2" t="s">
        <v>357</v>
      </c>
      <c r="J15" s="2" t="s">
        <v>358</v>
      </c>
      <c r="K15" s="2" t="s">
        <v>1363</v>
      </c>
      <c r="L15" s="149">
        <v>8.3000000000000004E-2</v>
      </c>
      <c r="M15" s="149">
        <v>2.4929999999999999</v>
      </c>
      <c r="N15" s="161">
        <v>0</v>
      </c>
      <c r="O15" s="149">
        <v>0.20799999999999999</v>
      </c>
      <c r="P15" s="164">
        <v>1.24113838045514E-5</v>
      </c>
      <c r="Q15" s="164">
        <v>6.5238940591410397E-7</v>
      </c>
    </row>
    <row r="16" spans="1:17">
      <c r="A16" s="2" t="s">
        <v>256</v>
      </c>
      <c r="B16" s="2">
        <v>556</v>
      </c>
      <c r="C16" s="2" t="s">
        <v>352</v>
      </c>
      <c r="D16" s="2" t="s">
        <v>353</v>
      </c>
      <c r="E16" s="18" t="s">
        <v>354</v>
      </c>
      <c r="F16" s="2" t="s">
        <v>1146</v>
      </c>
      <c r="G16" s="2" t="s">
        <v>31</v>
      </c>
      <c r="H16" s="2" t="s">
        <v>312</v>
      </c>
      <c r="I16" s="2" t="s">
        <v>357</v>
      </c>
      <c r="J16" s="2" t="s">
        <v>358</v>
      </c>
      <c r="K16" s="2" t="s">
        <v>169</v>
      </c>
      <c r="L16" s="149">
        <v>46.914999999999999</v>
      </c>
      <c r="M16" s="149">
        <v>4.0199999999999996</v>
      </c>
      <c r="N16" s="161">
        <v>0</v>
      </c>
      <c r="O16" s="149">
        <v>188.608</v>
      </c>
      <c r="P16" s="164">
        <v>1.1250266300167001E-2</v>
      </c>
      <c r="Q16" s="164">
        <v>5.9135666606731396E-4</v>
      </c>
    </row>
    <row r="17" spans="1:17">
      <c r="A17" s="2" t="s">
        <v>256</v>
      </c>
      <c r="B17" s="2">
        <v>556</v>
      </c>
      <c r="C17" s="2" t="s">
        <v>352</v>
      </c>
      <c r="D17" s="2" t="s">
        <v>353</v>
      </c>
      <c r="E17" s="18" t="s">
        <v>354</v>
      </c>
      <c r="F17" s="2" t="s">
        <v>1146</v>
      </c>
      <c r="G17" s="2" t="s">
        <v>31</v>
      </c>
      <c r="H17" s="2" t="s">
        <v>312</v>
      </c>
      <c r="I17" s="2" t="s">
        <v>357</v>
      </c>
      <c r="J17" s="2" t="s">
        <v>358</v>
      </c>
      <c r="K17" s="2" t="s">
        <v>1364</v>
      </c>
      <c r="L17" s="149">
        <v>0.05</v>
      </c>
      <c r="M17" s="149">
        <v>0.48199999999999998</v>
      </c>
      <c r="N17" s="161">
        <v>0</v>
      </c>
      <c r="O17" s="149">
        <v>2.4E-2</v>
      </c>
      <c r="P17" s="164">
        <v>1.4430466241529601E-6</v>
      </c>
      <c r="Q17" s="164">
        <v>7.5852003665559706E-8</v>
      </c>
    </row>
    <row r="18" spans="1:17">
      <c r="A18" s="2" t="s">
        <v>256</v>
      </c>
      <c r="B18" s="2">
        <v>556</v>
      </c>
      <c r="C18" s="2" t="s">
        <v>352</v>
      </c>
      <c r="D18" s="2" t="s">
        <v>353</v>
      </c>
      <c r="E18" s="18" t="s">
        <v>354</v>
      </c>
      <c r="F18" s="2" t="s">
        <v>1146</v>
      </c>
      <c r="G18" s="2" t="s">
        <v>31</v>
      </c>
      <c r="H18" s="2" t="s">
        <v>312</v>
      </c>
      <c r="I18" s="2" t="s">
        <v>357</v>
      </c>
      <c r="J18" s="2" t="s">
        <v>358</v>
      </c>
      <c r="K18" s="2" t="s">
        <v>159</v>
      </c>
      <c r="L18" s="149">
        <v>531.63599999999997</v>
      </c>
      <c r="M18" s="149">
        <v>3.7589999999999999</v>
      </c>
      <c r="N18" s="161">
        <v>0</v>
      </c>
      <c r="O18" s="149">
        <v>1998.4190000000001</v>
      </c>
      <c r="P18" s="164">
        <v>0.119203385243739</v>
      </c>
      <c r="Q18" s="164">
        <v>6.2657820358109004E-3</v>
      </c>
    </row>
    <row r="19" spans="1:17">
      <c r="A19" s="2" t="s">
        <v>256</v>
      </c>
      <c r="B19" s="2">
        <v>556</v>
      </c>
      <c r="C19" s="2" t="s">
        <v>352</v>
      </c>
      <c r="D19" s="2" t="s">
        <v>353</v>
      </c>
      <c r="E19" s="18" t="s">
        <v>354</v>
      </c>
      <c r="F19" s="2" t="s">
        <v>1143</v>
      </c>
      <c r="G19" s="2" t="s">
        <v>31</v>
      </c>
      <c r="H19" s="2" t="s">
        <v>312</v>
      </c>
      <c r="I19" s="2" t="s">
        <v>357</v>
      </c>
      <c r="J19" s="2" t="s">
        <v>358</v>
      </c>
      <c r="K19" s="2" t="s">
        <v>159</v>
      </c>
      <c r="L19" s="149">
        <v>464.23500000000001</v>
      </c>
      <c r="M19" s="149">
        <v>3.7589999999999999</v>
      </c>
      <c r="N19" s="161">
        <v>0</v>
      </c>
      <c r="O19" s="149">
        <v>1745.058</v>
      </c>
      <c r="P19" s="164">
        <v>0.10409070697711401</v>
      </c>
      <c r="Q19" s="164">
        <v>5.4714023476637504E-3</v>
      </c>
    </row>
    <row r="20" spans="1:17">
      <c r="A20" s="2" t="s">
        <v>256</v>
      </c>
      <c r="B20" s="2">
        <v>556</v>
      </c>
      <c r="C20" s="2" t="s">
        <v>352</v>
      </c>
      <c r="D20" s="2" t="s">
        <v>353</v>
      </c>
      <c r="E20" s="18" t="s">
        <v>354</v>
      </c>
      <c r="F20" s="2" t="s">
        <v>1143</v>
      </c>
      <c r="G20" s="2" t="s">
        <v>31</v>
      </c>
      <c r="H20" s="2" t="s">
        <v>312</v>
      </c>
      <c r="I20" s="2" t="s">
        <v>357</v>
      </c>
      <c r="J20" s="2" t="s">
        <v>358</v>
      </c>
      <c r="K20" s="2" t="s">
        <v>1364</v>
      </c>
      <c r="L20" s="149">
        <v>18.510000000000002</v>
      </c>
      <c r="M20" s="149">
        <v>0.48199999999999998</v>
      </c>
      <c r="N20" s="161">
        <v>0</v>
      </c>
      <c r="O20" s="149">
        <v>8.9290000000000003</v>
      </c>
      <c r="P20" s="164">
        <v>5.3260735963749496E-4</v>
      </c>
      <c r="Q20" s="164">
        <v>2.7995862863572299E-5</v>
      </c>
    </row>
    <row r="21" spans="1:17">
      <c r="A21" s="2" t="s">
        <v>256</v>
      </c>
      <c r="B21" s="2">
        <v>556</v>
      </c>
      <c r="C21" s="2" t="s">
        <v>352</v>
      </c>
      <c r="D21" s="2" t="s">
        <v>353</v>
      </c>
      <c r="E21" s="4" t="s">
        <v>354</v>
      </c>
      <c r="F21" s="2" t="s">
        <v>1143</v>
      </c>
      <c r="G21" s="2" t="s">
        <v>31</v>
      </c>
      <c r="H21" s="2" t="s">
        <v>312</v>
      </c>
      <c r="I21" s="2" t="s">
        <v>357</v>
      </c>
      <c r="J21" s="2" t="s">
        <v>358</v>
      </c>
      <c r="K21" s="2" t="s">
        <v>169</v>
      </c>
      <c r="L21" s="149">
        <v>155.52799999999999</v>
      </c>
      <c r="M21" s="149">
        <v>4.0199999999999996</v>
      </c>
      <c r="N21" s="162">
        <v>0</v>
      </c>
      <c r="O21" s="149">
        <v>625.255</v>
      </c>
      <c r="P21" s="164">
        <v>3.7295774450469603E-2</v>
      </c>
      <c r="Q21" s="164">
        <v>1.9604073582774502E-3</v>
      </c>
    </row>
    <row r="22" spans="1:17">
      <c r="A22" s="2" t="s">
        <v>256</v>
      </c>
      <c r="B22" s="2">
        <v>556</v>
      </c>
      <c r="C22" s="2" t="s">
        <v>352</v>
      </c>
      <c r="D22" s="2" t="s">
        <v>353</v>
      </c>
      <c r="E22" s="4" t="s">
        <v>354</v>
      </c>
      <c r="F22" s="2" t="s">
        <v>1143</v>
      </c>
      <c r="G22" s="2" t="s">
        <v>31</v>
      </c>
      <c r="H22" s="2" t="s">
        <v>312</v>
      </c>
      <c r="I22" s="2" t="s">
        <v>357</v>
      </c>
      <c r="J22" s="2" t="s">
        <v>358</v>
      </c>
      <c r="K22" s="2" t="s">
        <v>1365</v>
      </c>
      <c r="L22" s="149">
        <v>0.745</v>
      </c>
      <c r="M22" s="149">
        <v>4.75</v>
      </c>
      <c r="N22" s="162">
        <v>0</v>
      </c>
      <c r="O22" s="149">
        <v>3.5369999999999999</v>
      </c>
      <c r="P22" s="164">
        <v>2.1097143211263399E-4</v>
      </c>
      <c r="Q22" s="164">
        <v>1.10894586315457E-5</v>
      </c>
    </row>
    <row r="23" spans="1:17">
      <c r="A23" s="2" t="s">
        <v>256</v>
      </c>
      <c r="B23" s="2">
        <v>556</v>
      </c>
      <c r="C23" s="2" t="s">
        <v>352</v>
      </c>
      <c r="D23" s="2" t="s">
        <v>353</v>
      </c>
      <c r="E23" s="4" t="s">
        <v>354</v>
      </c>
      <c r="F23" s="2" t="s">
        <v>1141</v>
      </c>
      <c r="G23" s="2" t="s">
        <v>31</v>
      </c>
      <c r="H23" s="2" t="s">
        <v>312</v>
      </c>
      <c r="I23" s="2" t="s">
        <v>357</v>
      </c>
      <c r="J23" s="2" t="s">
        <v>358</v>
      </c>
      <c r="K23" s="2" t="s">
        <v>35</v>
      </c>
      <c r="L23" s="149">
        <v>0</v>
      </c>
      <c r="M23" s="149">
        <v>1</v>
      </c>
      <c r="N23" s="162">
        <v>0</v>
      </c>
      <c r="O23" s="149">
        <v>116.607</v>
      </c>
      <c r="P23" s="164">
        <v>6.9554975409917797E-3</v>
      </c>
      <c r="Q23" s="164">
        <v>3.6560733114550799E-4</v>
      </c>
    </row>
    <row r="24" spans="1:17">
      <c r="A24" s="2" t="s">
        <v>256</v>
      </c>
      <c r="B24" s="2">
        <v>556</v>
      </c>
      <c r="C24" s="2" t="s">
        <v>352</v>
      </c>
      <c r="D24" s="2" t="s">
        <v>353</v>
      </c>
      <c r="E24" s="4" t="s">
        <v>354</v>
      </c>
      <c r="F24" s="2" t="s">
        <v>1144</v>
      </c>
      <c r="G24" s="2" t="s">
        <v>31</v>
      </c>
      <c r="H24" s="2" t="s">
        <v>312</v>
      </c>
      <c r="I24" s="2" t="s">
        <v>357</v>
      </c>
      <c r="J24" s="2" t="s">
        <v>358</v>
      </c>
      <c r="K24" s="2" t="s">
        <v>35</v>
      </c>
      <c r="L24" s="149">
        <v>0</v>
      </c>
      <c r="M24" s="149">
        <v>1</v>
      </c>
      <c r="N24" s="162">
        <v>0</v>
      </c>
      <c r="O24" s="149">
        <v>5097.366</v>
      </c>
      <c r="P24" s="164">
        <v>0.30405206379072303</v>
      </c>
      <c r="Q24" s="164">
        <v>1.59821296631441E-2</v>
      </c>
    </row>
    <row r="25" spans="1:17">
      <c r="A25" s="2" t="s">
        <v>256</v>
      </c>
      <c r="B25" s="2">
        <v>556</v>
      </c>
      <c r="C25" s="2" t="s">
        <v>362</v>
      </c>
      <c r="D25" s="2" t="s">
        <v>363</v>
      </c>
      <c r="E25" s="4" t="s">
        <v>354</v>
      </c>
      <c r="F25" s="2" t="s">
        <v>1143</v>
      </c>
      <c r="G25" s="2" t="s">
        <v>31</v>
      </c>
      <c r="H25" s="2" t="s">
        <v>312</v>
      </c>
      <c r="I25" s="2" t="s">
        <v>357</v>
      </c>
      <c r="J25" s="2" t="s">
        <v>358</v>
      </c>
      <c r="K25" s="2" t="s">
        <v>1363</v>
      </c>
      <c r="L25" s="149">
        <v>111.76</v>
      </c>
      <c r="M25" s="149">
        <v>2.4929999999999999</v>
      </c>
      <c r="N25" s="162">
        <v>0</v>
      </c>
      <c r="O25" s="149">
        <v>278.63</v>
      </c>
      <c r="P25" s="164">
        <v>1.66199493209024E-2</v>
      </c>
      <c r="Q25" s="164">
        <v>8.7360757144661495E-4</v>
      </c>
    </row>
    <row r="26" spans="1:17">
      <c r="A26" s="2" t="s">
        <v>256</v>
      </c>
      <c r="B26" s="2">
        <v>556</v>
      </c>
      <c r="C26" s="2" t="s">
        <v>362</v>
      </c>
      <c r="D26" s="2" t="s">
        <v>363</v>
      </c>
      <c r="E26" s="4" t="s">
        <v>354</v>
      </c>
      <c r="F26" s="2" t="s">
        <v>1143</v>
      </c>
      <c r="G26" s="2" t="s">
        <v>31</v>
      </c>
      <c r="H26" s="2" t="s">
        <v>312</v>
      </c>
      <c r="I26" s="2" t="s">
        <v>357</v>
      </c>
      <c r="J26" s="2" t="s">
        <v>358</v>
      </c>
      <c r="K26" s="2" t="s">
        <v>159</v>
      </c>
      <c r="L26" s="149">
        <v>1027.038</v>
      </c>
      <c r="M26" s="149">
        <v>3.7589999999999999</v>
      </c>
      <c r="N26" s="162">
        <v>0</v>
      </c>
      <c r="O26" s="149">
        <v>3860.636</v>
      </c>
      <c r="P26" s="164">
        <v>0.23028249541115101</v>
      </c>
      <c r="Q26" s="164">
        <v>1.21045213603503E-2</v>
      </c>
    </row>
    <row r="27" spans="1:17">
      <c r="A27" s="2" t="s">
        <v>256</v>
      </c>
      <c r="B27" s="2">
        <v>556</v>
      </c>
      <c r="C27" s="2" t="s">
        <v>362</v>
      </c>
      <c r="D27" s="2" t="s">
        <v>363</v>
      </c>
      <c r="E27" s="4" t="s">
        <v>354</v>
      </c>
      <c r="F27" s="2" t="s">
        <v>1143</v>
      </c>
      <c r="G27" s="2" t="s">
        <v>31</v>
      </c>
      <c r="H27" s="2" t="s">
        <v>312</v>
      </c>
      <c r="I27" s="2" t="s">
        <v>357</v>
      </c>
      <c r="J27" s="2" t="s">
        <v>358</v>
      </c>
      <c r="K27" s="2" t="s">
        <v>1364</v>
      </c>
      <c r="L27" s="149">
        <v>26.11</v>
      </c>
      <c r="M27" s="149">
        <v>0.48199999999999998</v>
      </c>
      <c r="N27" s="162">
        <v>0</v>
      </c>
      <c r="O27" s="149">
        <v>12.595000000000001</v>
      </c>
      <c r="P27" s="164">
        <v>7.5129639965397E-4</v>
      </c>
      <c r="Q27" s="164">
        <v>3.9490988237421003E-5</v>
      </c>
    </row>
    <row r="28" spans="1:17">
      <c r="A28" s="2" t="s">
        <v>256</v>
      </c>
      <c r="B28" s="2">
        <v>556</v>
      </c>
      <c r="C28" s="2" t="s">
        <v>362</v>
      </c>
      <c r="D28" s="2" t="s">
        <v>363</v>
      </c>
      <c r="E28" s="4" t="s">
        <v>354</v>
      </c>
      <c r="F28" s="2" t="s">
        <v>1143</v>
      </c>
      <c r="G28" s="2" t="s">
        <v>31</v>
      </c>
      <c r="H28" s="2" t="s">
        <v>312</v>
      </c>
      <c r="I28" s="2" t="s">
        <v>357</v>
      </c>
      <c r="J28" s="2" t="s">
        <v>358</v>
      </c>
      <c r="K28" s="2" t="s">
        <v>169</v>
      </c>
      <c r="L28" s="149">
        <v>69.082999999999998</v>
      </c>
      <c r="M28" s="149">
        <v>4.0199999999999996</v>
      </c>
      <c r="N28" s="162">
        <v>0</v>
      </c>
      <c r="O28" s="149">
        <v>277.72699999999998</v>
      </c>
      <c r="P28" s="164">
        <v>1.6566088191825201E-2</v>
      </c>
      <c r="Q28" s="164">
        <v>8.7077642622107999E-4</v>
      </c>
    </row>
    <row r="29" spans="1:17">
      <c r="A29" s="2" t="s">
        <v>256</v>
      </c>
      <c r="B29" s="2">
        <v>556</v>
      </c>
      <c r="C29" s="2" t="s">
        <v>362</v>
      </c>
      <c r="D29" s="2" t="s">
        <v>363</v>
      </c>
      <c r="E29" s="4" t="s">
        <v>354</v>
      </c>
      <c r="F29" s="2" t="s">
        <v>1141</v>
      </c>
      <c r="G29" s="2" t="s">
        <v>31</v>
      </c>
      <c r="H29" s="2" t="s">
        <v>312</v>
      </c>
      <c r="I29" s="2" t="s">
        <v>357</v>
      </c>
      <c r="J29" s="2" t="s">
        <v>358</v>
      </c>
      <c r="K29" s="2" t="s">
        <v>35</v>
      </c>
      <c r="L29" s="149">
        <v>0</v>
      </c>
      <c r="M29" s="149">
        <v>1</v>
      </c>
      <c r="N29" s="162">
        <v>0</v>
      </c>
      <c r="O29" s="149">
        <v>2430.319</v>
      </c>
      <c r="P29" s="164">
        <v>0.144965741751024</v>
      </c>
      <c r="Q29" s="164">
        <v>7.6199492037436097E-3</v>
      </c>
    </row>
    <row r="30" spans="1:17">
      <c r="A30" s="2" t="s">
        <v>256</v>
      </c>
      <c r="B30" s="2">
        <v>7205</v>
      </c>
      <c r="C30" s="2" t="s">
        <v>352</v>
      </c>
      <c r="D30" s="2" t="s">
        <v>353</v>
      </c>
      <c r="E30" s="4" t="s">
        <v>354</v>
      </c>
      <c r="F30" s="2" t="s">
        <v>1143</v>
      </c>
      <c r="G30" s="2" t="s">
        <v>31</v>
      </c>
      <c r="H30" s="2" t="s">
        <v>312</v>
      </c>
      <c r="I30" s="2" t="s">
        <v>357</v>
      </c>
      <c r="J30" s="2" t="s">
        <v>358</v>
      </c>
      <c r="K30" s="2" t="s">
        <v>1363</v>
      </c>
      <c r="L30" s="149">
        <v>198.52600000000001</v>
      </c>
      <c r="M30" s="149">
        <v>2.4929999999999999</v>
      </c>
      <c r="N30" s="162">
        <v>0</v>
      </c>
      <c r="O30" s="149">
        <v>494.94499999999999</v>
      </c>
      <c r="P30" s="164">
        <v>4.8402767516410603E-3</v>
      </c>
      <c r="Q30" s="164">
        <v>2.6909828841559301E-4</v>
      </c>
    </row>
    <row r="31" spans="1:17">
      <c r="A31" s="2" t="s">
        <v>256</v>
      </c>
      <c r="B31" s="2">
        <v>7205</v>
      </c>
      <c r="C31" s="2" t="s">
        <v>352</v>
      </c>
      <c r="D31" s="2" t="s">
        <v>353</v>
      </c>
      <c r="E31" s="4" t="s">
        <v>354</v>
      </c>
      <c r="F31" s="2" t="s">
        <v>1146</v>
      </c>
      <c r="G31" s="2" t="s">
        <v>31</v>
      </c>
      <c r="H31" s="2" t="s">
        <v>312</v>
      </c>
      <c r="I31" s="2" t="s">
        <v>357</v>
      </c>
      <c r="J31" s="2" t="s">
        <v>358</v>
      </c>
      <c r="K31" s="2" t="s">
        <v>1363</v>
      </c>
      <c r="L31" s="149">
        <v>1E-3</v>
      </c>
      <c r="M31" s="149">
        <v>2.4929999999999999</v>
      </c>
      <c r="N31" s="162">
        <v>0</v>
      </c>
      <c r="O31" s="149">
        <v>2E-3</v>
      </c>
      <c r="P31" s="164">
        <v>2.4137255459042499E-8</v>
      </c>
      <c r="Q31" s="164">
        <v>1.3419261881825402E-9</v>
      </c>
    </row>
    <row r="32" spans="1:17">
      <c r="A32" s="2" t="s">
        <v>256</v>
      </c>
      <c r="B32" s="2">
        <v>7205</v>
      </c>
      <c r="C32" s="2" t="s">
        <v>352</v>
      </c>
      <c r="D32" s="2" t="s">
        <v>353</v>
      </c>
      <c r="E32" s="4" t="s">
        <v>354</v>
      </c>
      <c r="F32" s="2" t="s">
        <v>1146</v>
      </c>
      <c r="G32" s="2" t="s">
        <v>31</v>
      </c>
      <c r="H32" s="2" t="s">
        <v>312</v>
      </c>
      <c r="I32" s="2" t="s">
        <v>357</v>
      </c>
      <c r="J32" s="2" t="s">
        <v>358</v>
      </c>
      <c r="K32" s="2" t="s">
        <v>169</v>
      </c>
      <c r="L32" s="149">
        <v>236.09399999999999</v>
      </c>
      <c r="M32" s="149">
        <v>4.0199999999999996</v>
      </c>
      <c r="N32" s="162">
        <v>0</v>
      </c>
      <c r="O32" s="149">
        <v>949.14599999999996</v>
      </c>
      <c r="P32" s="164">
        <v>9.2820989037395597E-3</v>
      </c>
      <c r="Q32" s="164">
        <v>5.1604423797744798E-4</v>
      </c>
    </row>
    <row r="33" spans="1:17">
      <c r="A33" s="2" t="s">
        <v>256</v>
      </c>
      <c r="B33" s="2">
        <v>7205</v>
      </c>
      <c r="C33" s="2" t="s">
        <v>352</v>
      </c>
      <c r="D33" s="2" t="s">
        <v>353</v>
      </c>
      <c r="E33" s="4" t="s">
        <v>354</v>
      </c>
      <c r="F33" s="2" t="s">
        <v>1146</v>
      </c>
      <c r="G33" s="2" t="s">
        <v>31</v>
      </c>
      <c r="H33" s="2" t="s">
        <v>312</v>
      </c>
      <c r="I33" s="2" t="s">
        <v>357</v>
      </c>
      <c r="J33" s="2" t="s">
        <v>358</v>
      </c>
      <c r="K33" s="2" t="s">
        <v>1364</v>
      </c>
      <c r="L33" s="149">
        <v>9.8000000000000004E-2</v>
      </c>
      <c r="M33" s="149">
        <v>0.48199999999999998</v>
      </c>
      <c r="N33" s="162">
        <v>0</v>
      </c>
      <c r="O33" s="149">
        <v>4.7E-2</v>
      </c>
      <c r="P33" s="164">
        <v>4.60531240245145E-7</v>
      </c>
      <c r="Q33" s="164">
        <v>2.56035294820408E-8</v>
      </c>
    </row>
    <row r="34" spans="1:17">
      <c r="A34" s="2" t="s">
        <v>256</v>
      </c>
      <c r="B34" s="2">
        <v>7205</v>
      </c>
      <c r="C34" s="2" t="s">
        <v>352</v>
      </c>
      <c r="D34" s="2" t="s">
        <v>353</v>
      </c>
      <c r="E34" s="4" t="s">
        <v>354</v>
      </c>
      <c r="F34" s="2" t="s">
        <v>1146</v>
      </c>
      <c r="G34" s="2" t="s">
        <v>31</v>
      </c>
      <c r="H34" s="2" t="s">
        <v>312</v>
      </c>
      <c r="I34" s="2" t="s">
        <v>357</v>
      </c>
      <c r="J34" s="2" t="s">
        <v>358</v>
      </c>
      <c r="K34" s="2" t="s">
        <v>159</v>
      </c>
      <c r="L34" s="149">
        <v>3572.076</v>
      </c>
      <c r="M34" s="149">
        <v>3.7589999999999999</v>
      </c>
      <c r="N34" s="162">
        <v>0</v>
      </c>
      <c r="O34" s="149">
        <v>13427.433000000001</v>
      </c>
      <c r="P34" s="164">
        <v>0.131312476325677</v>
      </c>
      <c r="Q34" s="164">
        <v>7.3004012869454698E-3</v>
      </c>
    </row>
    <row r="35" spans="1:17">
      <c r="A35" s="2" t="s">
        <v>256</v>
      </c>
      <c r="B35" s="2">
        <v>7205</v>
      </c>
      <c r="C35" s="2" t="s">
        <v>352</v>
      </c>
      <c r="D35" s="2" t="s">
        <v>353</v>
      </c>
      <c r="E35" s="4" t="s">
        <v>354</v>
      </c>
      <c r="F35" s="2" t="s">
        <v>1143</v>
      </c>
      <c r="G35" s="2" t="s">
        <v>31</v>
      </c>
      <c r="H35" s="2" t="s">
        <v>312</v>
      </c>
      <c r="I35" s="2" t="s">
        <v>357</v>
      </c>
      <c r="J35" s="2" t="s">
        <v>358</v>
      </c>
      <c r="K35" s="2" t="s">
        <v>159</v>
      </c>
      <c r="L35" s="149">
        <v>3688.701</v>
      </c>
      <c r="M35" s="149">
        <v>3.7589999999999999</v>
      </c>
      <c r="N35" s="162">
        <v>0</v>
      </c>
      <c r="O35" s="149">
        <v>13865.825000000001</v>
      </c>
      <c r="P35" s="164">
        <v>0.135599698305331</v>
      </c>
      <c r="Q35" s="164">
        <v>7.5387521408282797E-3</v>
      </c>
    </row>
    <row r="36" spans="1:17">
      <c r="A36" s="2" t="s">
        <v>256</v>
      </c>
      <c r="B36" s="2">
        <v>7205</v>
      </c>
      <c r="C36" s="2" t="s">
        <v>352</v>
      </c>
      <c r="D36" s="2" t="s">
        <v>353</v>
      </c>
      <c r="E36" s="4" t="s">
        <v>354</v>
      </c>
      <c r="F36" s="2" t="s">
        <v>1143</v>
      </c>
      <c r="G36" s="2" t="s">
        <v>31</v>
      </c>
      <c r="H36" s="2" t="s">
        <v>312</v>
      </c>
      <c r="I36" s="2" t="s">
        <v>357</v>
      </c>
      <c r="J36" s="2" t="s">
        <v>358</v>
      </c>
      <c r="K36" s="2" t="s">
        <v>1364</v>
      </c>
      <c r="L36" s="149">
        <v>14.689</v>
      </c>
      <c r="M36" s="149">
        <v>0.48199999999999998</v>
      </c>
      <c r="N36" s="162">
        <v>0</v>
      </c>
      <c r="O36" s="149">
        <v>7.0860000000000003</v>
      </c>
      <c r="P36" s="164">
        <v>6.9296695225987899E-5</v>
      </c>
      <c r="Q36" s="164">
        <v>3.8525941872741002E-6</v>
      </c>
    </row>
    <row r="37" spans="1:17">
      <c r="A37" s="2" t="s">
        <v>256</v>
      </c>
      <c r="B37" s="2">
        <v>7205</v>
      </c>
      <c r="C37" s="2" t="s">
        <v>352</v>
      </c>
      <c r="D37" s="2" t="s">
        <v>353</v>
      </c>
      <c r="E37" s="4" t="s">
        <v>354</v>
      </c>
      <c r="F37" s="2" t="s">
        <v>1143</v>
      </c>
      <c r="G37" s="2" t="s">
        <v>31</v>
      </c>
      <c r="H37" s="2" t="s">
        <v>312</v>
      </c>
      <c r="I37" s="2" t="s">
        <v>357</v>
      </c>
      <c r="J37" s="2" t="s">
        <v>358</v>
      </c>
      <c r="K37" s="2" t="s">
        <v>1366</v>
      </c>
      <c r="L37" s="149">
        <v>0</v>
      </c>
      <c r="M37" s="149">
        <v>2.7690000000000001</v>
      </c>
      <c r="N37" s="162">
        <v>0</v>
      </c>
      <c r="O37" s="149">
        <v>0</v>
      </c>
      <c r="P37" s="164">
        <v>5.4156459011147801E-10</v>
      </c>
      <c r="Q37" s="164">
        <v>3.0108630506733096E-11</v>
      </c>
    </row>
    <row r="38" spans="1:17">
      <c r="A38" s="2" t="s">
        <v>256</v>
      </c>
      <c r="B38" s="2">
        <v>7205</v>
      </c>
      <c r="C38" s="2" t="s">
        <v>352</v>
      </c>
      <c r="D38" s="2" t="s">
        <v>353</v>
      </c>
      <c r="E38" s="4" t="s">
        <v>354</v>
      </c>
      <c r="F38" s="2" t="s">
        <v>1143</v>
      </c>
      <c r="G38" s="2" t="s">
        <v>31</v>
      </c>
      <c r="H38" s="2" t="s">
        <v>312</v>
      </c>
      <c r="I38" s="2" t="s">
        <v>357</v>
      </c>
      <c r="J38" s="2" t="s">
        <v>358</v>
      </c>
      <c r="K38" s="2" t="s">
        <v>169</v>
      </c>
      <c r="L38" s="149">
        <v>541.12699999999995</v>
      </c>
      <c r="M38" s="149">
        <v>4.0199999999999996</v>
      </c>
      <c r="N38" s="162">
        <v>0</v>
      </c>
      <c r="O38" s="149">
        <v>2175.44</v>
      </c>
      <c r="P38" s="164">
        <v>2.12745340676074E-2</v>
      </c>
      <c r="Q38" s="164">
        <v>1.1827713575450799E-3</v>
      </c>
    </row>
    <row r="39" spans="1:17">
      <c r="A39" s="2" t="s">
        <v>256</v>
      </c>
      <c r="B39" s="2">
        <v>7205</v>
      </c>
      <c r="C39" s="2" t="s">
        <v>352</v>
      </c>
      <c r="D39" s="2" t="s">
        <v>353</v>
      </c>
      <c r="E39" s="4" t="s">
        <v>354</v>
      </c>
      <c r="F39" s="2" t="s">
        <v>1143</v>
      </c>
      <c r="G39" s="2" t="s">
        <v>31</v>
      </c>
      <c r="H39" s="2" t="s">
        <v>312</v>
      </c>
      <c r="I39" s="2" t="s">
        <v>357</v>
      </c>
      <c r="J39" s="2" t="s">
        <v>358</v>
      </c>
      <c r="K39" s="2" t="s">
        <v>1365</v>
      </c>
      <c r="L39" s="149">
        <v>0.154</v>
      </c>
      <c r="M39" s="149">
        <v>4.75</v>
      </c>
      <c r="N39" s="162">
        <v>0</v>
      </c>
      <c r="O39" s="149">
        <v>0.73199999999999998</v>
      </c>
      <c r="P39" s="164">
        <v>7.16229473038915E-6</v>
      </c>
      <c r="Q39" s="164">
        <v>3.98192366257215E-7</v>
      </c>
    </row>
    <row r="40" spans="1:17">
      <c r="A40" s="2" t="s">
        <v>256</v>
      </c>
      <c r="B40" s="2">
        <v>7205</v>
      </c>
      <c r="C40" s="2" t="s">
        <v>352</v>
      </c>
      <c r="D40" s="2" t="s">
        <v>353</v>
      </c>
      <c r="E40" s="4" t="s">
        <v>354</v>
      </c>
      <c r="F40" s="2" t="s">
        <v>1141</v>
      </c>
      <c r="G40" s="2" t="s">
        <v>31</v>
      </c>
      <c r="H40" s="2" t="s">
        <v>312</v>
      </c>
      <c r="I40" s="2" t="s">
        <v>357</v>
      </c>
      <c r="J40" s="2" t="s">
        <v>358</v>
      </c>
      <c r="K40" s="2" t="s">
        <v>35</v>
      </c>
      <c r="L40" s="149">
        <v>0</v>
      </c>
      <c r="M40" s="149">
        <v>1</v>
      </c>
      <c r="N40" s="162">
        <v>0</v>
      </c>
      <c r="O40" s="149">
        <v>1169.6469999999999</v>
      </c>
      <c r="P40" s="164">
        <v>1.14384650383804E-2</v>
      </c>
      <c r="Q40" s="164">
        <v>6.3592879537026001E-4</v>
      </c>
    </row>
    <row r="41" spans="1:17">
      <c r="A41" s="2" t="s">
        <v>256</v>
      </c>
      <c r="B41" s="2">
        <v>7205</v>
      </c>
      <c r="C41" s="2" t="s">
        <v>352</v>
      </c>
      <c r="D41" s="2" t="s">
        <v>353</v>
      </c>
      <c r="E41" s="4" t="s">
        <v>354</v>
      </c>
      <c r="F41" s="2" t="s">
        <v>1144</v>
      </c>
      <c r="G41" s="2" t="s">
        <v>31</v>
      </c>
      <c r="H41" s="2" t="s">
        <v>312</v>
      </c>
      <c r="I41" s="2" t="s">
        <v>357</v>
      </c>
      <c r="J41" s="2" t="s">
        <v>358</v>
      </c>
      <c r="K41" s="2" t="s">
        <v>35</v>
      </c>
      <c r="L41" s="149">
        <v>0</v>
      </c>
      <c r="M41" s="149">
        <v>1</v>
      </c>
      <c r="N41" s="162">
        <v>0</v>
      </c>
      <c r="O41" s="149">
        <v>26189.14</v>
      </c>
      <c r="P41" s="164">
        <v>0.25611453468140999</v>
      </c>
      <c r="Q41" s="164">
        <v>1.4238851713955499E-2</v>
      </c>
    </row>
    <row r="42" spans="1:17">
      <c r="A42" s="2" t="s">
        <v>256</v>
      </c>
      <c r="B42" s="2">
        <v>7205</v>
      </c>
      <c r="C42" s="2" t="s">
        <v>362</v>
      </c>
      <c r="D42" s="2" t="s">
        <v>363</v>
      </c>
      <c r="E42" s="4" t="s">
        <v>354</v>
      </c>
      <c r="F42" s="2" t="s">
        <v>1143</v>
      </c>
      <c r="G42" s="2" t="s">
        <v>31</v>
      </c>
      <c r="H42" s="2" t="s">
        <v>312</v>
      </c>
      <c r="I42" s="2" t="s">
        <v>357</v>
      </c>
      <c r="J42" s="2" t="s">
        <v>358</v>
      </c>
      <c r="K42" s="2" t="s">
        <v>1363</v>
      </c>
      <c r="L42" s="149">
        <v>795.04499999999996</v>
      </c>
      <c r="M42" s="149">
        <v>2.4929999999999999</v>
      </c>
      <c r="N42" s="162">
        <v>0</v>
      </c>
      <c r="O42" s="149">
        <v>1982.1279999999999</v>
      </c>
      <c r="P42" s="164">
        <v>1.9384055685049899E-2</v>
      </c>
      <c r="Q42" s="164">
        <v>1.0776690001518901E-3</v>
      </c>
    </row>
    <row r="43" spans="1:17">
      <c r="A43" s="2" t="s">
        <v>256</v>
      </c>
      <c r="B43" s="2">
        <v>7205</v>
      </c>
      <c r="C43" s="2" t="s">
        <v>362</v>
      </c>
      <c r="D43" s="2" t="s">
        <v>363</v>
      </c>
      <c r="E43" s="4" t="s">
        <v>354</v>
      </c>
      <c r="F43" s="2" t="s">
        <v>1143</v>
      </c>
      <c r="G43" s="2" t="s">
        <v>31</v>
      </c>
      <c r="H43" s="2" t="s">
        <v>312</v>
      </c>
      <c r="I43" s="2" t="s">
        <v>357</v>
      </c>
      <c r="J43" s="2" t="s">
        <v>358</v>
      </c>
      <c r="K43" s="2" t="s">
        <v>159</v>
      </c>
      <c r="L43" s="149">
        <v>7267.634</v>
      </c>
      <c r="M43" s="149">
        <v>3.7589999999999999</v>
      </c>
      <c r="N43" s="162">
        <v>0</v>
      </c>
      <c r="O43" s="149">
        <v>27319.037</v>
      </c>
      <c r="P43" s="164">
        <v>0.267164275262884</v>
      </c>
      <c r="Q43" s="164">
        <v>1.4853169123988499E-2</v>
      </c>
    </row>
    <row r="44" spans="1:17">
      <c r="A44" s="2" t="s">
        <v>256</v>
      </c>
      <c r="B44" s="2">
        <v>7205</v>
      </c>
      <c r="C44" s="2" t="s">
        <v>362</v>
      </c>
      <c r="D44" s="2" t="s">
        <v>363</v>
      </c>
      <c r="E44" s="4" t="s">
        <v>354</v>
      </c>
      <c r="F44" s="2" t="s">
        <v>1143</v>
      </c>
      <c r="G44" s="2" t="s">
        <v>31</v>
      </c>
      <c r="H44" s="2" t="s">
        <v>312</v>
      </c>
      <c r="I44" s="2" t="s">
        <v>357</v>
      </c>
      <c r="J44" s="2" t="s">
        <v>358</v>
      </c>
      <c r="K44" s="2" t="s">
        <v>1364</v>
      </c>
      <c r="L44" s="149">
        <v>66.397000000000006</v>
      </c>
      <c r="M44" s="149">
        <v>0.48199999999999998</v>
      </c>
      <c r="N44" s="162">
        <v>0</v>
      </c>
      <c r="O44" s="149">
        <v>32.03</v>
      </c>
      <c r="P44" s="164">
        <v>3.1323394144508601E-4</v>
      </c>
      <c r="Q44" s="164">
        <v>1.7414441744051999E-5</v>
      </c>
    </row>
    <row r="45" spans="1:17">
      <c r="A45" s="2" t="s">
        <v>256</v>
      </c>
      <c r="B45" s="2">
        <v>7205</v>
      </c>
      <c r="C45" s="2" t="s">
        <v>362</v>
      </c>
      <c r="D45" s="2" t="s">
        <v>363</v>
      </c>
      <c r="E45" s="4" t="s">
        <v>354</v>
      </c>
      <c r="F45" s="2" t="s">
        <v>1143</v>
      </c>
      <c r="G45" s="2" t="s">
        <v>31</v>
      </c>
      <c r="H45" s="2" t="s">
        <v>312</v>
      </c>
      <c r="I45" s="2" t="s">
        <v>357</v>
      </c>
      <c r="J45" s="2" t="s">
        <v>358</v>
      </c>
      <c r="K45" s="2" t="s">
        <v>169</v>
      </c>
      <c r="L45" s="149">
        <v>510.41800000000001</v>
      </c>
      <c r="M45" s="149">
        <v>4.0199999999999996</v>
      </c>
      <c r="N45" s="162">
        <v>0</v>
      </c>
      <c r="O45" s="149">
        <v>2051.9810000000002</v>
      </c>
      <c r="P45" s="164">
        <v>2.0067178760896701E-2</v>
      </c>
      <c r="Q45" s="164">
        <v>1.11564766540595E-3</v>
      </c>
    </row>
    <row r="46" spans="1:17">
      <c r="A46" s="2" t="s">
        <v>256</v>
      </c>
      <c r="B46" s="2">
        <v>7205</v>
      </c>
      <c r="C46" s="2" t="s">
        <v>362</v>
      </c>
      <c r="D46" s="2" t="s">
        <v>363</v>
      </c>
      <c r="E46" s="4" t="s">
        <v>354</v>
      </c>
      <c r="F46" s="2" t="s">
        <v>1141</v>
      </c>
      <c r="G46" s="2" t="s">
        <v>31</v>
      </c>
      <c r="H46" s="2" t="s">
        <v>312</v>
      </c>
      <c r="I46" s="2" t="s">
        <v>357</v>
      </c>
      <c r="J46" s="2" t="s">
        <v>358</v>
      </c>
      <c r="K46" s="2" t="s">
        <v>35</v>
      </c>
      <c r="L46" s="149">
        <v>0</v>
      </c>
      <c r="M46" s="149">
        <v>1</v>
      </c>
      <c r="N46" s="162">
        <v>0</v>
      </c>
      <c r="O46" s="149">
        <v>12590.957</v>
      </c>
      <c r="P46" s="164">
        <v>0.12313222827150901</v>
      </c>
      <c r="Q46" s="164">
        <v>6.8456151531887501E-3</v>
      </c>
    </row>
    <row r="47" spans="1:17">
      <c r="A47" s="2" t="s">
        <v>256</v>
      </c>
      <c r="B47" s="2">
        <v>7206</v>
      </c>
      <c r="C47" s="2" t="s">
        <v>352</v>
      </c>
      <c r="D47" s="2" t="s">
        <v>353</v>
      </c>
      <c r="E47" s="4" t="s">
        <v>354</v>
      </c>
      <c r="F47" s="2" t="s">
        <v>1143</v>
      </c>
      <c r="G47" s="2" t="s">
        <v>31</v>
      </c>
      <c r="H47" s="2" t="s">
        <v>312</v>
      </c>
      <c r="I47" s="2" t="s">
        <v>357</v>
      </c>
      <c r="J47" s="2" t="s">
        <v>358</v>
      </c>
      <c r="K47" s="2" t="s">
        <v>1363</v>
      </c>
      <c r="L47" s="149">
        <v>46.124000000000002</v>
      </c>
      <c r="M47" s="149">
        <v>2.4929999999999999</v>
      </c>
      <c r="N47" s="162">
        <v>0</v>
      </c>
      <c r="O47" s="149">
        <v>114.99299999999999</v>
      </c>
      <c r="P47" s="164">
        <v>1.6772332785236699E-2</v>
      </c>
      <c r="Q47" s="164">
        <v>1.7171133013533101E-3</v>
      </c>
    </row>
    <row r="48" spans="1:17">
      <c r="A48" s="2" t="s">
        <v>256</v>
      </c>
      <c r="B48" s="2">
        <v>7206</v>
      </c>
      <c r="C48" s="2" t="s">
        <v>352</v>
      </c>
      <c r="D48" s="2" t="s">
        <v>353</v>
      </c>
      <c r="E48" s="4" t="s">
        <v>354</v>
      </c>
      <c r="F48" s="2" t="s">
        <v>1146</v>
      </c>
      <c r="G48" s="2" t="s">
        <v>31</v>
      </c>
      <c r="H48" s="2" t="s">
        <v>312</v>
      </c>
      <c r="I48" s="2" t="s">
        <v>357</v>
      </c>
      <c r="J48" s="2" t="s">
        <v>358</v>
      </c>
      <c r="K48" s="2" t="s">
        <v>1363</v>
      </c>
      <c r="L48" s="149">
        <v>62.576999999999998</v>
      </c>
      <c r="M48" s="149">
        <v>2.4929999999999999</v>
      </c>
      <c r="N48" s="162">
        <v>0</v>
      </c>
      <c r="O48" s="149">
        <v>156.011</v>
      </c>
      <c r="P48" s="164">
        <v>2.2755054563986899E-2</v>
      </c>
      <c r="Q48" s="164">
        <v>2.3296107563066598E-3</v>
      </c>
    </row>
    <row r="49" spans="1:17">
      <c r="A49" s="2" t="s">
        <v>256</v>
      </c>
      <c r="B49" s="2">
        <v>7206</v>
      </c>
      <c r="C49" s="2" t="s">
        <v>352</v>
      </c>
      <c r="D49" s="2" t="s">
        <v>353</v>
      </c>
      <c r="E49" s="4" t="s">
        <v>354</v>
      </c>
      <c r="F49" s="2" t="s">
        <v>1146</v>
      </c>
      <c r="G49" s="2" t="s">
        <v>31</v>
      </c>
      <c r="H49" s="2" t="s">
        <v>312</v>
      </c>
      <c r="I49" s="2" t="s">
        <v>357</v>
      </c>
      <c r="J49" s="2" t="s">
        <v>358</v>
      </c>
      <c r="K49" s="2" t="s">
        <v>169</v>
      </c>
      <c r="L49" s="149">
        <v>40.360999999999997</v>
      </c>
      <c r="M49" s="149">
        <v>4.0199999999999996</v>
      </c>
      <c r="N49" s="162">
        <v>0</v>
      </c>
      <c r="O49" s="149">
        <v>162.26</v>
      </c>
      <c r="P49" s="164">
        <v>2.3666489532972498E-2</v>
      </c>
      <c r="Q49" s="164">
        <v>2.4229213964307001E-3</v>
      </c>
    </row>
    <row r="50" spans="1:17">
      <c r="A50" s="2" t="s">
        <v>256</v>
      </c>
      <c r="B50" s="2">
        <v>7206</v>
      </c>
      <c r="C50" s="2" t="s">
        <v>352</v>
      </c>
      <c r="D50" s="2" t="s">
        <v>353</v>
      </c>
      <c r="E50" s="4" t="s">
        <v>354</v>
      </c>
      <c r="F50" s="2" t="s">
        <v>1146</v>
      </c>
      <c r="G50" s="2" t="s">
        <v>31</v>
      </c>
      <c r="H50" s="2" t="s">
        <v>312</v>
      </c>
      <c r="I50" s="2" t="s">
        <v>357</v>
      </c>
      <c r="J50" s="2" t="s">
        <v>358</v>
      </c>
      <c r="K50" s="2" t="s">
        <v>1364</v>
      </c>
      <c r="L50" s="149">
        <v>50.997999999999998</v>
      </c>
      <c r="M50" s="149">
        <v>0.48199999999999998</v>
      </c>
      <c r="N50" s="162">
        <v>0</v>
      </c>
      <c r="O50" s="149">
        <v>24.602</v>
      </c>
      <c r="P50" s="164">
        <v>3.5882702883344901E-3</v>
      </c>
      <c r="Q50" s="164">
        <v>3.6735895476468602E-4</v>
      </c>
    </row>
    <row r="51" spans="1:17">
      <c r="A51" s="2" t="s">
        <v>256</v>
      </c>
      <c r="B51" s="2">
        <v>7206</v>
      </c>
      <c r="C51" s="2" t="s">
        <v>352</v>
      </c>
      <c r="D51" s="2" t="s">
        <v>353</v>
      </c>
      <c r="E51" s="4" t="s">
        <v>354</v>
      </c>
      <c r="F51" s="2" t="s">
        <v>1146</v>
      </c>
      <c r="G51" s="2" t="s">
        <v>31</v>
      </c>
      <c r="H51" s="2" t="s">
        <v>312</v>
      </c>
      <c r="I51" s="2" t="s">
        <v>357</v>
      </c>
      <c r="J51" s="2" t="s">
        <v>358</v>
      </c>
      <c r="K51" s="2" t="s">
        <v>159</v>
      </c>
      <c r="L51" s="149">
        <v>333.19600000000003</v>
      </c>
      <c r="M51" s="149">
        <v>3.7589999999999999</v>
      </c>
      <c r="N51" s="162">
        <v>0</v>
      </c>
      <c r="O51" s="149">
        <v>1252.4829999999999</v>
      </c>
      <c r="P51" s="164">
        <v>0.18268186995447</v>
      </c>
      <c r="Q51" s="164">
        <v>1.8702554548108499E-2</v>
      </c>
    </row>
    <row r="52" spans="1:17">
      <c r="A52" s="2" t="s">
        <v>256</v>
      </c>
      <c r="B52" s="2">
        <v>7206</v>
      </c>
      <c r="C52" s="2" t="s">
        <v>352</v>
      </c>
      <c r="D52" s="2" t="s">
        <v>353</v>
      </c>
      <c r="E52" s="4" t="s">
        <v>354</v>
      </c>
      <c r="F52" s="2" t="s">
        <v>1143</v>
      </c>
      <c r="G52" s="2" t="s">
        <v>31</v>
      </c>
      <c r="H52" s="2" t="s">
        <v>312</v>
      </c>
      <c r="I52" s="2" t="s">
        <v>357</v>
      </c>
      <c r="J52" s="2" t="s">
        <v>358</v>
      </c>
      <c r="K52" s="2" t="s">
        <v>159</v>
      </c>
      <c r="L52" s="149">
        <v>183.142</v>
      </c>
      <c r="M52" s="149">
        <v>3.7589999999999999</v>
      </c>
      <c r="N52" s="162">
        <v>0</v>
      </c>
      <c r="O52" s="149">
        <v>688.43</v>
      </c>
      <c r="P52" s="164">
        <v>0.100411413330665</v>
      </c>
      <c r="Q52" s="164">
        <v>1.02798922276057E-2</v>
      </c>
    </row>
    <row r="53" spans="1:17">
      <c r="A53" s="2" t="s">
        <v>256</v>
      </c>
      <c r="B53" s="2">
        <v>7206</v>
      </c>
      <c r="C53" s="2" t="s">
        <v>352</v>
      </c>
      <c r="D53" s="2" t="s">
        <v>353</v>
      </c>
      <c r="E53" s="4" t="s">
        <v>354</v>
      </c>
      <c r="F53" s="2" t="s">
        <v>1143</v>
      </c>
      <c r="G53" s="2" t="s">
        <v>31</v>
      </c>
      <c r="H53" s="2" t="s">
        <v>312</v>
      </c>
      <c r="I53" s="2" t="s">
        <v>357</v>
      </c>
      <c r="J53" s="2" t="s">
        <v>358</v>
      </c>
      <c r="K53" s="2" t="s">
        <v>1364</v>
      </c>
      <c r="L53" s="149">
        <v>0</v>
      </c>
      <c r="M53" s="149">
        <v>0.48199999999999998</v>
      </c>
      <c r="N53" s="162">
        <v>0</v>
      </c>
      <c r="O53" s="149">
        <v>0</v>
      </c>
      <c r="P53" s="164">
        <v>7.0360807047756797E-10</v>
      </c>
      <c r="Q53" s="164">
        <v>7.2033794715785002E-11</v>
      </c>
    </row>
    <row r="54" spans="1:17">
      <c r="A54" s="2" t="s">
        <v>256</v>
      </c>
      <c r="B54" s="2">
        <v>7206</v>
      </c>
      <c r="C54" s="2" t="s">
        <v>352</v>
      </c>
      <c r="D54" s="2" t="s">
        <v>353</v>
      </c>
      <c r="E54" s="4" t="s">
        <v>354</v>
      </c>
      <c r="F54" s="2" t="s">
        <v>1143</v>
      </c>
      <c r="G54" s="2" t="s">
        <v>31</v>
      </c>
      <c r="H54" s="2" t="s">
        <v>312</v>
      </c>
      <c r="I54" s="2" t="s">
        <v>357</v>
      </c>
      <c r="J54" s="2" t="s">
        <v>358</v>
      </c>
      <c r="K54" s="2" t="s">
        <v>169</v>
      </c>
      <c r="L54" s="149">
        <v>37.895000000000003</v>
      </c>
      <c r="M54" s="149">
        <v>4.0199999999999996</v>
      </c>
      <c r="N54" s="162">
        <v>0</v>
      </c>
      <c r="O54" s="149">
        <v>152.345</v>
      </c>
      <c r="P54" s="164">
        <v>2.2220391601938401E-2</v>
      </c>
      <c r="Q54" s="164">
        <v>2.2748731777223401E-3</v>
      </c>
    </row>
    <row r="55" spans="1:17">
      <c r="A55" s="2" t="s">
        <v>256</v>
      </c>
      <c r="B55" s="2">
        <v>7206</v>
      </c>
      <c r="C55" s="2" t="s">
        <v>352</v>
      </c>
      <c r="D55" s="2" t="s">
        <v>353</v>
      </c>
      <c r="E55" s="4" t="s">
        <v>354</v>
      </c>
      <c r="F55" s="2" t="s">
        <v>1141</v>
      </c>
      <c r="G55" s="2" t="s">
        <v>31</v>
      </c>
      <c r="H55" s="2" t="s">
        <v>312</v>
      </c>
      <c r="I55" s="2" t="s">
        <v>357</v>
      </c>
      <c r="J55" s="2" t="s">
        <v>358</v>
      </c>
      <c r="K55" s="2" t="s">
        <v>35</v>
      </c>
      <c r="L55" s="149">
        <v>0</v>
      </c>
      <c r="M55" s="149">
        <v>1</v>
      </c>
      <c r="N55" s="162">
        <v>0</v>
      </c>
      <c r="O55" s="149">
        <v>19.539000000000001</v>
      </c>
      <c r="P55" s="164">
        <v>2.8498066735630299E-3</v>
      </c>
      <c r="Q55" s="164">
        <v>2.9175672866256302E-4</v>
      </c>
    </row>
    <row r="56" spans="1:17">
      <c r="A56" s="2" t="s">
        <v>256</v>
      </c>
      <c r="B56" s="2">
        <v>7206</v>
      </c>
      <c r="C56" s="2" t="s">
        <v>352</v>
      </c>
      <c r="D56" s="2" t="s">
        <v>353</v>
      </c>
      <c r="E56" s="4" t="s">
        <v>354</v>
      </c>
      <c r="F56" s="2" t="s">
        <v>1144</v>
      </c>
      <c r="G56" s="2" t="s">
        <v>31</v>
      </c>
      <c r="H56" s="2" t="s">
        <v>312</v>
      </c>
      <c r="I56" s="2" t="s">
        <v>357</v>
      </c>
      <c r="J56" s="2" t="s">
        <v>358</v>
      </c>
      <c r="K56" s="2" t="s">
        <v>35</v>
      </c>
      <c r="L56" s="149">
        <v>0</v>
      </c>
      <c r="M56" s="149">
        <v>1</v>
      </c>
      <c r="N56" s="162">
        <v>0</v>
      </c>
      <c r="O56" s="149">
        <v>2308.7570000000001</v>
      </c>
      <c r="P56" s="164">
        <v>0.336745439818187</v>
      </c>
      <c r="Q56" s="164">
        <v>3.4475232592024903E-2</v>
      </c>
    </row>
    <row r="57" spans="1:17">
      <c r="A57" s="2" t="s">
        <v>256</v>
      </c>
      <c r="B57" s="2">
        <v>7206</v>
      </c>
      <c r="C57" s="2" t="s">
        <v>362</v>
      </c>
      <c r="D57" s="2" t="s">
        <v>363</v>
      </c>
      <c r="E57" s="4" t="s">
        <v>354</v>
      </c>
      <c r="F57" s="2" t="s">
        <v>1143</v>
      </c>
      <c r="G57" s="2" t="s">
        <v>31</v>
      </c>
      <c r="H57" s="2" t="s">
        <v>312</v>
      </c>
      <c r="I57" s="2" t="s">
        <v>357</v>
      </c>
      <c r="J57" s="2" t="s">
        <v>358</v>
      </c>
      <c r="K57" s="2" t="s">
        <v>159</v>
      </c>
      <c r="L57" s="149">
        <v>38.267000000000003</v>
      </c>
      <c r="M57" s="149">
        <v>3.7589999999999999</v>
      </c>
      <c r="N57" s="162">
        <v>0</v>
      </c>
      <c r="O57" s="149">
        <v>143.84700000000001</v>
      </c>
      <c r="P57" s="164">
        <v>2.0980965794107499E-2</v>
      </c>
      <c r="Q57" s="164">
        <v>2.1479835811517101E-3</v>
      </c>
    </row>
    <row r="58" spans="1:17">
      <c r="A58" s="2" t="s">
        <v>256</v>
      </c>
      <c r="B58" s="2">
        <v>7206</v>
      </c>
      <c r="C58" s="2" t="s">
        <v>362</v>
      </c>
      <c r="D58" s="2" t="s">
        <v>363</v>
      </c>
      <c r="E58" s="4" t="s">
        <v>354</v>
      </c>
      <c r="F58" s="2" t="s">
        <v>1141</v>
      </c>
      <c r="G58" s="2" t="s">
        <v>31</v>
      </c>
      <c r="H58" s="2" t="s">
        <v>312</v>
      </c>
      <c r="I58" s="2" t="s">
        <v>357</v>
      </c>
      <c r="J58" s="2" t="s">
        <v>358</v>
      </c>
      <c r="K58" s="2" t="s">
        <v>35</v>
      </c>
      <c r="L58" s="149">
        <v>0</v>
      </c>
      <c r="M58" s="149">
        <v>1</v>
      </c>
      <c r="N58" s="162">
        <v>0</v>
      </c>
      <c r="O58" s="149">
        <v>1832.8240000000001</v>
      </c>
      <c r="P58" s="164">
        <v>0.26732792411332401</v>
      </c>
      <c r="Q58" s="164">
        <v>2.7368425143710799E-2</v>
      </c>
    </row>
    <row r="59" spans="1:17">
      <c r="A59" s="2" t="s">
        <v>256</v>
      </c>
      <c r="B59" s="2">
        <v>7207</v>
      </c>
      <c r="C59" s="2" t="s">
        <v>352</v>
      </c>
      <c r="D59" s="2" t="s">
        <v>353</v>
      </c>
      <c r="E59" s="4" t="s">
        <v>354</v>
      </c>
      <c r="F59" s="2" t="s">
        <v>1143</v>
      </c>
      <c r="G59" s="2" t="s">
        <v>31</v>
      </c>
      <c r="H59" s="2" t="s">
        <v>312</v>
      </c>
      <c r="I59" s="2" t="s">
        <v>357</v>
      </c>
      <c r="J59" s="2" t="s">
        <v>358</v>
      </c>
      <c r="K59" s="2" t="s">
        <v>1363</v>
      </c>
      <c r="L59" s="149">
        <v>31.425999999999998</v>
      </c>
      <c r="M59" s="149">
        <v>2.4929999999999999</v>
      </c>
      <c r="N59" s="162">
        <v>0</v>
      </c>
      <c r="O59" s="149">
        <v>78.347999999999999</v>
      </c>
      <c r="P59" s="164">
        <v>1.04187891252202E-2</v>
      </c>
      <c r="Q59" s="164">
        <v>8.0576768588186095E-4</v>
      </c>
    </row>
    <row r="60" spans="1:17">
      <c r="A60" s="2" t="s">
        <v>256</v>
      </c>
      <c r="B60" s="2">
        <v>7207</v>
      </c>
      <c r="C60" s="2" t="s">
        <v>352</v>
      </c>
      <c r="D60" s="2" t="s">
        <v>353</v>
      </c>
      <c r="E60" s="4" t="s">
        <v>354</v>
      </c>
      <c r="F60" s="2" t="s">
        <v>1146</v>
      </c>
      <c r="G60" s="2" t="s">
        <v>31</v>
      </c>
      <c r="H60" s="2" t="s">
        <v>312</v>
      </c>
      <c r="I60" s="2" t="s">
        <v>357</v>
      </c>
      <c r="J60" s="2" t="s">
        <v>358</v>
      </c>
      <c r="K60" s="2" t="s">
        <v>1363</v>
      </c>
      <c r="L60" s="149">
        <v>47.307000000000002</v>
      </c>
      <c r="M60" s="149">
        <v>2.4929999999999999</v>
      </c>
      <c r="N60" s="162">
        <v>0</v>
      </c>
      <c r="O60" s="149">
        <v>117.94199999999999</v>
      </c>
      <c r="P60" s="164">
        <v>1.56841270642319E-2</v>
      </c>
      <c r="Q60" s="164">
        <v>1.21297807429768E-3</v>
      </c>
    </row>
    <row r="61" spans="1:17">
      <c r="A61" s="2" t="s">
        <v>256</v>
      </c>
      <c r="B61" s="2">
        <v>7207</v>
      </c>
      <c r="C61" s="2" t="s">
        <v>352</v>
      </c>
      <c r="D61" s="2" t="s">
        <v>353</v>
      </c>
      <c r="E61" s="4" t="s">
        <v>354</v>
      </c>
      <c r="F61" s="2" t="s">
        <v>1146</v>
      </c>
      <c r="G61" s="2" t="s">
        <v>31</v>
      </c>
      <c r="H61" s="2" t="s">
        <v>312</v>
      </c>
      <c r="I61" s="2" t="s">
        <v>357</v>
      </c>
      <c r="J61" s="2" t="s">
        <v>358</v>
      </c>
      <c r="K61" s="2" t="s">
        <v>169</v>
      </c>
      <c r="L61" s="149">
        <v>23.11</v>
      </c>
      <c r="M61" s="149">
        <v>4.0199999999999996</v>
      </c>
      <c r="N61" s="162">
        <v>0</v>
      </c>
      <c r="O61" s="149">
        <v>92.908000000000001</v>
      </c>
      <c r="P61" s="164">
        <v>1.23550191092323E-2</v>
      </c>
      <c r="Q61" s="164">
        <v>9.5551172377355501E-4</v>
      </c>
    </row>
    <row r="62" spans="1:17">
      <c r="A62" s="2" t="s">
        <v>256</v>
      </c>
      <c r="B62" s="2">
        <v>7207</v>
      </c>
      <c r="C62" s="2" t="s">
        <v>352</v>
      </c>
      <c r="D62" s="2" t="s">
        <v>353</v>
      </c>
      <c r="E62" s="4" t="s">
        <v>354</v>
      </c>
      <c r="F62" s="2" t="s">
        <v>1146</v>
      </c>
      <c r="G62" s="2" t="s">
        <v>31</v>
      </c>
      <c r="H62" s="2" t="s">
        <v>312</v>
      </c>
      <c r="I62" s="2" t="s">
        <v>357</v>
      </c>
      <c r="J62" s="2" t="s">
        <v>358</v>
      </c>
      <c r="K62" s="2" t="s">
        <v>1364</v>
      </c>
      <c r="L62" s="149">
        <v>82.582999999999998</v>
      </c>
      <c r="M62" s="149">
        <v>0.48199999999999998</v>
      </c>
      <c r="N62" s="162">
        <v>0</v>
      </c>
      <c r="O62" s="149">
        <v>39.838000000000001</v>
      </c>
      <c r="P62" s="164">
        <v>5.2977455340894502E-3</v>
      </c>
      <c r="Q62" s="164">
        <v>4.09716725052155E-4</v>
      </c>
    </row>
    <row r="63" spans="1:17">
      <c r="A63" s="2" t="s">
        <v>256</v>
      </c>
      <c r="B63" s="2">
        <v>7207</v>
      </c>
      <c r="C63" s="2" t="s">
        <v>352</v>
      </c>
      <c r="D63" s="2" t="s">
        <v>353</v>
      </c>
      <c r="E63" s="4" t="s">
        <v>354</v>
      </c>
      <c r="F63" s="2" t="s">
        <v>1146</v>
      </c>
      <c r="G63" s="2" t="s">
        <v>31</v>
      </c>
      <c r="H63" s="2" t="s">
        <v>312</v>
      </c>
      <c r="I63" s="2" t="s">
        <v>357</v>
      </c>
      <c r="J63" s="2" t="s">
        <v>358</v>
      </c>
      <c r="K63" s="2" t="s">
        <v>159</v>
      </c>
      <c r="L63" s="149">
        <v>282.04500000000002</v>
      </c>
      <c r="M63" s="149">
        <v>3.7589999999999999</v>
      </c>
      <c r="N63" s="162">
        <v>0</v>
      </c>
      <c r="O63" s="149">
        <v>1060.2059999999999</v>
      </c>
      <c r="P63" s="164">
        <v>0.14098763152515301</v>
      </c>
      <c r="Q63" s="164">
        <v>1.0903692955738399E-2</v>
      </c>
    </row>
    <row r="64" spans="1:17">
      <c r="A64" s="2" t="s">
        <v>256</v>
      </c>
      <c r="B64" s="2">
        <v>7207</v>
      </c>
      <c r="C64" s="2" t="s">
        <v>352</v>
      </c>
      <c r="D64" s="2" t="s">
        <v>353</v>
      </c>
      <c r="E64" s="4" t="s">
        <v>354</v>
      </c>
      <c r="F64" s="2" t="s">
        <v>1143</v>
      </c>
      <c r="G64" s="2" t="s">
        <v>31</v>
      </c>
      <c r="H64" s="2" t="s">
        <v>312</v>
      </c>
      <c r="I64" s="2" t="s">
        <v>357</v>
      </c>
      <c r="J64" s="2" t="s">
        <v>358</v>
      </c>
      <c r="K64" s="2" t="s">
        <v>159</v>
      </c>
      <c r="L64" s="149">
        <v>207.82400000000001</v>
      </c>
      <c r="M64" s="149">
        <v>3.7589999999999999</v>
      </c>
      <c r="N64" s="162">
        <v>0</v>
      </c>
      <c r="O64" s="149">
        <v>781.21100000000001</v>
      </c>
      <c r="P64" s="164">
        <v>0.103886516956726</v>
      </c>
      <c r="Q64" s="164">
        <v>8.0343691917057706E-3</v>
      </c>
    </row>
    <row r="65" spans="1:17">
      <c r="A65" s="2" t="s">
        <v>256</v>
      </c>
      <c r="B65" s="2">
        <v>7207</v>
      </c>
      <c r="C65" s="2" t="s">
        <v>352</v>
      </c>
      <c r="D65" s="2" t="s">
        <v>353</v>
      </c>
      <c r="E65" s="4" t="s">
        <v>354</v>
      </c>
      <c r="F65" s="2" t="s">
        <v>1143</v>
      </c>
      <c r="G65" s="2" t="s">
        <v>31</v>
      </c>
      <c r="H65" s="2" t="s">
        <v>312</v>
      </c>
      <c r="I65" s="2" t="s">
        <v>357</v>
      </c>
      <c r="J65" s="2" t="s">
        <v>358</v>
      </c>
      <c r="K65" s="2" t="s">
        <v>1364</v>
      </c>
      <c r="L65" s="149">
        <v>6.3E-2</v>
      </c>
      <c r="M65" s="149">
        <v>0.48199999999999998</v>
      </c>
      <c r="N65" s="162">
        <v>0</v>
      </c>
      <c r="O65" s="149">
        <v>0.03</v>
      </c>
      <c r="P65" s="164">
        <v>4.0106724908132003E-6</v>
      </c>
      <c r="Q65" s="164">
        <v>3.1017714754681601E-7</v>
      </c>
    </row>
    <row r="66" spans="1:17">
      <c r="A66" s="2" t="s">
        <v>256</v>
      </c>
      <c r="B66" s="2">
        <v>7207</v>
      </c>
      <c r="C66" s="2" t="s">
        <v>352</v>
      </c>
      <c r="D66" s="2" t="s">
        <v>353</v>
      </c>
      <c r="E66" s="4" t="s">
        <v>354</v>
      </c>
      <c r="F66" s="2" t="s">
        <v>1143</v>
      </c>
      <c r="G66" s="2" t="s">
        <v>31</v>
      </c>
      <c r="H66" s="2" t="s">
        <v>312</v>
      </c>
      <c r="I66" s="2" t="s">
        <v>357</v>
      </c>
      <c r="J66" s="2" t="s">
        <v>358</v>
      </c>
      <c r="K66" s="2" t="s">
        <v>169</v>
      </c>
      <c r="L66" s="149">
        <v>25.56</v>
      </c>
      <c r="M66" s="149">
        <v>4.0199999999999996</v>
      </c>
      <c r="N66" s="162">
        <v>0</v>
      </c>
      <c r="O66" s="149">
        <v>102.756</v>
      </c>
      <c r="P66" s="164">
        <v>1.3664604324196399E-2</v>
      </c>
      <c r="Q66" s="164">
        <v>1.0567923462570601E-3</v>
      </c>
    </row>
    <row r="67" spans="1:17">
      <c r="A67" s="2" t="s">
        <v>256</v>
      </c>
      <c r="B67" s="2">
        <v>7207</v>
      </c>
      <c r="C67" s="2" t="s">
        <v>352</v>
      </c>
      <c r="D67" s="2" t="s">
        <v>353</v>
      </c>
      <c r="E67" s="4" t="s">
        <v>354</v>
      </c>
      <c r="F67" s="2" t="s">
        <v>1141</v>
      </c>
      <c r="G67" s="2" t="s">
        <v>31</v>
      </c>
      <c r="H67" s="2" t="s">
        <v>312</v>
      </c>
      <c r="I67" s="2" t="s">
        <v>357</v>
      </c>
      <c r="J67" s="2" t="s">
        <v>358</v>
      </c>
      <c r="K67" s="2" t="s">
        <v>35</v>
      </c>
      <c r="L67" s="149">
        <v>0</v>
      </c>
      <c r="M67" s="149">
        <v>1</v>
      </c>
      <c r="N67" s="162">
        <v>0</v>
      </c>
      <c r="O67" s="149">
        <v>32.055</v>
      </c>
      <c r="P67" s="164">
        <v>4.2626685376921701E-3</v>
      </c>
      <c r="Q67" s="164">
        <v>3.2966600264356999E-4</v>
      </c>
    </row>
    <row r="68" spans="1:17">
      <c r="A68" s="2" t="s">
        <v>256</v>
      </c>
      <c r="B68" s="2">
        <v>7207</v>
      </c>
      <c r="C68" s="2" t="s">
        <v>352</v>
      </c>
      <c r="D68" s="2" t="s">
        <v>353</v>
      </c>
      <c r="E68" s="4" t="s">
        <v>354</v>
      </c>
      <c r="F68" s="2" t="s">
        <v>1144</v>
      </c>
      <c r="G68" s="2" t="s">
        <v>31</v>
      </c>
      <c r="H68" s="2" t="s">
        <v>312</v>
      </c>
      <c r="I68" s="2" t="s">
        <v>357</v>
      </c>
      <c r="J68" s="2" t="s">
        <v>358</v>
      </c>
      <c r="K68" s="2" t="s">
        <v>35</v>
      </c>
      <c r="L68" s="149">
        <v>0</v>
      </c>
      <c r="M68" s="149">
        <v>1</v>
      </c>
      <c r="N68" s="162">
        <v>0</v>
      </c>
      <c r="O68" s="149">
        <v>3554.886</v>
      </c>
      <c r="P68" s="164">
        <v>0.47273373638544203</v>
      </c>
      <c r="Q68" s="164">
        <v>3.6560253233605303E-2</v>
      </c>
    </row>
    <row r="69" spans="1:17">
      <c r="A69" s="2" t="s">
        <v>256</v>
      </c>
      <c r="B69" s="2">
        <v>7207</v>
      </c>
      <c r="C69" s="2" t="s">
        <v>362</v>
      </c>
      <c r="D69" s="2" t="s">
        <v>363</v>
      </c>
      <c r="E69" s="4" t="s">
        <v>354</v>
      </c>
      <c r="F69" s="2" t="s">
        <v>1143</v>
      </c>
      <c r="G69" s="2" t="s">
        <v>31</v>
      </c>
      <c r="H69" s="2" t="s">
        <v>312</v>
      </c>
      <c r="I69" s="2" t="s">
        <v>357</v>
      </c>
      <c r="J69" s="2" t="s">
        <v>358</v>
      </c>
      <c r="K69" s="2" t="s">
        <v>159</v>
      </c>
      <c r="L69" s="149">
        <v>36.476999999999997</v>
      </c>
      <c r="M69" s="149">
        <v>3.7589999999999999</v>
      </c>
      <c r="N69" s="162">
        <v>0</v>
      </c>
      <c r="O69" s="149">
        <v>137.11600000000001</v>
      </c>
      <c r="P69" s="164">
        <v>1.82339126238142E-2</v>
      </c>
      <c r="Q69" s="164">
        <v>1.4101732363406799E-3</v>
      </c>
    </row>
    <row r="70" spans="1:17">
      <c r="A70" s="2" t="s">
        <v>256</v>
      </c>
      <c r="B70" s="2">
        <v>7207</v>
      </c>
      <c r="C70" s="2" t="s">
        <v>362</v>
      </c>
      <c r="D70" s="2" t="s">
        <v>363</v>
      </c>
      <c r="E70" s="4" t="s">
        <v>354</v>
      </c>
      <c r="F70" s="2" t="s">
        <v>1141</v>
      </c>
      <c r="G70" s="2" t="s">
        <v>31</v>
      </c>
      <c r="H70" s="2" t="s">
        <v>312</v>
      </c>
      <c r="I70" s="2" t="s">
        <v>357</v>
      </c>
      <c r="J70" s="2" t="s">
        <v>358</v>
      </c>
      <c r="K70" s="2" t="s">
        <v>35</v>
      </c>
      <c r="L70" s="149">
        <v>0</v>
      </c>
      <c r="M70" s="149">
        <v>1</v>
      </c>
      <c r="N70" s="162">
        <v>0</v>
      </c>
      <c r="O70" s="149">
        <v>1522.5540000000001</v>
      </c>
      <c r="P70" s="164">
        <v>0.202471367133679</v>
      </c>
      <c r="Q70" s="164">
        <v>1.5658718397296802E-2</v>
      </c>
    </row>
    <row r="71" spans="1:17">
      <c r="A71" s="2" t="s">
        <v>256</v>
      </c>
      <c r="B71" s="2">
        <v>7207</v>
      </c>
      <c r="C71" s="2" t="s">
        <v>362</v>
      </c>
      <c r="D71" s="2" t="s">
        <v>363</v>
      </c>
      <c r="E71" s="4" t="s">
        <v>354</v>
      </c>
      <c r="F71" s="2" t="s">
        <v>1141</v>
      </c>
      <c r="G71" s="2" t="s">
        <v>31</v>
      </c>
      <c r="H71" s="2" t="s">
        <v>312</v>
      </c>
      <c r="I71" s="2" t="s">
        <v>357</v>
      </c>
      <c r="J71" s="2" t="s">
        <v>358</v>
      </c>
      <c r="K71" s="2" t="s">
        <v>35</v>
      </c>
      <c r="L71" s="149">
        <v>0</v>
      </c>
      <c r="M71" s="149">
        <v>1</v>
      </c>
      <c r="N71" s="162">
        <v>0</v>
      </c>
      <c r="O71" s="149">
        <v>-1E-3</v>
      </c>
      <c r="P71" s="164">
        <v>-1.2899196688531601E-7</v>
      </c>
      <c r="Q71" s="164">
        <v>-9.9759729662763915E-9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386"/>
  <sheetViews>
    <sheetView rightToLeft="1" zoomScale="70" zoomScaleNormal="70" workbookViewId="0"/>
  </sheetViews>
  <sheetFormatPr defaultColWidth="9" defaultRowHeight="13.8"/>
  <cols>
    <col min="1" max="14" width="11.6640625" style="4" customWidth="1"/>
    <col min="15" max="15" width="11.6640625" style="145" customWidth="1"/>
    <col min="16" max="30" width="11.6640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9" t="s">
        <v>14</v>
      </c>
      <c r="P1" s="163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 ht="14.4">
      <c r="A2" s="18" t="s">
        <v>26</v>
      </c>
      <c r="B2" s="18">
        <v>13711</v>
      </c>
      <c r="C2" s="18" t="s">
        <v>27</v>
      </c>
      <c r="D2" s="18" t="s">
        <v>28</v>
      </c>
      <c r="E2" s="18" t="s">
        <v>29</v>
      </c>
      <c r="F2" s="4" t="s">
        <v>49</v>
      </c>
      <c r="G2" s="18" t="s">
        <v>31</v>
      </c>
      <c r="H2" s="18" t="s">
        <v>31</v>
      </c>
      <c r="I2" s="18" t="s">
        <v>32</v>
      </c>
      <c r="J2" s="18" t="s">
        <v>33</v>
      </c>
      <c r="K2" s="18" t="s">
        <v>34</v>
      </c>
      <c r="L2" s="4" t="s">
        <v>35</v>
      </c>
      <c r="M2" s="150">
        <v>0.16200000000000001</v>
      </c>
      <c r="N2" s="4" t="s">
        <v>36</v>
      </c>
      <c r="O2" s="161">
        <v>0</v>
      </c>
      <c r="P2" s="166">
        <v>4.4420000000000001E-2</v>
      </c>
      <c r="R2" s="150">
        <v>1624687</v>
      </c>
      <c r="S2" s="150">
        <v>1</v>
      </c>
      <c r="T2" s="150">
        <v>99.3</v>
      </c>
      <c r="U2" s="150">
        <v>1613.3140000000001</v>
      </c>
      <c r="W2" s="18" t="s">
        <v>37</v>
      </c>
      <c r="X2" s="166">
        <v>2.6800000000000001E-4</v>
      </c>
      <c r="Y2" s="166">
        <v>0.11883205938416599</v>
      </c>
      <c r="Z2" s="166">
        <v>4.3947525787631801E-2</v>
      </c>
    </row>
    <row r="3" spans="1:26" ht="14.4">
      <c r="A3" s="18" t="s">
        <v>26</v>
      </c>
      <c r="B3" s="18">
        <v>13711</v>
      </c>
      <c r="C3" s="18" t="s">
        <v>27</v>
      </c>
      <c r="D3" s="18" t="s">
        <v>38</v>
      </c>
      <c r="E3" s="18" t="s">
        <v>39</v>
      </c>
      <c r="F3" s="4" t="s">
        <v>49</v>
      </c>
      <c r="G3" s="18" t="s">
        <v>31</v>
      </c>
      <c r="H3" s="18" t="s">
        <v>31</v>
      </c>
      <c r="I3" s="18" t="s">
        <v>32</v>
      </c>
      <c r="J3" s="18" t="s">
        <v>33</v>
      </c>
      <c r="K3" s="18" t="s">
        <v>34</v>
      </c>
      <c r="L3" s="4" t="s">
        <v>35</v>
      </c>
      <c r="M3" s="150">
        <v>0.41099999999999998</v>
      </c>
      <c r="N3" s="4" t="s">
        <v>40</v>
      </c>
      <c r="O3" s="161">
        <v>0</v>
      </c>
      <c r="P3" s="166">
        <v>4.3900000000000002E-2</v>
      </c>
      <c r="R3" s="150">
        <v>372000</v>
      </c>
      <c r="S3" s="150">
        <v>1</v>
      </c>
      <c r="T3" s="150">
        <v>98.24</v>
      </c>
      <c r="U3" s="150">
        <v>365.45299999999997</v>
      </c>
      <c r="W3" s="18" t="s">
        <v>37</v>
      </c>
      <c r="X3" s="166">
        <v>4.0000000000000003E-5</v>
      </c>
      <c r="Y3" s="166">
        <v>2.6918196761656001E-2</v>
      </c>
      <c r="Z3" s="166">
        <v>9.9551261879169996E-3</v>
      </c>
    </row>
    <row r="4" spans="1:26" ht="14.4">
      <c r="A4" s="18" t="s">
        <v>26</v>
      </c>
      <c r="B4" s="18">
        <v>13711</v>
      </c>
      <c r="C4" s="18" t="s">
        <v>41</v>
      </c>
      <c r="D4" s="18" t="s">
        <v>42</v>
      </c>
      <c r="E4" s="18" t="s">
        <v>43</v>
      </c>
      <c r="F4" s="18" t="s">
        <v>44</v>
      </c>
      <c r="G4" s="18" t="s">
        <v>31</v>
      </c>
      <c r="H4" s="18" t="s">
        <v>31</v>
      </c>
      <c r="I4" s="18" t="s">
        <v>32</v>
      </c>
      <c r="J4" s="18" t="s">
        <v>33</v>
      </c>
      <c r="K4" s="18" t="s">
        <v>34</v>
      </c>
      <c r="L4" s="4" t="s">
        <v>35</v>
      </c>
      <c r="M4" s="150">
        <v>7.9000000000000001E-2</v>
      </c>
      <c r="N4" s="4" t="s">
        <v>45</v>
      </c>
      <c r="O4" s="161">
        <v>0.04</v>
      </c>
      <c r="P4" s="166">
        <v>4.7849999999999997E-2</v>
      </c>
      <c r="R4" s="150">
        <v>30972</v>
      </c>
      <c r="S4" s="150">
        <v>1</v>
      </c>
      <c r="T4" s="150">
        <v>145.32</v>
      </c>
      <c r="U4" s="150">
        <v>45.009</v>
      </c>
      <c r="W4" s="18" t="s">
        <v>37</v>
      </c>
      <c r="X4" s="166">
        <v>7.9999999999999996E-6</v>
      </c>
      <c r="Y4" s="166">
        <v>3.3151967611036001E-3</v>
      </c>
      <c r="Z4" s="166">
        <v>1.2260554593156101E-3</v>
      </c>
    </row>
    <row r="5" spans="1:26" ht="14.4">
      <c r="A5" s="18" t="s">
        <v>26</v>
      </c>
      <c r="B5" s="18">
        <v>13711</v>
      </c>
      <c r="C5" s="18" t="s">
        <v>46</v>
      </c>
      <c r="D5" s="18" t="s">
        <v>47</v>
      </c>
      <c r="E5" s="18" t="s">
        <v>48</v>
      </c>
      <c r="F5" s="18" t="s">
        <v>49</v>
      </c>
      <c r="G5" s="18" t="s">
        <v>31</v>
      </c>
      <c r="H5" s="18" t="s">
        <v>31</v>
      </c>
      <c r="I5" s="18" t="s">
        <v>50</v>
      </c>
      <c r="J5" s="18" t="s">
        <v>33</v>
      </c>
      <c r="K5" s="18" t="s">
        <v>34</v>
      </c>
      <c r="L5" s="4" t="s">
        <v>35</v>
      </c>
      <c r="M5" s="150">
        <v>0.67400000000000004</v>
      </c>
      <c r="N5" s="4" t="s">
        <v>51</v>
      </c>
      <c r="O5" s="161">
        <v>0</v>
      </c>
      <c r="P5" s="166">
        <v>4.3360000000000003E-2</v>
      </c>
      <c r="R5" s="150">
        <v>57000</v>
      </c>
      <c r="S5" s="150">
        <v>1</v>
      </c>
      <c r="T5" s="150">
        <v>97.17</v>
      </c>
      <c r="U5" s="150">
        <v>55.387</v>
      </c>
      <c r="W5" s="18" t="s">
        <v>37</v>
      </c>
      <c r="X5" s="166">
        <v>5.0000000000000004E-6</v>
      </c>
      <c r="Y5" s="166">
        <v>4.0796389361859196E-3</v>
      </c>
      <c r="Z5" s="166">
        <v>1.50876824218487E-3</v>
      </c>
    </row>
    <row r="6" spans="1:26" ht="14.4">
      <c r="A6" s="18" t="s">
        <v>26</v>
      </c>
      <c r="B6" s="18">
        <v>13711</v>
      </c>
      <c r="C6" s="18" t="s">
        <v>46</v>
      </c>
      <c r="D6" s="18" t="s">
        <v>52</v>
      </c>
      <c r="E6" s="18" t="s">
        <v>53</v>
      </c>
      <c r="F6" s="18" t="s">
        <v>49</v>
      </c>
      <c r="G6" s="18" t="s">
        <v>31</v>
      </c>
      <c r="H6" s="18" t="s">
        <v>31</v>
      </c>
      <c r="I6" s="18" t="s">
        <v>50</v>
      </c>
      <c r="J6" s="18" t="s">
        <v>33</v>
      </c>
      <c r="K6" s="18" t="s">
        <v>34</v>
      </c>
      <c r="L6" s="4" t="s">
        <v>35</v>
      </c>
      <c r="M6" s="150">
        <v>0.751</v>
      </c>
      <c r="N6" s="4" t="s">
        <v>54</v>
      </c>
      <c r="O6" s="161">
        <v>0</v>
      </c>
      <c r="P6" s="166">
        <v>4.2840000000000003E-2</v>
      </c>
      <c r="R6" s="150">
        <v>142000</v>
      </c>
      <c r="S6" s="150">
        <v>1</v>
      </c>
      <c r="T6" s="150">
        <v>96.87</v>
      </c>
      <c r="U6" s="150">
        <v>137.55500000000001</v>
      </c>
      <c r="W6" s="18" t="s">
        <v>37</v>
      </c>
      <c r="X6" s="166">
        <v>1.2E-5</v>
      </c>
      <c r="Y6" s="166">
        <v>1.01319331055291E-2</v>
      </c>
      <c r="Z6" s="166">
        <v>3.7470813326081999E-3</v>
      </c>
    </row>
    <row r="7" spans="1:26" ht="14.4">
      <c r="A7" s="18" t="s">
        <v>26</v>
      </c>
      <c r="B7" s="18">
        <v>13711</v>
      </c>
      <c r="C7" s="18" t="s">
        <v>46</v>
      </c>
      <c r="D7" s="18" t="s">
        <v>55</v>
      </c>
      <c r="E7" s="18" t="s">
        <v>56</v>
      </c>
      <c r="F7" s="18" t="s">
        <v>49</v>
      </c>
      <c r="G7" s="18" t="s">
        <v>31</v>
      </c>
      <c r="H7" s="18" t="s">
        <v>31</v>
      </c>
      <c r="I7" s="18" t="s">
        <v>32</v>
      </c>
      <c r="J7" s="18" t="s">
        <v>33</v>
      </c>
      <c r="K7" s="18" t="s">
        <v>34</v>
      </c>
      <c r="L7" s="4" t="s">
        <v>35</v>
      </c>
      <c r="M7" s="150">
        <v>0.252</v>
      </c>
      <c r="N7" s="4" t="s">
        <v>57</v>
      </c>
      <c r="O7" s="161">
        <v>0</v>
      </c>
      <c r="P7" s="166">
        <v>4.2770000000000002E-2</v>
      </c>
      <c r="R7" s="150">
        <v>191000</v>
      </c>
      <c r="S7" s="150">
        <v>1</v>
      </c>
      <c r="T7" s="150">
        <v>98.94</v>
      </c>
      <c r="U7" s="150">
        <v>188.97499999999999</v>
      </c>
      <c r="W7" s="18" t="s">
        <v>37</v>
      </c>
      <c r="X7" s="166">
        <v>1.1E-5</v>
      </c>
      <c r="Y7" s="166">
        <v>1.39193816556137E-2</v>
      </c>
      <c r="Z7" s="166">
        <v>5.1477891355931303E-3</v>
      </c>
    </row>
    <row r="8" spans="1:26" ht="14.4">
      <c r="A8" s="18" t="s">
        <v>26</v>
      </c>
      <c r="B8" s="18">
        <v>13711</v>
      </c>
      <c r="C8" s="18" t="s">
        <v>46</v>
      </c>
      <c r="D8" s="18" t="s">
        <v>58</v>
      </c>
      <c r="E8" s="18" t="s">
        <v>59</v>
      </c>
      <c r="F8" s="18" t="s">
        <v>49</v>
      </c>
      <c r="G8" s="18" t="s">
        <v>31</v>
      </c>
      <c r="H8" s="18" t="s">
        <v>31</v>
      </c>
      <c r="I8" s="18" t="s">
        <v>32</v>
      </c>
      <c r="J8" s="18" t="s">
        <v>33</v>
      </c>
      <c r="K8" s="18" t="s">
        <v>34</v>
      </c>
      <c r="L8" s="4" t="s">
        <v>35</v>
      </c>
      <c r="M8" s="150">
        <v>0.34799999999999998</v>
      </c>
      <c r="N8" s="4" t="s">
        <v>60</v>
      </c>
      <c r="O8" s="161">
        <v>0</v>
      </c>
      <c r="P8" s="166">
        <v>4.3479999999999998E-2</v>
      </c>
      <c r="R8" s="150">
        <v>355000</v>
      </c>
      <c r="S8" s="150">
        <v>1</v>
      </c>
      <c r="T8" s="150">
        <v>98.53</v>
      </c>
      <c r="U8" s="150">
        <v>349.78100000000001</v>
      </c>
      <c r="W8" s="18" t="s">
        <v>37</v>
      </c>
      <c r="X8" s="166">
        <v>2.5000000000000001E-5</v>
      </c>
      <c r="Y8" s="166">
        <v>2.5763894107767599E-2</v>
      </c>
      <c r="Z8" s="166">
        <v>9.5282317462033108E-3</v>
      </c>
    </row>
    <row r="9" spans="1:26" ht="14.4">
      <c r="A9" s="18" t="s">
        <v>26</v>
      </c>
      <c r="B9" s="18">
        <v>13711</v>
      </c>
      <c r="C9" s="18" t="s">
        <v>46</v>
      </c>
      <c r="D9" s="18" t="s">
        <v>61</v>
      </c>
      <c r="E9" s="18" t="s">
        <v>62</v>
      </c>
      <c r="F9" s="18" t="s">
        <v>49</v>
      </c>
      <c r="G9" s="18" t="s">
        <v>31</v>
      </c>
      <c r="H9" s="18" t="s">
        <v>31</v>
      </c>
      <c r="I9" s="18" t="s">
        <v>32</v>
      </c>
      <c r="J9" s="18" t="s">
        <v>33</v>
      </c>
      <c r="K9" s="18" t="s">
        <v>34</v>
      </c>
      <c r="L9" s="4" t="s">
        <v>35</v>
      </c>
      <c r="M9" s="150">
        <v>0.42499999999999999</v>
      </c>
      <c r="N9" s="4" t="s">
        <v>63</v>
      </c>
      <c r="O9" s="161">
        <v>0</v>
      </c>
      <c r="P9" s="166">
        <v>4.3450000000000003E-2</v>
      </c>
      <c r="R9" s="150">
        <v>102000</v>
      </c>
      <c r="S9" s="150">
        <v>1</v>
      </c>
      <c r="T9" s="150">
        <v>98.21</v>
      </c>
      <c r="U9" s="150">
        <v>100.17400000000001</v>
      </c>
      <c r="W9" s="18" t="s">
        <v>37</v>
      </c>
      <c r="X9" s="166">
        <v>6.9999999999999999E-6</v>
      </c>
      <c r="Y9" s="166">
        <v>7.3785419787219704E-3</v>
      </c>
      <c r="Z9" s="166">
        <v>2.72879781403682E-3</v>
      </c>
    </row>
    <row r="10" spans="1:26" ht="14.4">
      <c r="A10" s="18" t="s">
        <v>26</v>
      </c>
      <c r="B10" s="18">
        <v>13711</v>
      </c>
      <c r="C10" s="18" t="s">
        <v>46</v>
      </c>
      <c r="D10" s="18" t="s">
        <v>64</v>
      </c>
      <c r="E10" s="18" t="s">
        <v>65</v>
      </c>
      <c r="F10" s="18" t="s">
        <v>49</v>
      </c>
      <c r="G10" s="18" t="s">
        <v>31</v>
      </c>
      <c r="H10" s="18" t="s">
        <v>31</v>
      </c>
      <c r="I10" s="18" t="s">
        <v>32</v>
      </c>
      <c r="J10" s="18" t="s">
        <v>33</v>
      </c>
      <c r="K10" s="18" t="s">
        <v>34</v>
      </c>
      <c r="L10" s="4" t="s">
        <v>35</v>
      </c>
      <c r="M10" s="150">
        <v>0.52100000000000002</v>
      </c>
      <c r="N10" s="4" t="s">
        <v>66</v>
      </c>
      <c r="O10" s="161">
        <v>0</v>
      </c>
      <c r="P10" s="166">
        <v>4.3459999999999999E-2</v>
      </c>
      <c r="R10" s="150">
        <v>78000</v>
      </c>
      <c r="S10" s="150">
        <v>1</v>
      </c>
      <c r="T10" s="150">
        <v>97.81</v>
      </c>
      <c r="U10" s="150">
        <v>76.292000000000002</v>
      </c>
      <c r="W10" s="18" t="s">
        <v>37</v>
      </c>
      <c r="X10" s="166">
        <v>6.0000000000000002E-6</v>
      </c>
      <c r="Y10" s="166">
        <v>5.6194334362766104E-3</v>
      </c>
      <c r="Z10" s="166">
        <v>2.0782286963003898E-3</v>
      </c>
    </row>
    <row r="11" spans="1:26" ht="14.4">
      <c r="A11" s="18" t="s">
        <v>26</v>
      </c>
      <c r="B11" s="18">
        <v>13711</v>
      </c>
      <c r="C11" s="18" t="s">
        <v>46</v>
      </c>
      <c r="D11" s="18" t="s">
        <v>67</v>
      </c>
      <c r="E11" s="18" t="s">
        <v>68</v>
      </c>
      <c r="F11" s="18" t="s">
        <v>49</v>
      </c>
      <c r="G11" s="18" t="s">
        <v>31</v>
      </c>
      <c r="H11" s="18" t="s">
        <v>31</v>
      </c>
      <c r="I11" s="18" t="s">
        <v>32</v>
      </c>
      <c r="J11" s="18" t="s">
        <v>33</v>
      </c>
      <c r="K11" s="18" t="s">
        <v>34</v>
      </c>
      <c r="L11" s="4" t="s">
        <v>35</v>
      </c>
      <c r="M11" s="150">
        <v>0.59699999999999998</v>
      </c>
      <c r="N11" s="4" t="s">
        <v>69</v>
      </c>
      <c r="O11" s="161">
        <v>0</v>
      </c>
      <c r="P11" s="166">
        <v>4.3479999999999998E-2</v>
      </c>
      <c r="R11" s="150">
        <v>123000</v>
      </c>
      <c r="S11" s="150">
        <v>1</v>
      </c>
      <c r="T11" s="150">
        <v>97.48</v>
      </c>
      <c r="U11" s="150">
        <v>119.9</v>
      </c>
      <c r="W11" s="18" t="s">
        <v>37</v>
      </c>
      <c r="X11" s="166">
        <v>1.0000000000000001E-5</v>
      </c>
      <c r="Y11" s="166">
        <v>8.8315168443127597E-3</v>
      </c>
      <c r="Z11" s="166">
        <v>3.2661498611632599E-3</v>
      </c>
    </row>
    <row r="12" spans="1:26" ht="14.4">
      <c r="A12" s="18" t="s">
        <v>26</v>
      </c>
      <c r="B12" s="18">
        <v>13711</v>
      </c>
      <c r="C12" s="18" t="s">
        <v>46</v>
      </c>
      <c r="D12" s="18" t="s">
        <v>70</v>
      </c>
      <c r="E12" s="18" t="s">
        <v>71</v>
      </c>
      <c r="F12" s="18" t="s">
        <v>49</v>
      </c>
      <c r="G12" s="18" t="s">
        <v>31</v>
      </c>
      <c r="H12" s="18" t="s">
        <v>31</v>
      </c>
      <c r="I12" s="18" t="s">
        <v>50</v>
      </c>
      <c r="J12" s="18" t="s">
        <v>33</v>
      </c>
      <c r="K12" s="18" t="s">
        <v>34</v>
      </c>
      <c r="L12" s="4" t="s">
        <v>35</v>
      </c>
      <c r="M12" s="150">
        <v>0.84699999999999998</v>
      </c>
      <c r="N12" s="4" t="s">
        <v>72</v>
      </c>
      <c r="O12" s="161">
        <v>0</v>
      </c>
      <c r="P12" s="166">
        <v>4.3240000000000001E-2</v>
      </c>
      <c r="R12" s="150">
        <v>398000</v>
      </c>
      <c r="S12" s="150">
        <v>1</v>
      </c>
      <c r="T12" s="150">
        <v>96.48</v>
      </c>
      <c r="U12" s="150">
        <v>383.99</v>
      </c>
      <c r="W12" s="18" t="s">
        <v>37</v>
      </c>
      <c r="X12" s="166">
        <v>2.8E-5</v>
      </c>
      <c r="Y12" s="166">
        <v>2.8283622787366802E-2</v>
      </c>
      <c r="Z12" s="166">
        <v>1.0460100146855399E-2</v>
      </c>
    </row>
    <row r="13" spans="1:26" ht="14.4">
      <c r="A13" s="18" t="s">
        <v>26</v>
      </c>
      <c r="B13" s="18">
        <v>13711</v>
      </c>
      <c r="C13" s="18" t="s">
        <v>46</v>
      </c>
      <c r="D13" s="18" t="s">
        <v>73</v>
      </c>
      <c r="E13" s="18" t="s">
        <v>74</v>
      </c>
      <c r="F13" s="18" t="s">
        <v>49</v>
      </c>
      <c r="G13" s="18" t="s">
        <v>31</v>
      </c>
      <c r="H13" s="18" t="s">
        <v>31</v>
      </c>
      <c r="I13" s="18" t="s">
        <v>50</v>
      </c>
      <c r="J13" s="18" t="s">
        <v>33</v>
      </c>
      <c r="K13" s="18" t="s">
        <v>34</v>
      </c>
      <c r="L13" s="4" t="s">
        <v>35</v>
      </c>
      <c r="M13" s="150">
        <v>0.92300000000000004</v>
      </c>
      <c r="N13" s="4" t="s">
        <v>75</v>
      </c>
      <c r="O13" s="161">
        <v>0</v>
      </c>
      <c r="P13" s="166">
        <v>4.2849999999999999E-2</v>
      </c>
      <c r="R13" s="150">
        <v>106000</v>
      </c>
      <c r="S13" s="150">
        <v>1</v>
      </c>
      <c r="T13" s="150">
        <v>96.17</v>
      </c>
      <c r="U13" s="150">
        <v>101.94</v>
      </c>
      <c r="W13" s="18" t="s">
        <v>37</v>
      </c>
      <c r="X13" s="166">
        <v>9.0000000000000002E-6</v>
      </c>
      <c r="Y13" s="166">
        <v>7.5086204333981504E-3</v>
      </c>
      <c r="Z13" s="166">
        <v>2.7769045814438902E-3</v>
      </c>
    </row>
    <row r="14" spans="1:26" ht="14.4">
      <c r="A14" s="18" t="s">
        <v>26</v>
      </c>
      <c r="B14" s="18">
        <v>13711</v>
      </c>
      <c r="C14" s="18" t="s">
        <v>46</v>
      </c>
      <c r="D14" s="18" t="s">
        <v>76</v>
      </c>
      <c r="E14" s="18" t="s">
        <v>77</v>
      </c>
      <c r="F14" s="18" t="s">
        <v>49</v>
      </c>
      <c r="G14" s="18" t="s">
        <v>31</v>
      </c>
      <c r="H14" s="18" t="s">
        <v>31</v>
      </c>
      <c r="I14" s="18" t="s">
        <v>32</v>
      </c>
      <c r="J14" s="18" t="s">
        <v>33</v>
      </c>
      <c r="K14" s="18" t="s">
        <v>34</v>
      </c>
      <c r="L14" s="4" t="s">
        <v>35</v>
      </c>
      <c r="M14" s="150">
        <v>3.0000000000000001E-3</v>
      </c>
      <c r="N14" s="4" t="s">
        <v>78</v>
      </c>
      <c r="O14" s="161">
        <v>0</v>
      </c>
      <c r="P14" s="166">
        <v>0.11574</v>
      </c>
      <c r="R14" s="150">
        <v>369000</v>
      </c>
      <c r="S14" s="150">
        <v>1</v>
      </c>
      <c r="T14" s="150">
        <v>99.97</v>
      </c>
      <c r="U14" s="150">
        <v>368.88900000000001</v>
      </c>
      <c r="W14" s="18" t="s">
        <v>37</v>
      </c>
      <c r="X14" s="166">
        <v>7.9999999999999996E-6</v>
      </c>
      <c r="Y14" s="166">
        <v>2.7171319417089002E-2</v>
      </c>
      <c r="Z14" s="166">
        <v>1.00487382525797E-2</v>
      </c>
    </row>
    <row r="15" spans="1:26" ht="14.4">
      <c r="A15" s="18" t="s">
        <v>26</v>
      </c>
      <c r="B15" s="18">
        <v>13711</v>
      </c>
      <c r="C15" s="18" t="s">
        <v>46</v>
      </c>
      <c r="D15" s="18" t="s">
        <v>79</v>
      </c>
      <c r="E15" s="18" t="s">
        <v>80</v>
      </c>
      <c r="F15" s="18" t="s">
        <v>49</v>
      </c>
      <c r="G15" s="18" t="s">
        <v>31</v>
      </c>
      <c r="H15" s="18" t="s">
        <v>31</v>
      </c>
      <c r="I15" s="18" t="s">
        <v>32</v>
      </c>
      <c r="J15" s="18" t="s">
        <v>33</v>
      </c>
      <c r="K15" s="18" t="s">
        <v>34</v>
      </c>
      <c r="L15" s="4" t="s">
        <v>35</v>
      </c>
      <c r="M15" s="150">
        <v>9.9000000000000005E-2</v>
      </c>
      <c r="N15" s="4" t="s">
        <v>81</v>
      </c>
      <c r="O15" s="161">
        <v>0</v>
      </c>
      <c r="P15" s="166">
        <v>4.36E-2</v>
      </c>
      <c r="R15" s="150">
        <v>830552</v>
      </c>
      <c r="S15" s="150">
        <v>1</v>
      </c>
      <c r="T15" s="150">
        <v>99.58</v>
      </c>
      <c r="U15" s="150">
        <v>827.06399999999996</v>
      </c>
      <c r="W15" s="18" t="s">
        <v>37</v>
      </c>
      <c r="X15" s="166">
        <v>1.9000000000000001E-5</v>
      </c>
      <c r="Y15" s="166">
        <v>6.0919119830874002E-2</v>
      </c>
      <c r="Z15" s="166">
        <v>2.25296490156081E-2</v>
      </c>
    </row>
    <row r="16" spans="1:26" ht="14.4">
      <c r="A16" s="18" t="s">
        <v>26</v>
      </c>
      <c r="B16" s="18">
        <v>13711</v>
      </c>
      <c r="C16" s="18" t="s">
        <v>46</v>
      </c>
      <c r="D16" s="18" t="s">
        <v>82</v>
      </c>
      <c r="E16" s="18" t="s">
        <v>83</v>
      </c>
      <c r="F16" s="18" t="s">
        <v>49</v>
      </c>
      <c r="G16" s="18" t="s">
        <v>31</v>
      </c>
      <c r="H16" s="18" t="s">
        <v>31</v>
      </c>
      <c r="I16" s="18" t="s">
        <v>32</v>
      </c>
      <c r="J16" s="18" t="s">
        <v>33</v>
      </c>
      <c r="K16" s="18" t="s">
        <v>34</v>
      </c>
      <c r="L16" s="4" t="s">
        <v>35</v>
      </c>
      <c r="M16" s="150">
        <v>0.17499999999999999</v>
      </c>
      <c r="N16" s="4" t="s">
        <v>84</v>
      </c>
      <c r="O16" s="161">
        <v>0</v>
      </c>
      <c r="P16" s="166">
        <v>4.3270000000000003E-2</v>
      </c>
      <c r="R16" s="150">
        <v>597000</v>
      </c>
      <c r="S16" s="150">
        <v>1</v>
      </c>
      <c r="T16" s="150">
        <v>99.26</v>
      </c>
      <c r="U16" s="150">
        <v>592.58199999999999</v>
      </c>
      <c r="W16" s="18" t="s">
        <v>37</v>
      </c>
      <c r="X16" s="166">
        <v>1.4E-5</v>
      </c>
      <c r="Y16" s="166">
        <v>4.3647891757991802E-2</v>
      </c>
      <c r="Z16" s="166">
        <v>1.6142250319913998E-2</v>
      </c>
    </row>
    <row r="17" spans="1:26" ht="14.4">
      <c r="A17" s="18" t="s">
        <v>26</v>
      </c>
      <c r="B17" s="18">
        <v>13711</v>
      </c>
      <c r="C17" s="18" t="s">
        <v>41</v>
      </c>
      <c r="D17" s="18" t="s">
        <v>85</v>
      </c>
      <c r="E17" s="18" t="s">
        <v>86</v>
      </c>
      <c r="F17" s="18" t="s">
        <v>44</v>
      </c>
      <c r="G17" s="18" t="s">
        <v>31</v>
      </c>
      <c r="H17" s="18" t="s">
        <v>31</v>
      </c>
      <c r="I17" s="18" t="s">
        <v>32</v>
      </c>
      <c r="J17" s="18" t="s">
        <v>33</v>
      </c>
      <c r="K17" s="18" t="s">
        <v>34</v>
      </c>
      <c r="L17" s="4" t="s">
        <v>35</v>
      </c>
      <c r="M17" s="150">
        <v>2.89</v>
      </c>
      <c r="N17" s="4" t="s">
        <v>87</v>
      </c>
      <c r="O17" s="161">
        <v>7.4999999999999997E-3</v>
      </c>
      <c r="P17" s="166">
        <v>1.7010000000000001E-2</v>
      </c>
      <c r="R17" s="150">
        <v>529000</v>
      </c>
      <c r="S17" s="150">
        <v>1</v>
      </c>
      <c r="T17" s="150">
        <v>111.66</v>
      </c>
      <c r="U17" s="150">
        <v>590.68100000000004</v>
      </c>
      <c r="W17" s="18" t="s">
        <v>37</v>
      </c>
      <c r="X17" s="166">
        <v>2.4000000000000001E-5</v>
      </c>
      <c r="Y17" s="166">
        <v>4.3507884325008503E-2</v>
      </c>
      <c r="Z17" s="166">
        <v>1.60904715297173E-2</v>
      </c>
    </row>
    <row r="18" spans="1:26" ht="14.4">
      <c r="A18" s="18" t="s">
        <v>26</v>
      </c>
      <c r="B18" s="18">
        <v>13711</v>
      </c>
      <c r="C18" s="18" t="s">
        <v>41</v>
      </c>
      <c r="D18" s="18" t="s">
        <v>88</v>
      </c>
      <c r="E18" s="18" t="s">
        <v>89</v>
      </c>
      <c r="F18" s="18" t="s">
        <v>44</v>
      </c>
      <c r="G18" s="18" t="s">
        <v>31</v>
      </c>
      <c r="H18" s="18" t="s">
        <v>31</v>
      </c>
      <c r="I18" s="18" t="s">
        <v>32</v>
      </c>
      <c r="J18" s="18" t="s">
        <v>33</v>
      </c>
      <c r="K18" s="18" t="s">
        <v>34</v>
      </c>
      <c r="L18" s="4" t="s">
        <v>35</v>
      </c>
      <c r="M18" s="150">
        <v>1.3240000000000001</v>
      </c>
      <c r="N18" s="4" t="s">
        <v>90</v>
      </c>
      <c r="O18" s="161">
        <v>7.4999999999999997E-3</v>
      </c>
      <c r="P18" s="166">
        <v>1.508E-2</v>
      </c>
      <c r="R18" s="150">
        <v>153000</v>
      </c>
      <c r="S18" s="150">
        <v>1</v>
      </c>
      <c r="T18" s="150">
        <v>113.49</v>
      </c>
      <c r="U18" s="150">
        <v>173.64</v>
      </c>
      <c r="W18" s="18" t="s">
        <v>37</v>
      </c>
      <c r="X18" s="166">
        <v>6.9999999999999999E-6</v>
      </c>
      <c r="Y18" s="166">
        <v>1.27897983275403E-2</v>
      </c>
      <c r="Z18" s="166">
        <v>4.7300366141182996E-3</v>
      </c>
    </row>
    <row r="19" spans="1:26" ht="14.4">
      <c r="A19" s="18" t="s">
        <v>26</v>
      </c>
      <c r="B19" s="18">
        <v>13711</v>
      </c>
      <c r="C19" s="18" t="s">
        <v>41</v>
      </c>
      <c r="D19" s="18" t="s">
        <v>91</v>
      </c>
      <c r="E19" s="18" t="s">
        <v>92</v>
      </c>
      <c r="F19" s="18" t="s">
        <v>44</v>
      </c>
      <c r="G19" s="18" t="s">
        <v>31</v>
      </c>
      <c r="H19" s="18" t="s">
        <v>31</v>
      </c>
      <c r="I19" s="18" t="s">
        <v>32</v>
      </c>
      <c r="J19" s="18" t="s">
        <v>33</v>
      </c>
      <c r="K19" s="18" t="s">
        <v>34</v>
      </c>
      <c r="L19" s="4" t="s">
        <v>35</v>
      </c>
      <c r="M19" s="150">
        <v>7.3849999999999998</v>
      </c>
      <c r="N19" s="4" t="s">
        <v>93</v>
      </c>
      <c r="O19" s="161">
        <v>1E-3</v>
      </c>
      <c r="P19" s="166">
        <v>2.213E-2</v>
      </c>
      <c r="R19" s="150">
        <v>369909</v>
      </c>
      <c r="S19" s="150">
        <v>1</v>
      </c>
      <c r="T19" s="150">
        <v>97.65</v>
      </c>
      <c r="U19" s="150">
        <v>361.21600000000001</v>
      </c>
      <c r="W19" s="18" t="s">
        <v>37</v>
      </c>
      <c r="X19" s="166">
        <v>1.2E-5</v>
      </c>
      <c r="Y19" s="166">
        <v>2.6606136523317399E-2</v>
      </c>
      <c r="Z19" s="166">
        <v>9.8397173037930094E-3</v>
      </c>
    </row>
    <row r="20" spans="1:26" ht="14.4">
      <c r="A20" s="4" t="s">
        <v>26</v>
      </c>
      <c r="B20" s="4">
        <v>13711</v>
      </c>
      <c r="C20" s="4" t="s">
        <v>94</v>
      </c>
      <c r="D20" s="4" t="s">
        <v>95</v>
      </c>
      <c r="E20" s="4" t="s">
        <v>96</v>
      </c>
      <c r="F20" s="18" t="s">
        <v>97</v>
      </c>
      <c r="G20" s="18" t="s">
        <v>31</v>
      </c>
      <c r="H20" s="18" t="s">
        <v>31</v>
      </c>
      <c r="I20" s="18" t="s">
        <v>32</v>
      </c>
      <c r="J20" s="4" t="s">
        <v>33</v>
      </c>
      <c r="K20" s="18" t="s">
        <v>34</v>
      </c>
      <c r="L20" s="4" t="s">
        <v>35</v>
      </c>
      <c r="M20" s="150">
        <v>4.0140000000000002</v>
      </c>
      <c r="N20" s="4" t="s">
        <v>98</v>
      </c>
      <c r="O20" s="161">
        <v>2.2499999999999999E-2</v>
      </c>
      <c r="P20" s="166">
        <v>4.6309999999999997E-2</v>
      </c>
      <c r="R20" s="150">
        <v>171458</v>
      </c>
      <c r="S20" s="150">
        <v>1</v>
      </c>
      <c r="T20" s="150">
        <v>92.73</v>
      </c>
      <c r="U20" s="150">
        <v>158.99299999999999</v>
      </c>
      <c r="W20" s="18" t="s">
        <v>37</v>
      </c>
      <c r="X20" s="166">
        <v>6.0000000000000002E-6</v>
      </c>
      <c r="Y20" s="166">
        <v>1.17109649980732E-2</v>
      </c>
      <c r="Z20" s="166">
        <v>4.3310529070865397E-3</v>
      </c>
    </row>
    <row r="21" spans="1:26">
      <c r="A21" s="4" t="s">
        <v>26</v>
      </c>
      <c r="B21" s="4">
        <v>13711</v>
      </c>
      <c r="C21" s="4" t="s">
        <v>94</v>
      </c>
      <c r="D21" s="4" t="s">
        <v>99</v>
      </c>
      <c r="E21" s="4" t="s">
        <v>100</v>
      </c>
      <c r="F21" s="4" t="s">
        <v>97</v>
      </c>
      <c r="G21" s="4" t="s">
        <v>31</v>
      </c>
      <c r="H21" s="4" t="s">
        <v>31</v>
      </c>
      <c r="I21" s="4" t="s">
        <v>32</v>
      </c>
      <c r="J21" s="4" t="s">
        <v>33</v>
      </c>
      <c r="K21" s="4" t="s">
        <v>34</v>
      </c>
      <c r="L21" s="18" t="s">
        <v>35</v>
      </c>
      <c r="M21" s="150">
        <v>3.0680000000000001</v>
      </c>
      <c r="N21" s="4" t="s">
        <v>101</v>
      </c>
      <c r="O21" s="165">
        <v>3.7499999999999999E-2</v>
      </c>
      <c r="P21" s="166">
        <v>4.5749999999999999E-2</v>
      </c>
      <c r="R21" s="150">
        <v>186000</v>
      </c>
      <c r="S21" s="150">
        <v>1</v>
      </c>
      <c r="T21" s="150">
        <v>99.11</v>
      </c>
      <c r="U21" s="150">
        <v>184.345</v>
      </c>
      <c r="W21" s="4" t="s">
        <v>37</v>
      </c>
      <c r="X21" s="166">
        <v>1.8E-5</v>
      </c>
      <c r="Y21" s="166">
        <v>1.35782903147788E-2</v>
      </c>
      <c r="Z21" s="166">
        <v>5.0216437117490496E-3</v>
      </c>
    </row>
    <row r="22" spans="1:26">
      <c r="A22" s="4" t="s">
        <v>26</v>
      </c>
      <c r="B22" s="4">
        <v>13711</v>
      </c>
      <c r="C22" s="4" t="s">
        <v>94</v>
      </c>
      <c r="D22" s="4" t="s">
        <v>102</v>
      </c>
      <c r="E22" s="4" t="s">
        <v>103</v>
      </c>
      <c r="F22" s="4" t="s">
        <v>97</v>
      </c>
      <c r="G22" s="4" t="s">
        <v>31</v>
      </c>
      <c r="H22" s="4" t="s">
        <v>31</v>
      </c>
      <c r="I22" s="4" t="s">
        <v>32</v>
      </c>
      <c r="J22" s="4" t="s">
        <v>33</v>
      </c>
      <c r="K22" s="4" t="s">
        <v>34</v>
      </c>
      <c r="L22" s="18" t="s">
        <v>35</v>
      </c>
      <c r="M22" s="150">
        <v>1.6519999999999999</v>
      </c>
      <c r="N22" s="4" t="s">
        <v>104</v>
      </c>
      <c r="O22" s="165">
        <v>5.0000000000000001E-3</v>
      </c>
      <c r="P22" s="166">
        <v>4.4010000000000001E-2</v>
      </c>
      <c r="R22" s="150">
        <v>320000</v>
      </c>
      <c r="S22" s="150">
        <v>1</v>
      </c>
      <c r="T22" s="150">
        <v>94.09</v>
      </c>
      <c r="U22" s="150">
        <v>301.08800000000002</v>
      </c>
      <c r="W22" s="4" t="s">
        <v>37</v>
      </c>
      <c r="X22" s="166">
        <v>1.2E-5</v>
      </c>
      <c r="Y22" s="166">
        <v>2.2177271665652799E-2</v>
      </c>
      <c r="Z22" s="166">
        <v>8.2017952350277607E-3</v>
      </c>
    </row>
    <row r="23" spans="1:26">
      <c r="A23" s="4" t="s">
        <v>26</v>
      </c>
      <c r="B23" s="4">
        <v>13711</v>
      </c>
      <c r="C23" s="4" t="s">
        <v>94</v>
      </c>
      <c r="D23" s="4" t="s">
        <v>105</v>
      </c>
      <c r="E23" s="4" t="s">
        <v>106</v>
      </c>
      <c r="F23" s="4" t="s">
        <v>97</v>
      </c>
      <c r="G23" s="4" t="s">
        <v>31</v>
      </c>
      <c r="H23" s="4" t="s">
        <v>31</v>
      </c>
      <c r="I23" s="4" t="s">
        <v>32</v>
      </c>
      <c r="J23" s="4" t="s">
        <v>33</v>
      </c>
      <c r="K23" s="4" t="s">
        <v>34</v>
      </c>
      <c r="L23" s="18" t="s">
        <v>35</v>
      </c>
      <c r="M23" s="150">
        <v>4.306</v>
      </c>
      <c r="N23" s="4" t="s">
        <v>107</v>
      </c>
      <c r="O23" s="165">
        <v>3.7499999999999999E-2</v>
      </c>
      <c r="P23" s="166">
        <v>4.6649999999999997E-2</v>
      </c>
      <c r="R23" s="150">
        <v>10000</v>
      </c>
      <c r="S23" s="150">
        <v>1</v>
      </c>
      <c r="T23" s="150">
        <v>97.49</v>
      </c>
      <c r="U23" s="150">
        <v>9.7490000000000006</v>
      </c>
      <c r="W23" s="4" t="s">
        <v>37</v>
      </c>
      <c r="X23" s="166">
        <v>0</v>
      </c>
      <c r="Y23" s="166">
        <v>7.1808315664672598E-4</v>
      </c>
      <c r="Z23" s="166">
        <v>2.6556787964411002E-4</v>
      </c>
    </row>
    <row r="24" spans="1:26">
      <c r="A24" s="4" t="s">
        <v>26</v>
      </c>
      <c r="B24" s="4">
        <v>13711</v>
      </c>
      <c r="C24" s="4" t="s">
        <v>94</v>
      </c>
      <c r="D24" s="4" t="s">
        <v>108</v>
      </c>
      <c r="E24" s="4" t="s">
        <v>109</v>
      </c>
      <c r="F24" s="4" t="s">
        <v>97</v>
      </c>
      <c r="G24" s="4" t="s">
        <v>31</v>
      </c>
      <c r="H24" s="4" t="s">
        <v>31</v>
      </c>
      <c r="I24" s="4" t="s">
        <v>32</v>
      </c>
      <c r="J24" s="4" t="s">
        <v>33</v>
      </c>
      <c r="K24" s="4" t="s">
        <v>34</v>
      </c>
      <c r="L24" s="18" t="s">
        <v>35</v>
      </c>
      <c r="M24" s="150">
        <v>2.6840000000000002</v>
      </c>
      <c r="N24" s="4" t="s">
        <v>110</v>
      </c>
      <c r="O24" s="165">
        <v>0.02</v>
      </c>
      <c r="P24" s="166">
        <v>4.487E-2</v>
      </c>
      <c r="R24" s="150">
        <v>324299</v>
      </c>
      <c r="S24" s="150">
        <v>1</v>
      </c>
      <c r="T24" s="150">
        <v>94.2</v>
      </c>
      <c r="U24" s="150">
        <v>305.49</v>
      </c>
      <c r="W24" s="4" t="s">
        <v>37</v>
      </c>
      <c r="X24" s="166">
        <v>1.2999999999999999E-5</v>
      </c>
      <c r="Y24" s="166">
        <v>2.25014850691936E-2</v>
      </c>
      <c r="Z24" s="166">
        <v>8.3216987104589406E-3</v>
      </c>
    </row>
    <row r="25" spans="1:26">
      <c r="A25" s="4" t="s">
        <v>26</v>
      </c>
      <c r="B25" s="4">
        <v>13711</v>
      </c>
      <c r="C25" s="4" t="s">
        <v>94</v>
      </c>
      <c r="D25" s="4" t="s">
        <v>111</v>
      </c>
      <c r="E25" s="4" t="s">
        <v>112</v>
      </c>
      <c r="F25" s="4" t="s">
        <v>97</v>
      </c>
      <c r="G25" s="4" t="s">
        <v>31</v>
      </c>
      <c r="H25" s="4" t="s">
        <v>31</v>
      </c>
      <c r="I25" s="4" t="s">
        <v>32</v>
      </c>
      <c r="J25" s="4" t="s">
        <v>33</v>
      </c>
      <c r="K25" s="4" t="s">
        <v>34</v>
      </c>
      <c r="L25" s="18" t="s">
        <v>35</v>
      </c>
      <c r="M25" s="150">
        <v>8.7520000000000007</v>
      </c>
      <c r="N25" s="4" t="s">
        <v>113</v>
      </c>
      <c r="O25" s="165">
        <v>0.04</v>
      </c>
      <c r="P25" s="166">
        <v>5.0720000000000001E-2</v>
      </c>
      <c r="R25" s="150">
        <v>40000</v>
      </c>
      <c r="S25" s="150">
        <v>1</v>
      </c>
      <c r="T25" s="150">
        <v>92.5</v>
      </c>
      <c r="U25" s="150">
        <v>37</v>
      </c>
      <c r="W25" s="4" t="s">
        <v>37</v>
      </c>
      <c r="X25" s="166">
        <v>3.9999999999999998E-6</v>
      </c>
      <c r="Y25" s="166">
        <v>2.72531303681699E-3</v>
      </c>
      <c r="Z25" s="166">
        <v>1.0078994303858899E-3</v>
      </c>
    </row>
    <row r="26" spans="1:26">
      <c r="A26" s="4" t="s">
        <v>26</v>
      </c>
      <c r="B26" s="4">
        <v>13711</v>
      </c>
      <c r="C26" s="4" t="s">
        <v>94</v>
      </c>
      <c r="D26" s="4" t="s">
        <v>114</v>
      </c>
      <c r="E26" s="4" t="s">
        <v>115</v>
      </c>
      <c r="F26" s="4" t="s">
        <v>97</v>
      </c>
      <c r="G26" s="4" t="s">
        <v>31</v>
      </c>
      <c r="H26" s="4" t="s">
        <v>31</v>
      </c>
      <c r="I26" s="4" t="s">
        <v>32</v>
      </c>
      <c r="J26" s="4" t="s">
        <v>33</v>
      </c>
      <c r="K26" s="4" t="s">
        <v>34</v>
      </c>
      <c r="L26" s="18" t="s">
        <v>35</v>
      </c>
      <c r="M26" s="150">
        <v>14.472</v>
      </c>
      <c r="N26" s="4" t="s">
        <v>116</v>
      </c>
      <c r="O26" s="165">
        <v>3.7499999999999999E-2</v>
      </c>
      <c r="P26" s="166">
        <v>5.4850000000000003E-2</v>
      </c>
      <c r="R26" s="150">
        <v>50000</v>
      </c>
      <c r="S26" s="150">
        <v>1</v>
      </c>
      <c r="T26" s="150">
        <v>78.790000000000006</v>
      </c>
      <c r="U26" s="150">
        <v>39.395000000000003</v>
      </c>
      <c r="W26" s="4" t="s">
        <v>37</v>
      </c>
      <c r="X26" s="166">
        <v>1.9999999999999999E-6</v>
      </c>
      <c r="Y26" s="166">
        <v>2.9017218131190698E-3</v>
      </c>
      <c r="Z26" s="166">
        <v>1.07314048810952E-3</v>
      </c>
    </row>
    <row r="27" spans="1:26">
      <c r="A27" s="4" t="s">
        <v>26</v>
      </c>
      <c r="B27" s="4">
        <v>13711</v>
      </c>
      <c r="C27" s="4" t="s">
        <v>94</v>
      </c>
      <c r="D27" s="4" t="s">
        <v>117</v>
      </c>
      <c r="E27" s="4" t="s">
        <v>118</v>
      </c>
      <c r="F27" s="4" t="s">
        <v>97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0">
        <v>1.147</v>
      </c>
      <c r="N27" s="4" t="s">
        <v>119</v>
      </c>
      <c r="O27" s="165">
        <v>1.7500000000000002E-2</v>
      </c>
      <c r="P27" s="166">
        <v>4.3049999999999998E-2</v>
      </c>
      <c r="R27" s="150">
        <v>356091</v>
      </c>
      <c r="S27" s="150">
        <v>1</v>
      </c>
      <c r="T27" s="150">
        <v>98.7</v>
      </c>
      <c r="U27" s="150">
        <v>351.46199999999999</v>
      </c>
      <c r="W27" s="4" t="s">
        <v>37</v>
      </c>
      <c r="X27" s="166">
        <v>1.5E-5</v>
      </c>
      <c r="Y27" s="166">
        <v>2.5887661400364598E-2</v>
      </c>
      <c r="Z27" s="166">
        <v>9.5740044636943404E-3</v>
      </c>
    </row>
    <row r="28" spans="1:26">
      <c r="A28" s="4" t="s">
        <v>26</v>
      </c>
      <c r="B28" s="4">
        <v>13711</v>
      </c>
      <c r="C28" s="4" t="s">
        <v>94</v>
      </c>
      <c r="D28" s="4" t="s">
        <v>120</v>
      </c>
      <c r="E28" s="4" t="s">
        <v>121</v>
      </c>
      <c r="F28" s="4" t="s">
        <v>97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0">
        <v>16.815999999999999</v>
      </c>
      <c r="N28" s="4" t="s">
        <v>122</v>
      </c>
      <c r="O28" s="165">
        <v>2.8000000000000001E-2</v>
      </c>
      <c r="P28" s="166">
        <v>5.57E-2</v>
      </c>
      <c r="R28" s="150">
        <v>94000</v>
      </c>
      <c r="S28" s="150">
        <v>1</v>
      </c>
      <c r="T28" s="150">
        <v>62.6</v>
      </c>
      <c r="U28" s="150">
        <v>58.844000000000001</v>
      </c>
      <c r="W28" s="4" t="s">
        <v>37</v>
      </c>
      <c r="X28" s="166">
        <v>6.0000000000000002E-6</v>
      </c>
      <c r="Y28" s="166">
        <v>4.3342789280664601E-3</v>
      </c>
      <c r="Z28" s="166">
        <v>1.6029414616655999E-3</v>
      </c>
    </row>
    <row r="29" spans="1:26">
      <c r="A29" s="4" t="s">
        <v>26</v>
      </c>
      <c r="B29" s="4">
        <v>13711</v>
      </c>
      <c r="C29" s="4" t="s">
        <v>94</v>
      </c>
      <c r="D29" s="4" t="s">
        <v>123</v>
      </c>
      <c r="E29" s="4" t="s">
        <v>124</v>
      </c>
      <c r="F29" s="4" t="s">
        <v>97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0">
        <v>11.5</v>
      </c>
      <c r="N29" s="4" t="s">
        <v>125</v>
      </c>
      <c r="O29" s="165">
        <v>5.5E-2</v>
      </c>
      <c r="P29" s="166">
        <v>5.3670000000000002E-2</v>
      </c>
      <c r="R29" s="150">
        <v>18000</v>
      </c>
      <c r="S29" s="150">
        <v>1</v>
      </c>
      <c r="T29" s="150">
        <v>104.09</v>
      </c>
      <c r="U29" s="150">
        <v>18.736000000000001</v>
      </c>
      <c r="W29" s="4" t="s">
        <v>37</v>
      </c>
      <c r="X29" s="166">
        <v>9.9999999999999995E-7</v>
      </c>
      <c r="Y29" s="166">
        <v>1.3800543275786601E-3</v>
      </c>
      <c r="Z29" s="166">
        <v>5.1038392723232802E-4</v>
      </c>
    </row>
    <row r="30" spans="1:26">
      <c r="A30" s="4" t="s">
        <v>26</v>
      </c>
      <c r="B30" s="4">
        <v>13711</v>
      </c>
      <c r="C30" s="4" t="s">
        <v>41</v>
      </c>
      <c r="D30" s="4" t="s">
        <v>126</v>
      </c>
      <c r="E30" s="4" t="s">
        <v>127</v>
      </c>
      <c r="F30" s="4" t="s">
        <v>44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0">
        <v>4.8630000000000004</v>
      </c>
      <c r="N30" s="4" t="s">
        <v>128</v>
      </c>
      <c r="O30" s="165">
        <v>5.0000000000000001E-3</v>
      </c>
      <c r="P30" s="166">
        <v>1.9820000000000001E-2</v>
      </c>
      <c r="R30" s="150">
        <v>394105</v>
      </c>
      <c r="S30" s="150">
        <v>1</v>
      </c>
      <c r="T30" s="150">
        <v>105.85</v>
      </c>
      <c r="U30" s="150">
        <v>417.16</v>
      </c>
      <c r="W30" s="4" t="s">
        <v>37</v>
      </c>
      <c r="X30" s="166">
        <v>1.5999999999999999E-5</v>
      </c>
      <c r="Y30" s="166">
        <v>3.0726810129613098E-2</v>
      </c>
      <c r="Z30" s="166">
        <v>1.13636613514986E-2</v>
      </c>
    </row>
    <row r="31" spans="1:26">
      <c r="A31" s="4" t="s">
        <v>26</v>
      </c>
      <c r="B31" s="4">
        <v>13711</v>
      </c>
      <c r="C31" s="4" t="s">
        <v>41</v>
      </c>
      <c r="D31" s="4" t="s">
        <v>129</v>
      </c>
      <c r="E31" s="4" t="s">
        <v>130</v>
      </c>
      <c r="F31" s="4" t="s">
        <v>44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0">
        <v>2.0760000000000001</v>
      </c>
      <c r="N31" s="4" t="s">
        <v>131</v>
      </c>
      <c r="O31" s="165">
        <v>1E-3</v>
      </c>
      <c r="P31" s="166">
        <v>1.618E-2</v>
      </c>
      <c r="R31" s="150">
        <v>984497</v>
      </c>
      <c r="S31" s="150">
        <v>1</v>
      </c>
      <c r="T31" s="150">
        <v>110.2</v>
      </c>
      <c r="U31" s="150">
        <v>1084.9159999999999</v>
      </c>
      <c r="W31" s="4" t="s">
        <v>37</v>
      </c>
      <c r="X31" s="166">
        <v>4.8999999999999998E-5</v>
      </c>
      <c r="Y31" s="166">
        <v>7.9911753640690697E-2</v>
      </c>
      <c r="Z31" s="166">
        <v>2.95536732432247E-2</v>
      </c>
    </row>
    <row r="32" spans="1:26">
      <c r="A32" s="4" t="s">
        <v>26</v>
      </c>
      <c r="B32" s="4">
        <v>13711</v>
      </c>
      <c r="C32" s="4" t="s">
        <v>41</v>
      </c>
      <c r="D32" s="4" t="s">
        <v>132</v>
      </c>
      <c r="E32" s="4" t="s">
        <v>133</v>
      </c>
      <c r="F32" s="4" t="s">
        <v>44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0">
        <v>4.2240000000000002</v>
      </c>
      <c r="N32" s="4" t="s">
        <v>134</v>
      </c>
      <c r="O32" s="165">
        <v>1.0999999999999999E-2</v>
      </c>
      <c r="P32" s="166">
        <v>1.9290000000000002E-2</v>
      </c>
      <c r="R32" s="150">
        <v>433000</v>
      </c>
      <c r="S32" s="150">
        <v>1</v>
      </c>
      <c r="T32" s="150">
        <v>99.98</v>
      </c>
      <c r="U32" s="150">
        <v>432.91300000000001</v>
      </c>
      <c r="W32" s="4" t="s">
        <v>37</v>
      </c>
      <c r="X32" s="166">
        <v>2.8E-5</v>
      </c>
      <c r="Y32" s="166">
        <v>3.1887149536020801E-2</v>
      </c>
      <c r="Z32" s="166">
        <v>1.17927883585519E-2</v>
      </c>
    </row>
    <row r="33" spans="1:26">
      <c r="A33" s="4" t="s">
        <v>26</v>
      </c>
      <c r="B33" s="4">
        <v>13711</v>
      </c>
      <c r="C33" s="4" t="s">
        <v>41</v>
      </c>
      <c r="D33" s="4" t="s">
        <v>135</v>
      </c>
      <c r="E33" s="4" t="s">
        <v>136</v>
      </c>
      <c r="F33" s="4" t="s">
        <v>44</v>
      </c>
      <c r="G33" s="4" t="s">
        <v>31</v>
      </c>
      <c r="H33" s="4" t="s">
        <v>31</v>
      </c>
      <c r="I33" s="4" t="s">
        <v>50</v>
      </c>
      <c r="J33" s="4" t="s">
        <v>33</v>
      </c>
      <c r="K33" s="4" t="s">
        <v>34</v>
      </c>
      <c r="L33" s="4" t="s">
        <v>35</v>
      </c>
      <c r="M33" s="150">
        <v>8.6769999999999996</v>
      </c>
      <c r="N33" s="4" t="s">
        <v>137</v>
      </c>
      <c r="O33" s="165">
        <v>1.6E-2</v>
      </c>
      <c r="P33" s="166">
        <v>2.307E-2</v>
      </c>
      <c r="R33" s="150">
        <v>20000</v>
      </c>
      <c r="S33" s="150">
        <v>1</v>
      </c>
      <c r="T33" s="150">
        <v>96.6</v>
      </c>
      <c r="U33" s="150">
        <v>19.32</v>
      </c>
      <c r="W33" s="4" t="s">
        <v>37</v>
      </c>
      <c r="X33" s="166">
        <v>3.0000000000000001E-6</v>
      </c>
      <c r="Y33" s="166">
        <v>1.42305534787309E-3</v>
      </c>
      <c r="Z33" s="166">
        <v>5.2628694581230895E-4</v>
      </c>
    </row>
    <row r="34" spans="1:26">
      <c r="A34" s="4" t="s">
        <v>26</v>
      </c>
      <c r="B34" s="4">
        <v>13711</v>
      </c>
      <c r="C34" s="4" t="s">
        <v>27</v>
      </c>
      <c r="D34" s="4" t="s">
        <v>138</v>
      </c>
      <c r="E34" s="4" t="s">
        <v>139</v>
      </c>
      <c r="F34" s="4" t="s">
        <v>30</v>
      </c>
      <c r="G34" s="4" t="s">
        <v>31</v>
      </c>
      <c r="H34" s="4" t="s">
        <v>31</v>
      </c>
      <c r="I34" s="4" t="s">
        <v>50</v>
      </c>
      <c r="J34" s="4" t="s">
        <v>33</v>
      </c>
      <c r="K34" s="4" t="s">
        <v>34</v>
      </c>
      <c r="L34" s="4" t="s">
        <v>35</v>
      </c>
      <c r="M34" s="150">
        <v>0.66</v>
      </c>
      <c r="N34" s="4" t="s">
        <v>140</v>
      </c>
      <c r="O34" s="165">
        <v>0</v>
      </c>
      <c r="P34" s="166">
        <v>4.428E-2</v>
      </c>
      <c r="R34" s="150">
        <v>1174000</v>
      </c>
      <c r="S34" s="150">
        <v>1</v>
      </c>
      <c r="T34" s="150">
        <v>97.14</v>
      </c>
      <c r="U34" s="150">
        <v>1140.424</v>
      </c>
      <c r="W34" s="4" t="s">
        <v>37</v>
      </c>
      <c r="X34" s="166">
        <v>1.46E-4</v>
      </c>
      <c r="Y34" s="166">
        <v>8.4000305529020797E-2</v>
      </c>
      <c r="Z34" s="166">
        <v>3.1065737752395298E-2</v>
      </c>
    </row>
    <row r="35" spans="1:26">
      <c r="A35" s="4" t="s">
        <v>26</v>
      </c>
      <c r="B35" s="4">
        <v>13711</v>
      </c>
      <c r="C35" s="4" t="s">
        <v>94</v>
      </c>
      <c r="D35" s="4" t="s">
        <v>141</v>
      </c>
      <c r="E35" s="4" t="s">
        <v>142</v>
      </c>
      <c r="F35" s="4" t="s">
        <v>97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0">
        <v>0.82699999999999996</v>
      </c>
      <c r="N35" s="4" t="s">
        <v>143</v>
      </c>
      <c r="O35" s="165">
        <v>5.0000000000000001E-3</v>
      </c>
      <c r="P35" s="166">
        <v>3.8719999999999997E-2</v>
      </c>
      <c r="R35" s="150">
        <v>96000</v>
      </c>
      <c r="S35" s="150">
        <v>1</v>
      </c>
      <c r="T35" s="150">
        <v>97.25</v>
      </c>
      <c r="U35" s="150">
        <v>93.36</v>
      </c>
      <c r="W35" s="4" t="s">
        <v>37</v>
      </c>
      <c r="X35" s="166">
        <v>3.9999999999999998E-6</v>
      </c>
      <c r="Y35" s="166">
        <v>6.8766277058711998E-3</v>
      </c>
      <c r="Z35" s="166">
        <v>2.54317542758991E-3</v>
      </c>
    </row>
    <row r="36" spans="1:26">
      <c r="A36" s="4" t="s">
        <v>26</v>
      </c>
      <c r="B36" s="4">
        <v>13711</v>
      </c>
      <c r="C36" s="4" t="s">
        <v>94</v>
      </c>
      <c r="D36" s="4" t="s">
        <v>144</v>
      </c>
      <c r="E36" s="4" t="s">
        <v>145</v>
      </c>
      <c r="F36" s="4" t="s">
        <v>97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0">
        <v>11.494</v>
      </c>
      <c r="N36" s="4" t="s">
        <v>146</v>
      </c>
      <c r="O36" s="165">
        <v>1.4999999999999999E-2</v>
      </c>
      <c r="P36" s="166">
        <v>5.2260000000000001E-2</v>
      </c>
      <c r="R36" s="150">
        <v>887527</v>
      </c>
      <c r="S36" s="150">
        <v>1</v>
      </c>
      <c r="T36" s="150">
        <v>65.83</v>
      </c>
      <c r="U36" s="150">
        <v>584.25900000000001</v>
      </c>
      <c r="W36" s="4" t="s">
        <v>37</v>
      </c>
      <c r="X36" s="166">
        <v>2.8E-5</v>
      </c>
      <c r="Y36" s="166">
        <v>4.30348306826406E-2</v>
      </c>
      <c r="Z36" s="166">
        <v>1.5915522637519101E-2</v>
      </c>
    </row>
    <row r="37" spans="1:26">
      <c r="A37" s="4" t="s">
        <v>26</v>
      </c>
      <c r="B37" s="4">
        <v>13711</v>
      </c>
      <c r="C37" s="4" t="s">
        <v>94</v>
      </c>
      <c r="D37" s="4" t="s">
        <v>147</v>
      </c>
      <c r="E37" s="4" t="s">
        <v>148</v>
      </c>
      <c r="F37" s="4" t="s">
        <v>97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0">
        <v>5.5810000000000004</v>
      </c>
      <c r="N37" s="4" t="s">
        <v>149</v>
      </c>
      <c r="O37" s="165">
        <v>0.01</v>
      </c>
      <c r="P37" s="166">
        <v>4.777E-2</v>
      </c>
      <c r="R37" s="150">
        <v>218352</v>
      </c>
      <c r="S37" s="150">
        <v>1</v>
      </c>
      <c r="T37" s="150">
        <v>81.73</v>
      </c>
      <c r="U37" s="150">
        <v>178.459</v>
      </c>
      <c r="W37" s="4" t="s">
        <v>37</v>
      </c>
      <c r="X37" s="166">
        <v>6.0000000000000002E-6</v>
      </c>
      <c r="Y37" s="166">
        <v>1.31447806331182E-2</v>
      </c>
      <c r="Z37" s="166">
        <v>4.8613193177033699E-3</v>
      </c>
    </row>
    <row r="38" spans="1:26">
      <c r="A38" s="4" t="s">
        <v>26</v>
      </c>
      <c r="B38" s="4">
        <v>13711</v>
      </c>
      <c r="C38" s="4" t="s">
        <v>46</v>
      </c>
      <c r="D38" s="4" t="s">
        <v>61</v>
      </c>
      <c r="E38" s="4" t="s">
        <v>62</v>
      </c>
      <c r="F38" s="4" t="s">
        <v>49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0">
        <v>0.42499999999999999</v>
      </c>
      <c r="N38" s="4" t="s">
        <v>63</v>
      </c>
      <c r="O38" s="165">
        <v>0</v>
      </c>
      <c r="P38" s="166">
        <v>4.3450000000000003E-2</v>
      </c>
      <c r="R38" s="150">
        <v>100000</v>
      </c>
      <c r="S38" s="150">
        <v>1</v>
      </c>
      <c r="T38" s="150">
        <v>98.21</v>
      </c>
      <c r="U38" s="150">
        <v>98.21</v>
      </c>
      <c r="W38" s="4" t="s">
        <v>37</v>
      </c>
      <c r="X38" s="166">
        <v>6.9999999999999999E-6</v>
      </c>
      <c r="Y38" s="166">
        <v>7.2338646850215399E-3</v>
      </c>
      <c r="Z38" s="166">
        <v>2.6752919745458999E-3</v>
      </c>
    </row>
    <row r="39" spans="1:26">
      <c r="A39" s="4" t="s">
        <v>26</v>
      </c>
      <c r="B39" s="4">
        <v>13711</v>
      </c>
      <c r="C39" s="4" t="s">
        <v>46</v>
      </c>
      <c r="D39" s="4" t="s">
        <v>76</v>
      </c>
      <c r="E39" s="4" t="s">
        <v>77</v>
      </c>
      <c r="F39" s="4" t="s">
        <v>49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0">
        <v>3.0000000000000001E-3</v>
      </c>
      <c r="N39" s="4" t="s">
        <v>78</v>
      </c>
      <c r="O39" s="165">
        <v>0</v>
      </c>
      <c r="P39" s="166">
        <v>0.11574</v>
      </c>
      <c r="R39" s="150">
        <v>5000</v>
      </c>
      <c r="S39" s="150">
        <v>1</v>
      </c>
      <c r="T39" s="150">
        <v>99.97</v>
      </c>
      <c r="U39" s="150">
        <v>4.9980000000000002</v>
      </c>
      <c r="W39" s="4" t="s">
        <v>37</v>
      </c>
      <c r="X39" s="166">
        <v>0</v>
      </c>
      <c r="Y39" s="166">
        <v>3.6817505985215502E-4</v>
      </c>
      <c r="Z39" s="166">
        <v>1.36161764940105E-4</v>
      </c>
    </row>
    <row r="40" spans="1:26">
      <c r="A40" s="4" t="s">
        <v>26</v>
      </c>
      <c r="B40" s="4">
        <v>13711</v>
      </c>
      <c r="C40" s="4" t="s">
        <v>46</v>
      </c>
      <c r="D40" s="4" t="s">
        <v>82</v>
      </c>
      <c r="E40" s="4" t="s">
        <v>83</v>
      </c>
      <c r="F40" s="4" t="s">
        <v>49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0">
        <v>0.17499999999999999</v>
      </c>
      <c r="N40" s="4" t="s">
        <v>84</v>
      </c>
      <c r="O40" s="165">
        <v>0</v>
      </c>
      <c r="P40" s="166">
        <v>4.3270000000000003E-2</v>
      </c>
      <c r="R40" s="150">
        <v>20000</v>
      </c>
      <c r="S40" s="150">
        <v>1</v>
      </c>
      <c r="T40" s="150">
        <v>99.26</v>
      </c>
      <c r="U40" s="150">
        <v>19.852</v>
      </c>
      <c r="W40" s="4" t="s">
        <v>37</v>
      </c>
      <c r="X40" s="166">
        <v>0</v>
      </c>
      <c r="Y40" s="166">
        <v>1.46224092991597E-3</v>
      </c>
      <c r="Z40" s="166">
        <v>5.4077890518974901E-4</v>
      </c>
    </row>
    <row r="41" spans="1:26">
      <c r="A41" s="4" t="s">
        <v>26</v>
      </c>
      <c r="B41" s="4">
        <v>13711</v>
      </c>
      <c r="C41" s="4" t="s">
        <v>150</v>
      </c>
      <c r="D41" s="4" t="s">
        <v>151</v>
      </c>
      <c r="E41" s="4" t="s">
        <v>152</v>
      </c>
      <c r="F41" s="4" t="s">
        <v>153</v>
      </c>
      <c r="G41" s="4" t="s">
        <v>154</v>
      </c>
      <c r="H41" s="4" t="s">
        <v>155</v>
      </c>
      <c r="I41" s="4" t="s">
        <v>156</v>
      </c>
      <c r="J41" s="4" t="s">
        <v>157</v>
      </c>
      <c r="K41" s="4" t="s">
        <v>158</v>
      </c>
      <c r="L41" s="4" t="s">
        <v>159</v>
      </c>
      <c r="M41" s="150">
        <v>0</v>
      </c>
      <c r="N41" s="4" t="s">
        <v>160</v>
      </c>
      <c r="O41" s="165">
        <v>0</v>
      </c>
      <c r="P41" s="166">
        <v>0</v>
      </c>
      <c r="R41" s="150">
        <v>15000</v>
      </c>
      <c r="S41" s="150">
        <v>3.7589999999999999</v>
      </c>
      <c r="T41" s="150">
        <v>97.775000000000006</v>
      </c>
      <c r="U41" s="150">
        <v>55.13</v>
      </c>
      <c r="W41" s="4" t="s">
        <v>37</v>
      </c>
      <c r="X41" s="166">
        <v>0</v>
      </c>
      <c r="Y41" s="166">
        <v>4.0607400673161997E-3</v>
      </c>
      <c r="Z41" s="166">
        <v>1.5017788949387399E-3</v>
      </c>
    </row>
    <row r="42" spans="1:26">
      <c r="A42" s="4" t="s">
        <v>26</v>
      </c>
      <c r="B42" s="4">
        <v>13711</v>
      </c>
      <c r="C42" s="4" t="s">
        <v>150</v>
      </c>
      <c r="D42" s="4" t="s">
        <v>161</v>
      </c>
      <c r="E42" s="4" t="s">
        <v>162</v>
      </c>
      <c r="F42" s="4" t="s">
        <v>153</v>
      </c>
      <c r="G42" s="4" t="s">
        <v>154</v>
      </c>
      <c r="H42" s="4" t="s">
        <v>155</v>
      </c>
      <c r="I42" s="4" t="s">
        <v>163</v>
      </c>
      <c r="J42" s="4" t="s">
        <v>157</v>
      </c>
      <c r="K42" s="4" t="s">
        <v>158</v>
      </c>
      <c r="L42" s="4" t="s">
        <v>159</v>
      </c>
      <c r="M42" s="150">
        <v>0</v>
      </c>
      <c r="N42" s="4" t="s">
        <v>164</v>
      </c>
      <c r="O42" s="165">
        <v>0</v>
      </c>
      <c r="P42" s="166">
        <v>0</v>
      </c>
      <c r="R42" s="150">
        <v>20000</v>
      </c>
      <c r="S42" s="150">
        <v>3.7589999999999999</v>
      </c>
      <c r="T42" s="150">
        <v>97.585999999999999</v>
      </c>
      <c r="U42" s="150">
        <v>73.364999999999995</v>
      </c>
      <c r="W42" s="4" t="s">
        <v>37</v>
      </c>
      <c r="X42" s="166">
        <v>0</v>
      </c>
      <c r="Y42" s="166">
        <v>5.4038541363910404E-3</v>
      </c>
      <c r="Z42" s="166">
        <v>1.99850124825228E-3</v>
      </c>
    </row>
    <row r="43" spans="1:26">
      <c r="A43" s="4" t="s">
        <v>26</v>
      </c>
      <c r="B43" s="4">
        <v>13711</v>
      </c>
      <c r="C43" s="4" t="s">
        <v>165</v>
      </c>
      <c r="D43" s="4" t="s">
        <v>166</v>
      </c>
      <c r="E43" s="4" t="s">
        <v>167</v>
      </c>
      <c r="F43" s="4" t="s">
        <v>153</v>
      </c>
      <c r="G43" s="4" t="s">
        <v>154</v>
      </c>
      <c r="H43" s="4" t="s">
        <v>31</v>
      </c>
      <c r="I43" s="4" t="s">
        <v>163</v>
      </c>
      <c r="J43" s="4" t="s">
        <v>168</v>
      </c>
      <c r="K43" s="4" t="s">
        <v>158</v>
      </c>
      <c r="L43" s="4" t="s">
        <v>169</v>
      </c>
      <c r="M43" s="150">
        <v>0</v>
      </c>
      <c r="N43" s="4" t="s">
        <v>170</v>
      </c>
      <c r="O43" s="165">
        <v>0.05</v>
      </c>
      <c r="P43" s="166">
        <v>0</v>
      </c>
      <c r="R43" s="150">
        <v>5000</v>
      </c>
      <c r="S43" s="150">
        <v>4.0199999999999996</v>
      </c>
      <c r="T43" s="150">
        <v>104.837</v>
      </c>
      <c r="U43" s="150">
        <v>21.073</v>
      </c>
      <c r="W43" s="4" t="s">
        <v>37</v>
      </c>
      <c r="X43" s="166">
        <v>0</v>
      </c>
      <c r="Y43" s="166">
        <v>1.5521906762664399E-3</v>
      </c>
      <c r="Z43" s="166">
        <v>5.74044917895534E-4</v>
      </c>
    </row>
    <row r="44" spans="1:26">
      <c r="A44" s="4" t="s">
        <v>26</v>
      </c>
      <c r="B44" s="4">
        <v>13711</v>
      </c>
      <c r="C44" s="4" t="s">
        <v>171</v>
      </c>
      <c r="D44" s="4" t="s">
        <v>172</v>
      </c>
      <c r="E44" s="4" t="s">
        <v>173</v>
      </c>
      <c r="F44" s="4" t="s">
        <v>153</v>
      </c>
      <c r="G44" s="4" t="s">
        <v>154</v>
      </c>
      <c r="H44" s="4" t="s">
        <v>31</v>
      </c>
      <c r="I44" s="4" t="s">
        <v>156</v>
      </c>
      <c r="J44" s="4" t="s">
        <v>168</v>
      </c>
      <c r="K44" s="4" t="s">
        <v>158</v>
      </c>
      <c r="L44" s="4" t="s">
        <v>159</v>
      </c>
      <c r="M44" s="150">
        <v>0</v>
      </c>
      <c r="N44" s="4" t="s">
        <v>175</v>
      </c>
      <c r="O44" s="165">
        <v>5.3749999999999999E-2</v>
      </c>
      <c r="P44" s="166">
        <v>0</v>
      </c>
      <c r="R44" s="150">
        <v>10000</v>
      </c>
      <c r="S44" s="150">
        <v>3.7589999999999999</v>
      </c>
      <c r="T44" s="150">
        <v>99.781000000000006</v>
      </c>
      <c r="U44" s="150">
        <v>37.506999999999998</v>
      </c>
      <c r="W44" s="4" t="s">
        <v>37</v>
      </c>
      <c r="X44" s="166">
        <v>5.0000000000000004E-6</v>
      </c>
      <c r="Y44" s="166">
        <v>2.7626932794329001E-3</v>
      </c>
      <c r="Z44" s="166">
        <v>1.0217237231299899E-3</v>
      </c>
    </row>
    <row r="45" spans="1:26">
      <c r="A45" s="4" t="s">
        <v>26</v>
      </c>
      <c r="B45" s="4">
        <v>13711</v>
      </c>
      <c r="C45" s="4" t="s">
        <v>171</v>
      </c>
      <c r="D45" s="4" t="s">
        <v>176</v>
      </c>
      <c r="E45" s="4" t="s">
        <v>177</v>
      </c>
      <c r="F45" s="4" t="s">
        <v>153</v>
      </c>
      <c r="G45" s="4" t="s">
        <v>154</v>
      </c>
      <c r="H45" s="4" t="s">
        <v>31</v>
      </c>
      <c r="I45" s="4" t="s">
        <v>163</v>
      </c>
      <c r="J45" s="4" t="s">
        <v>168</v>
      </c>
      <c r="K45" s="4" t="s">
        <v>158</v>
      </c>
      <c r="L45" s="4" t="s">
        <v>159</v>
      </c>
      <c r="M45" s="150">
        <v>7.49</v>
      </c>
      <c r="N45" s="4" t="s">
        <v>178</v>
      </c>
      <c r="O45" s="165">
        <v>5.5E-2</v>
      </c>
      <c r="P45" s="166">
        <v>5.8720000000000001E-2</v>
      </c>
      <c r="R45" s="150">
        <v>16000</v>
      </c>
      <c r="S45" s="150">
        <v>3.7589999999999999</v>
      </c>
      <c r="T45" s="150">
        <v>97.03</v>
      </c>
      <c r="U45" s="150">
        <v>58.357999999999997</v>
      </c>
      <c r="W45" s="4" t="s">
        <v>37</v>
      </c>
      <c r="X45" s="166">
        <v>5.0000000000000004E-6</v>
      </c>
      <c r="Y45" s="166">
        <v>4.2984611847545302E-3</v>
      </c>
      <c r="Z45" s="166">
        <v>1.5896950262675E-3</v>
      </c>
    </row>
    <row r="46" spans="1:26">
      <c r="A46" s="4" t="s">
        <v>26</v>
      </c>
      <c r="B46" s="4">
        <v>13711</v>
      </c>
      <c r="C46" s="4" t="s">
        <v>171</v>
      </c>
      <c r="D46" s="4" t="s">
        <v>179</v>
      </c>
      <c r="E46" s="4" t="s">
        <v>180</v>
      </c>
      <c r="F46" s="4" t="s">
        <v>153</v>
      </c>
      <c r="G46" s="4" t="s">
        <v>154</v>
      </c>
      <c r="H46" s="4" t="s">
        <v>31</v>
      </c>
      <c r="I46" s="4" t="s">
        <v>163</v>
      </c>
      <c r="J46" s="4" t="s">
        <v>168</v>
      </c>
      <c r="K46" s="4" t="s">
        <v>158</v>
      </c>
      <c r="L46" s="4" t="s">
        <v>159</v>
      </c>
      <c r="M46" s="150">
        <v>0</v>
      </c>
      <c r="N46" s="4" t="s">
        <v>181</v>
      </c>
      <c r="O46" s="165">
        <v>5.7500000000000002E-2</v>
      </c>
      <c r="P46" s="166">
        <v>0</v>
      </c>
      <c r="R46" s="150">
        <v>15000</v>
      </c>
      <c r="S46" s="150">
        <v>3.7589999999999999</v>
      </c>
      <c r="T46" s="150">
        <v>91.872</v>
      </c>
      <c r="U46" s="150">
        <v>51.802</v>
      </c>
      <c r="W46" s="4" t="s">
        <v>37</v>
      </c>
      <c r="X46" s="166">
        <v>5.0000000000000004E-6</v>
      </c>
      <c r="Y46" s="166">
        <v>3.8155875692353599E-3</v>
      </c>
      <c r="Z46" s="166">
        <v>1.4111144245328199E-3</v>
      </c>
    </row>
    <row r="47" spans="1:26">
      <c r="A47" s="4" t="s">
        <v>26</v>
      </c>
      <c r="B47" s="4">
        <v>13711</v>
      </c>
      <c r="C47" s="4" t="s">
        <v>171</v>
      </c>
      <c r="D47" s="4" t="s">
        <v>182</v>
      </c>
      <c r="E47" s="4" t="s">
        <v>183</v>
      </c>
      <c r="F47" s="4" t="s">
        <v>153</v>
      </c>
      <c r="G47" s="4" t="s">
        <v>154</v>
      </c>
      <c r="H47" s="4" t="s">
        <v>31</v>
      </c>
      <c r="I47" s="4" t="s">
        <v>163</v>
      </c>
      <c r="J47" s="4" t="s">
        <v>168</v>
      </c>
      <c r="K47" s="4" t="s">
        <v>158</v>
      </c>
      <c r="L47" s="4" t="s">
        <v>169</v>
      </c>
      <c r="M47" s="150">
        <v>0</v>
      </c>
      <c r="N47" s="4" t="s">
        <v>184</v>
      </c>
      <c r="O47" s="165">
        <v>1.4999999999999999E-2</v>
      </c>
      <c r="P47" s="166">
        <v>0</v>
      </c>
      <c r="R47" s="150">
        <v>20000</v>
      </c>
      <c r="S47" s="150">
        <v>4.0199999999999996</v>
      </c>
      <c r="T47" s="150">
        <v>93.265000000000001</v>
      </c>
      <c r="U47" s="150">
        <v>74.989000000000004</v>
      </c>
      <c r="W47" s="4" t="s">
        <v>37</v>
      </c>
      <c r="X47" s="166">
        <v>6.9999999999999999E-6</v>
      </c>
      <c r="Y47" s="166">
        <v>5.5234652889856904E-3</v>
      </c>
      <c r="Z47" s="166">
        <v>2.04273690519859E-3</v>
      </c>
    </row>
    <row r="48" spans="1:26">
      <c r="A48" s="4" t="s">
        <v>26</v>
      </c>
      <c r="B48" s="4">
        <v>13711</v>
      </c>
      <c r="C48" s="4" t="s">
        <v>185</v>
      </c>
      <c r="D48" s="4" t="s">
        <v>186</v>
      </c>
      <c r="E48" s="4" t="s">
        <v>187</v>
      </c>
      <c r="F48" s="4" t="s">
        <v>153</v>
      </c>
      <c r="G48" s="4" t="s">
        <v>154</v>
      </c>
      <c r="H48" s="4" t="s">
        <v>155</v>
      </c>
      <c r="I48" s="4" t="s">
        <v>163</v>
      </c>
      <c r="J48" s="4" t="s">
        <v>157</v>
      </c>
      <c r="K48" s="4" t="s">
        <v>158</v>
      </c>
      <c r="L48" s="4" t="s">
        <v>159</v>
      </c>
      <c r="M48" s="150">
        <v>13.79</v>
      </c>
      <c r="N48" s="4" t="s">
        <v>188</v>
      </c>
      <c r="O48" s="165">
        <v>1.125E-2</v>
      </c>
      <c r="P48" s="166">
        <v>4.761E-2</v>
      </c>
      <c r="R48" s="150">
        <v>100000</v>
      </c>
      <c r="S48" s="150">
        <v>3.7589999999999999</v>
      </c>
      <c r="T48" s="150">
        <v>61.451000000000001</v>
      </c>
      <c r="U48" s="150">
        <v>230.994</v>
      </c>
      <c r="W48" s="4" t="s">
        <v>37</v>
      </c>
      <c r="X48" s="166">
        <v>1.9999999999999999E-6</v>
      </c>
      <c r="Y48" s="166">
        <v>1.7014323099286199E-2</v>
      </c>
      <c r="Z48" s="166">
        <v>6.2923878205935601E-3</v>
      </c>
    </row>
    <row r="49" spans="1:26">
      <c r="A49" s="4" t="s">
        <v>26</v>
      </c>
      <c r="B49" s="4">
        <v>13711</v>
      </c>
      <c r="C49" s="4" t="s">
        <v>185</v>
      </c>
      <c r="D49" s="4" t="s">
        <v>189</v>
      </c>
      <c r="E49" s="4" t="s">
        <v>190</v>
      </c>
      <c r="F49" s="4" t="s">
        <v>153</v>
      </c>
      <c r="G49" s="4" t="s">
        <v>154</v>
      </c>
      <c r="H49" s="4" t="s">
        <v>155</v>
      </c>
      <c r="I49" s="4" t="s">
        <v>163</v>
      </c>
      <c r="J49" s="4" t="s">
        <v>157</v>
      </c>
      <c r="K49" s="4" t="s">
        <v>158</v>
      </c>
      <c r="L49" s="4" t="s">
        <v>159</v>
      </c>
      <c r="M49" s="150">
        <v>13.91</v>
      </c>
      <c r="N49" s="4" t="s">
        <v>191</v>
      </c>
      <c r="O49" s="165">
        <v>1.125E-2</v>
      </c>
      <c r="P49" s="166">
        <v>4.777E-2</v>
      </c>
      <c r="R49" s="150">
        <v>33000</v>
      </c>
      <c r="S49" s="150">
        <v>3.7589999999999999</v>
      </c>
      <c r="T49" s="150">
        <v>61.134</v>
      </c>
      <c r="U49" s="150">
        <v>75.834999999999994</v>
      </c>
      <c r="W49" s="4" t="s">
        <v>37</v>
      </c>
      <c r="X49" s="166">
        <v>0</v>
      </c>
      <c r="Y49" s="166">
        <v>5.5857524058554502E-3</v>
      </c>
      <c r="Z49" s="166">
        <v>2.0657724790080299E-3</v>
      </c>
    </row>
    <row r="50" spans="1:26">
      <c r="A50" s="4" t="s">
        <v>26</v>
      </c>
      <c r="B50" s="4">
        <v>13711</v>
      </c>
      <c r="C50" s="4" t="s">
        <v>185</v>
      </c>
      <c r="D50" s="4" t="s">
        <v>192</v>
      </c>
      <c r="E50" s="4" t="s">
        <v>193</v>
      </c>
      <c r="F50" s="4" t="s">
        <v>153</v>
      </c>
      <c r="G50" s="4" t="s">
        <v>154</v>
      </c>
      <c r="H50" s="4" t="s">
        <v>155</v>
      </c>
      <c r="I50" s="4" t="s">
        <v>163</v>
      </c>
      <c r="J50" s="4" t="s">
        <v>157</v>
      </c>
      <c r="K50" s="4" t="s">
        <v>158</v>
      </c>
      <c r="L50" s="4" t="s">
        <v>159</v>
      </c>
      <c r="M50" s="150">
        <v>6.28</v>
      </c>
      <c r="N50" s="4" t="s">
        <v>194</v>
      </c>
      <c r="O50" s="165">
        <v>1.125E-2</v>
      </c>
      <c r="P50" s="166">
        <v>4.5710000000000001E-2</v>
      </c>
      <c r="R50" s="150">
        <v>25000</v>
      </c>
      <c r="S50" s="150">
        <v>3.7589999999999999</v>
      </c>
      <c r="T50" s="150">
        <v>82.048000000000002</v>
      </c>
      <c r="U50" s="150">
        <v>77.103999999999999</v>
      </c>
      <c r="W50" s="4" t="s">
        <v>37</v>
      </c>
      <c r="X50" s="166">
        <v>0</v>
      </c>
      <c r="Y50" s="166">
        <v>5.6792865480054201E-3</v>
      </c>
      <c r="Z50" s="166">
        <v>2.1003641047482699E-3</v>
      </c>
    </row>
    <row r="51" spans="1:26">
      <c r="A51" s="4" t="s">
        <v>26</v>
      </c>
      <c r="B51" s="4">
        <v>13711</v>
      </c>
      <c r="C51" s="4" t="s">
        <v>185</v>
      </c>
      <c r="D51" s="4" t="s">
        <v>195</v>
      </c>
      <c r="E51" s="4" t="s">
        <v>196</v>
      </c>
      <c r="F51" s="4" t="s">
        <v>153</v>
      </c>
      <c r="G51" s="4" t="s">
        <v>154</v>
      </c>
      <c r="H51" s="4" t="s">
        <v>155</v>
      </c>
      <c r="I51" s="4" t="s">
        <v>163</v>
      </c>
      <c r="J51" s="4" t="s">
        <v>157</v>
      </c>
      <c r="K51" s="4" t="s">
        <v>158</v>
      </c>
      <c r="L51" s="4" t="s">
        <v>159</v>
      </c>
      <c r="M51" s="150">
        <v>0.41</v>
      </c>
      <c r="N51" s="4" t="s">
        <v>197</v>
      </c>
      <c r="O51" s="165">
        <v>1.4999999999999999E-2</v>
      </c>
      <c r="P51" s="166">
        <v>5.3100000000000001E-2</v>
      </c>
      <c r="R51" s="150">
        <v>10000</v>
      </c>
      <c r="S51" s="150">
        <v>3.7589999999999999</v>
      </c>
      <c r="T51" s="150">
        <v>98.971999999999994</v>
      </c>
      <c r="U51" s="150">
        <v>37.204000000000001</v>
      </c>
      <c r="W51" s="4" t="s">
        <v>37</v>
      </c>
      <c r="X51" s="166">
        <v>0</v>
      </c>
      <c r="Y51" s="166">
        <v>2.7403205597920301E-3</v>
      </c>
      <c r="Z51" s="166">
        <v>1.0134496455918901E-3</v>
      </c>
    </row>
    <row r="52" spans="1:26">
      <c r="A52" s="4" t="s">
        <v>26</v>
      </c>
      <c r="B52" s="4">
        <v>13711</v>
      </c>
      <c r="C52" s="4" t="s">
        <v>185</v>
      </c>
      <c r="D52" s="4" t="s">
        <v>198</v>
      </c>
      <c r="E52" s="4" t="s">
        <v>199</v>
      </c>
      <c r="F52" s="4" t="s">
        <v>153</v>
      </c>
      <c r="G52" s="4" t="s">
        <v>154</v>
      </c>
      <c r="H52" s="4" t="s">
        <v>155</v>
      </c>
      <c r="I52" s="4" t="s">
        <v>163</v>
      </c>
      <c r="J52" s="4" t="s">
        <v>157</v>
      </c>
      <c r="K52" s="4" t="s">
        <v>158</v>
      </c>
      <c r="L52" s="4" t="s">
        <v>159</v>
      </c>
      <c r="M52" s="150">
        <v>6.41</v>
      </c>
      <c r="N52" s="4" t="s">
        <v>200</v>
      </c>
      <c r="O52" s="165">
        <v>1.6250000000000001E-2</v>
      </c>
      <c r="P52" s="166">
        <v>4.598E-2</v>
      </c>
      <c r="R52" s="150">
        <v>6000</v>
      </c>
      <c r="S52" s="150">
        <v>3.7589999999999999</v>
      </c>
      <c r="T52" s="150">
        <v>83.989000000000004</v>
      </c>
      <c r="U52" s="150">
        <v>18.943000000000001</v>
      </c>
      <c r="W52" s="4" t="s">
        <v>37</v>
      </c>
      <c r="X52" s="166">
        <v>0</v>
      </c>
      <c r="Y52" s="166">
        <v>1.3952753008198899E-3</v>
      </c>
      <c r="Z52" s="166">
        <v>5.1601308250825398E-4</v>
      </c>
    </row>
    <row r="53" spans="1:26">
      <c r="A53" s="4" t="s">
        <v>26</v>
      </c>
      <c r="B53" s="4">
        <v>13711</v>
      </c>
      <c r="C53" s="4" t="s">
        <v>185</v>
      </c>
      <c r="D53" s="4" t="s">
        <v>201</v>
      </c>
      <c r="E53" s="4" t="s">
        <v>202</v>
      </c>
      <c r="F53" s="4" t="s">
        <v>153</v>
      </c>
      <c r="G53" s="4" t="s">
        <v>154</v>
      </c>
      <c r="H53" s="4" t="s">
        <v>155</v>
      </c>
      <c r="I53" s="4" t="s">
        <v>163</v>
      </c>
      <c r="J53" s="4" t="s">
        <v>157</v>
      </c>
      <c r="K53" s="4" t="s">
        <v>158</v>
      </c>
      <c r="L53" s="4" t="s">
        <v>159</v>
      </c>
      <c r="M53" s="150">
        <v>13.72</v>
      </c>
      <c r="N53" s="4" t="s">
        <v>203</v>
      </c>
      <c r="O53" s="165">
        <v>0.02</v>
      </c>
      <c r="P53" s="166">
        <v>4.8329999999999998E-2</v>
      </c>
      <c r="R53" s="150">
        <v>35000</v>
      </c>
      <c r="S53" s="150">
        <v>3.7589999999999999</v>
      </c>
      <c r="T53" s="150">
        <v>68.769000000000005</v>
      </c>
      <c r="U53" s="150">
        <v>90.475999999999999</v>
      </c>
      <c r="W53" s="4" t="s">
        <v>37</v>
      </c>
      <c r="X53" s="166">
        <v>0</v>
      </c>
      <c r="Y53" s="166">
        <v>6.6642289189549698E-3</v>
      </c>
      <c r="Z53" s="166">
        <v>2.4646242250471202E-3</v>
      </c>
    </row>
    <row r="54" spans="1:26">
      <c r="A54" s="4" t="s">
        <v>26</v>
      </c>
      <c r="B54" s="4">
        <v>13711</v>
      </c>
      <c r="C54" s="4" t="s">
        <v>185</v>
      </c>
      <c r="D54" s="4" t="s">
        <v>204</v>
      </c>
      <c r="E54" s="4" t="s">
        <v>205</v>
      </c>
      <c r="F54" s="4" t="s">
        <v>153</v>
      </c>
      <c r="G54" s="4" t="s">
        <v>154</v>
      </c>
      <c r="H54" s="4" t="s">
        <v>155</v>
      </c>
      <c r="I54" s="4" t="s">
        <v>163</v>
      </c>
      <c r="J54" s="4" t="s">
        <v>157</v>
      </c>
      <c r="K54" s="4" t="s">
        <v>158</v>
      </c>
      <c r="L54" s="4" t="s">
        <v>159</v>
      </c>
      <c r="M54" s="150">
        <v>0.33</v>
      </c>
      <c r="N54" s="4" t="s">
        <v>206</v>
      </c>
      <c r="O54" s="165">
        <v>2.1250000000000002E-2</v>
      </c>
      <c r="P54" s="166">
        <v>5.314E-2</v>
      </c>
      <c r="R54" s="150">
        <v>5000</v>
      </c>
      <c r="S54" s="150">
        <v>3.7589999999999999</v>
      </c>
      <c r="T54" s="150">
        <v>99.724000000000004</v>
      </c>
      <c r="U54" s="150">
        <v>18.742999999999999</v>
      </c>
      <c r="W54" s="4" t="s">
        <v>37</v>
      </c>
      <c r="X54" s="166">
        <v>0</v>
      </c>
      <c r="Y54" s="166">
        <v>1.38056044726733E-3</v>
      </c>
      <c r="Z54" s="166">
        <v>5.1057110490293804E-4</v>
      </c>
    </row>
    <row r="55" spans="1:26">
      <c r="A55" s="4" t="s">
        <v>26</v>
      </c>
      <c r="B55" s="4">
        <v>13711</v>
      </c>
      <c r="C55" s="4" t="s">
        <v>185</v>
      </c>
      <c r="D55" s="4" t="s">
        <v>207</v>
      </c>
      <c r="E55" s="4" t="s">
        <v>208</v>
      </c>
      <c r="F55" s="4" t="s">
        <v>153</v>
      </c>
      <c r="G55" s="4" t="s">
        <v>154</v>
      </c>
      <c r="H55" s="4" t="s">
        <v>155</v>
      </c>
      <c r="I55" s="4" t="s">
        <v>163</v>
      </c>
      <c r="J55" s="4" t="s">
        <v>157</v>
      </c>
      <c r="K55" s="4" t="s">
        <v>158</v>
      </c>
      <c r="L55" s="4" t="s">
        <v>159</v>
      </c>
      <c r="M55" s="150">
        <v>0.49</v>
      </c>
      <c r="N55" s="4" t="s">
        <v>209</v>
      </c>
      <c r="O55" s="165">
        <v>2.1250000000000002E-2</v>
      </c>
      <c r="P55" s="166">
        <v>5.3620000000000001E-2</v>
      </c>
      <c r="R55" s="150">
        <v>5000</v>
      </c>
      <c r="S55" s="150">
        <v>3.7589999999999999</v>
      </c>
      <c r="T55" s="150">
        <v>98.905000000000001</v>
      </c>
      <c r="U55" s="150">
        <v>18.588999999999999</v>
      </c>
      <c r="W55" s="4" t="s">
        <v>37</v>
      </c>
      <c r="X55" s="166">
        <v>1.6899999999999999E-4</v>
      </c>
      <c r="Y55" s="166">
        <v>1.3692215004919E-3</v>
      </c>
      <c r="Z55" s="166">
        <v>5.0637763507332804E-4</v>
      </c>
    </row>
    <row r="56" spans="1:26">
      <c r="A56" s="4" t="s">
        <v>26</v>
      </c>
      <c r="B56" s="4">
        <v>13711</v>
      </c>
      <c r="C56" s="4" t="s">
        <v>185</v>
      </c>
      <c r="D56" s="4" t="s">
        <v>210</v>
      </c>
      <c r="E56" s="4" t="s">
        <v>211</v>
      </c>
      <c r="F56" s="4" t="s">
        <v>153</v>
      </c>
      <c r="G56" s="4" t="s">
        <v>154</v>
      </c>
      <c r="H56" s="4" t="s">
        <v>155</v>
      </c>
      <c r="I56" s="4" t="s">
        <v>163</v>
      </c>
      <c r="J56" s="4" t="s">
        <v>157</v>
      </c>
      <c r="K56" s="4" t="s">
        <v>158</v>
      </c>
      <c r="L56" s="4" t="s">
        <v>159</v>
      </c>
      <c r="M56" s="150">
        <v>13.37</v>
      </c>
      <c r="N56" s="4" t="s">
        <v>212</v>
      </c>
      <c r="O56" s="165">
        <v>2.375E-2</v>
      </c>
      <c r="P56" s="166">
        <v>4.8349999999999997E-2</v>
      </c>
      <c r="R56" s="150">
        <v>14000</v>
      </c>
      <c r="S56" s="150">
        <v>3.7589999999999999</v>
      </c>
      <c r="T56" s="150">
        <v>73.477999999999994</v>
      </c>
      <c r="U56" s="150">
        <v>38.667999999999999</v>
      </c>
      <c r="W56" s="4" t="s">
        <v>37</v>
      </c>
      <c r="X56" s="166">
        <v>0</v>
      </c>
      <c r="Y56" s="166">
        <v>2.84819618676144E-3</v>
      </c>
      <c r="Z56" s="166">
        <v>1.0533451664022199E-3</v>
      </c>
    </row>
    <row r="57" spans="1:26">
      <c r="A57" s="4" t="s">
        <v>26</v>
      </c>
      <c r="B57" s="4">
        <v>13711</v>
      </c>
      <c r="C57" s="4" t="s">
        <v>213</v>
      </c>
      <c r="D57" s="4" t="s">
        <v>214</v>
      </c>
      <c r="E57" s="4" t="s">
        <v>215</v>
      </c>
      <c r="F57" s="4" t="s">
        <v>153</v>
      </c>
      <c r="G57" s="4" t="s">
        <v>154</v>
      </c>
      <c r="H57" s="4" t="s">
        <v>155</v>
      </c>
      <c r="I57" s="4" t="s">
        <v>163</v>
      </c>
      <c r="J57" s="4" t="s">
        <v>157</v>
      </c>
      <c r="K57" s="4" t="s">
        <v>158</v>
      </c>
      <c r="L57" s="4" t="s">
        <v>159</v>
      </c>
      <c r="M57" s="150">
        <v>15.14</v>
      </c>
      <c r="N57" s="4" t="s">
        <v>216</v>
      </c>
      <c r="O57" s="165">
        <v>2.5000000000000001E-2</v>
      </c>
      <c r="P57" s="166">
        <v>4.8439999999999997E-2</v>
      </c>
      <c r="R57" s="150">
        <v>15000</v>
      </c>
      <c r="S57" s="150">
        <v>3.7589999999999999</v>
      </c>
      <c r="T57" s="150">
        <v>71.188000000000002</v>
      </c>
      <c r="U57" s="150">
        <v>40.139000000000003</v>
      </c>
      <c r="W57" s="4" t="s">
        <v>37</v>
      </c>
      <c r="X57" s="166">
        <v>0</v>
      </c>
      <c r="Y57" s="166">
        <v>2.9565388499777998E-3</v>
      </c>
      <c r="Z57" s="166">
        <v>1.0934134106982199E-3</v>
      </c>
    </row>
    <row r="58" spans="1:26">
      <c r="A58" s="4" t="s">
        <v>26</v>
      </c>
      <c r="B58" s="4">
        <v>13711</v>
      </c>
      <c r="C58" s="4" t="s">
        <v>185</v>
      </c>
      <c r="D58" s="4" t="s">
        <v>217</v>
      </c>
      <c r="E58" s="4" t="s">
        <v>218</v>
      </c>
      <c r="F58" s="4" t="s">
        <v>153</v>
      </c>
      <c r="G58" s="4" t="s">
        <v>154</v>
      </c>
      <c r="H58" s="4" t="s">
        <v>155</v>
      </c>
      <c r="I58" s="4" t="s">
        <v>163</v>
      </c>
      <c r="J58" s="4" t="s">
        <v>157</v>
      </c>
      <c r="K58" s="4" t="s">
        <v>158</v>
      </c>
      <c r="L58" s="4" t="s">
        <v>159</v>
      </c>
      <c r="M58" s="150">
        <v>4.54</v>
      </c>
      <c r="N58" s="4" t="s">
        <v>219</v>
      </c>
      <c r="O58" s="165">
        <v>3.2500000000000001E-2</v>
      </c>
      <c r="P58" s="166">
        <v>4.6359999999999998E-2</v>
      </c>
      <c r="Q58" s="150">
        <v>8.1000000000000003E-2</v>
      </c>
      <c r="R58" s="150">
        <v>5000</v>
      </c>
      <c r="S58" s="150">
        <v>3.7589999999999999</v>
      </c>
      <c r="T58" s="150">
        <v>94.882999999999996</v>
      </c>
      <c r="U58" s="150">
        <v>18.138999999999999</v>
      </c>
      <c r="W58" s="4" t="s">
        <v>37</v>
      </c>
      <c r="X58" s="166">
        <v>0</v>
      </c>
      <c r="Y58" s="166">
        <v>1.33603999829519E-3</v>
      </c>
      <c r="Z58" s="166">
        <v>4.9410615773784201E-4</v>
      </c>
    </row>
    <row r="59" spans="1:26">
      <c r="A59" s="4" t="s">
        <v>26</v>
      </c>
      <c r="B59" s="4">
        <v>13711</v>
      </c>
      <c r="C59" s="4" t="s">
        <v>185</v>
      </c>
      <c r="D59" s="4" t="s">
        <v>220</v>
      </c>
      <c r="E59" s="4" t="s">
        <v>221</v>
      </c>
      <c r="F59" s="4" t="s">
        <v>153</v>
      </c>
      <c r="G59" s="4" t="s">
        <v>154</v>
      </c>
      <c r="H59" s="4" t="s">
        <v>155</v>
      </c>
      <c r="I59" s="4" t="s">
        <v>163</v>
      </c>
      <c r="J59" s="4" t="s">
        <v>157</v>
      </c>
      <c r="K59" s="4" t="s">
        <v>158</v>
      </c>
      <c r="L59" s="4" t="s">
        <v>159</v>
      </c>
      <c r="M59" s="150">
        <v>13.65</v>
      </c>
      <c r="N59" s="4" t="s">
        <v>222</v>
      </c>
      <c r="O59" s="165">
        <v>3.3750000000000002E-2</v>
      </c>
      <c r="P59" s="166">
        <v>4.8439999999999997E-2</v>
      </c>
      <c r="R59" s="150">
        <v>12000</v>
      </c>
      <c r="S59" s="150">
        <v>3.7589999999999999</v>
      </c>
      <c r="T59" s="150">
        <v>83.524000000000001</v>
      </c>
      <c r="U59" s="150">
        <v>37.676000000000002</v>
      </c>
      <c r="W59" s="4" t="s">
        <v>37</v>
      </c>
      <c r="X59" s="166">
        <v>2.8600000000000001E-4</v>
      </c>
      <c r="Y59" s="166">
        <v>2.77511694751769E-3</v>
      </c>
      <c r="Z59" s="166">
        <v>1.0263183542115601E-3</v>
      </c>
    </row>
    <row r="60" spans="1:26">
      <c r="A60" s="4" t="s">
        <v>26</v>
      </c>
      <c r="B60" s="4">
        <v>13711</v>
      </c>
      <c r="C60" s="4" t="s">
        <v>185</v>
      </c>
      <c r="D60" s="4" t="s">
        <v>223</v>
      </c>
      <c r="E60" s="4" t="s">
        <v>224</v>
      </c>
      <c r="F60" s="4" t="s">
        <v>153</v>
      </c>
      <c r="G60" s="4" t="s">
        <v>154</v>
      </c>
      <c r="H60" s="4" t="s">
        <v>155</v>
      </c>
      <c r="I60" s="4" t="s">
        <v>163</v>
      </c>
      <c r="J60" s="4" t="s">
        <v>157</v>
      </c>
      <c r="K60" s="4" t="s">
        <v>158</v>
      </c>
      <c r="L60" s="4" t="s">
        <v>159</v>
      </c>
      <c r="M60" s="150">
        <v>10.99</v>
      </c>
      <c r="N60" s="4" t="s">
        <v>225</v>
      </c>
      <c r="O60" s="165">
        <v>3.5000000000000003E-2</v>
      </c>
      <c r="P60" s="166">
        <v>4.6379999999999998E-2</v>
      </c>
      <c r="R60" s="150">
        <v>12000</v>
      </c>
      <c r="S60" s="150">
        <v>3.7589999999999999</v>
      </c>
      <c r="T60" s="150">
        <v>91.01</v>
      </c>
      <c r="U60" s="150">
        <v>41.052999999999997</v>
      </c>
      <c r="W60" s="4" t="s">
        <v>37</v>
      </c>
      <c r="X60" s="166">
        <v>4.6299999999999998E-4</v>
      </c>
      <c r="Y60" s="166">
        <v>3.0238210308785401E-3</v>
      </c>
      <c r="Z60" s="166">
        <v>1.1182963033747201E-3</v>
      </c>
    </row>
    <row r="61" spans="1:26">
      <c r="A61" s="4" t="s">
        <v>26</v>
      </c>
      <c r="B61" s="4">
        <v>13711</v>
      </c>
      <c r="C61" s="4" t="s">
        <v>185</v>
      </c>
      <c r="D61" s="4" t="s">
        <v>226</v>
      </c>
      <c r="E61" s="4" t="s">
        <v>227</v>
      </c>
      <c r="F61" s="4" t="s">
        <v>153</v>
      </c>
      <c r="G61" s="4" t="s">
        <v>154</v>
      </c>
      <c r="H61" s="4" t="s">
        <v>155</v>
      </c>
      <c r="I61" s="4" t="s">
        <v>163</v>
      </c>
      <c r="J61" s="4" t="s">
        <v>157</v>
      </c>
      <c r="K61" s="4" t="s">
        <v>158</v>
      </c>
      <c r="L61" s="4" t="s">
        <v>159</v>
      </c>
      <c r="M61" s="150">
        <v>13.21</v>
      </c>
      <c r="N61" s="4" t="s">
        <v>228</v>
      </c>
      <c r="O61" s="165">
        <v>3.6249999999999998E-2</v>
      </c>
      <c r="P61" s="166">
        <v>4.8460000000000003E-2</v>
      </c>
      <c r="R61" s="150">
        <v>5000</v>
      </c>
      <c r="S61" s="150">
        <v>3.7589999999999999</v>
      </c>
      <c r="T61" s="150">
        <v>87.751000000000005</v>
      </c>
      <c r="U61" s="150">
        <v>16.492999999999999</v>
      </c>
      <c r="W61" s="4" t="s">
        <v>37</v>
      </c>
      <c r="X61" s="166">
        <v>0</v>
      </c>
      <c r="Y61" s="166">
        <v>1.2148140787403799E-3</v>
      </c>
      <c r="Z61" s="166">
        <v>4.4927331335751E-4</v>
      </c>
    </row>
    <row r="62" spans="1:26">
      <c r="A62" s="4" t="s">
        <v>26</v>
      </c>
      <c r="B62" s="4">
        <v>13711</v>
      </c>
      <c r="C62" s="4" t="s">
        <v>150</v>
      </c>
      <c r="D62" s="4" t="s">
        <v>229</v>
      </c>
      <c r="E62" s="4" t="s">
        <v>230</v>
      </c>
      <c r="F62" s="4" t="s">
        <v>153</v>
      </c>
      <c r="G62" s="4" t="s">
        <v>154</v>
      </c>
      <c r="H62" s="4" t="s">
        <v>155</v>
      </c>
      <c r="I62" s="4" t="s">
        <v>163</v>
      </c>
      <c r="J62" s="4" t="s">
        <v>157</v>
      </c>
      <c r="K62" s="4" t="s">
        <v>158</v>
      </c>
      <c r="L62" s="4" t="s">
        <v>159</v>
      </c>
      <c r="M62" s="150">
        <v>0.78500000000000003</v>
      </c>
      <c r="N62" s="4" t="s">
        <v>231</v>
      </c>
      <c r="O62" s="165">
        <v>0</v>
      </c>
      <c r="P62" s="166">
        <v>5.2290000000000003E-2</v>
      </c>
      <c r="R62" s="150">
        <v>20000</v>
      </c>
      <c r="S62" s="150">
        <v>3.7589999999999999</v>
      </c>
      <c r="T62" s="150">
        <v>96.399000000000001</v>
      </c>
      <c r="U62" s="150">
        <v>72.471999999999994</v>
      </c>
      <c r="W62" s="4" t="s">
        <v>37</v>
      </c>
      <c r="X62" s="166">
        <v>0</v>
      </c>
      <c r="Y62" s="166">
        <v>5.3381124441497204E-3</v>
      </c>
      <c r="Z62" s="166">
        <v>1.9741880727500599E-3</v>
      </c>
    </row>
    <row r="63" spans="1:26">
      <c r="A63" s="4" t="s">
        <v>26</v>
      </c>
      <c r="B63" s="4">
        <v>13711</v>
      </c>
      <c r="C63" s="4" t="s">
        <v>185</v>
      </c>
      <c r="D63" s="4" t="s">
        <v>232</v>
      </c>
      <c r="E63" s="4" t="s">
        <v>233</v>
      </c>
      <c r="F63" s="4" t="s">
        <v>153</v>
      </c>
      <c r="G63" s="4" t="s">
        <v>154</v>
      </c>
      <c r="H63" s="4" t="s">
        <v>155</v>
      </c>
      <c r="I63" s="4" t="s">
        <v>163</v>
      </c>
      <c r="J63" s="4" t="s">
        <v>157</v>
      </c>
      <c r="K63" s="4" t="s">
        <v>158</v>
      </c>
      <c r="L63" s="4" t="s">
        <v>159</v>
      </c>
      <c r="M63" s="150">
        <v>0.45</v>
      </c>
      <c r="N63" s="4" t="s">
        <v>234</v>
      </c>
      <c r="O63" s="165">
        <v>0</v>
      </c>
      <c r="P63" s="166">
        <v>5.3769999999999998E-2</v>
      </c>
      <c r="R63" s="150">
        <v>20000</v>
      </c>
      <c r="S63" s="150">
        <v>3.7589999999999999</v>
      </c>
      <c r="T63" s="150">
        <v>98.069000000000003</v>
      </c>
      <c r="U63" s="150">
        <v>73.727999999999994</v>
      </c>
      <c r="W63" s="4" t="s">
        <v>37</v>
      </c>
      <c r="X63" s="166">
        <v>0</v>
      </c>
      <c r="Y63" s="166">
        <v>5.4306004616543196E-3</v>
      </c>
      <c r="Z63" s="166">
        <v>2.00839281139882E-3</v>
      </c>
    </row>
    <row r="64" spans="1:26">
      <c r="A64" s="4" t="s">
        <v>26</v>
      </c>
      <c r="B64" s="4">
        <v>13711</v>
      </c>
      <c r="C64" s="4" t="s">
        <v>150</v>
      </c>
      <c r="D64" s="4" t="s">
        <v>235</v>
      </c>
      <c r="E64" s="4" t="s">
        <v>236</v>
      </c>
      <c r="F64" s="4" t="s">
        <v>153</v>
      </c>
      <c r="G64" s="4" t="s">
        <v>154</v>
      </c>
      <c r="H64" s="4" t="s">
        <v>155</v>
      </c>
      <c r="I64" s="4" t="s">
        <v>163</v>
      </c>
      <c r="J64" s="4" t="s">
        <v>157</v>
      </c>
      <c r="K64" s="4" t="s">
        <v>158</v>
      </c>
      <c r="L64" s="4" t="s">
        <v>159</v>
      </c>
      <c r="M64" s="150">
        <v>0.21</v>
      </c>
      <c r="N64" s="4" t="s">
        <v>237</v>
      </c>
      <c r="O64" s="165">
        <v>0</v>
      </c>
      <c r="P64" s="166">
        <v>5.3929999999999999E-2</v>
      </c>
      <c r="R64" s="150">
        <v>10000</v>
      </c>
      <c r="S64" s="150">
        <v>3.7589999999999999</v>
      </c>
      <c r="T64" s="150">
        <v>99.358999999999995</v>
      </c>
      <c r="U64" s="150">
        <v>37.348999999999997</v>
      </c>
      <c r="W64" s="4" t="s">
        <v>37</v>
      </c>
      <c r="X64" s="166">
        <v>0</v>
      </c>
      <c r="Y64" s="166">
        <v>2.7510201420302099E-3</v>
      </c>
      <c r="Z64" s="166">
        <v>1.01740665995961E-3</v>
      </c>
    </row>
    <row r="65" spans="1:26">
      <c r="A65" s="4" t="s">
        <v>26</v>
      </c>
      <c r="B65" s="4">
        <v>13711</v>
      </c>
      <c r="C65" s="4" t="s">
        <v>185</v>
      </c>
      <c r="D65" s="4" t="s">
        <v>238</v>
      </c>
      <c r="E65" s="4" t="s">
        <v>239</v>
      </c>
      <c r="F65" s="4" t="s">
        <v>153</v>
      </c>
      <c r="G65" s="4" t="s">
        <v>154</v>
      </c>
      <c r="H65" s="4" t="s">
        <v>155</v>
      </c>
      <c r="I65" s="4" t="s">
        <v>163</v>
      </c>
      <c r="J65" s="4" t="s">
        <v>157</v>
      </c>
      <c r="K65" s="4" t="s">
        <v>158</v>
      </c>
      <c r="L65" s="4" t="s">
        <v>159</v>
      </c>
      <c r="M65" s="150">
        <v>13.63</v>
      </c>
      <c r="N65" s="4" t="s">
        <v>240</v>
      </c>
      <c r="O65" s="165">
        <v>2.8750000000000001E-2</v>
      </c>
      <c r="P65" s="166">
        <v>4.8419999999999998E-2</v>
      </c>
      <c r="R65" s="150">
        <v>35000</v>
      </c>
      <c r="S65" s="150">
        <v>3.7589999999999999</v>
      </c>
      <c r="T65" s="150">
        <v>77.813000000000002</v>
      </c>
      <c r="U65" s="150">
        <v>102.374</v>
      </c>
      <c r="W65" s="4" t="s">
        <v>37</v>
      </c>
      <c r="X65" s="166">
        <v>0</v>
      </c>
      <c r="Y65" s="166">
        <v>7.5405745365981604E-3</v>
      </c>
      <c r="Z65" s="166">
        <v>2.7887221312000799E-3</v>
      </c>
    </row>
    <row r="66" spans="1:26">
      <c r="A66" s="4" t="s">
        <v>26</v>
      </c>
      <c r="B66" s="4">
        <v>13711</v>
      </c>
      <c r="C66" s="4" t="s">
        <v>185</v>
      </c>
      <c r="D66" s="4" t="s">
        <v>241</v>
      </c>
      <c r="E66" s="4" t="s">
        <v>242</v>
      </c>
      <c r="F66" s="4" t="s">
        <v>153</v>
      </c>
      <c r="G66" s="4" t="s">
        <v>154</v>
      </c>
      <c r="H66" s="4" t="s">
        <v>155</v>
      </c>
      <c r="I66" s="4" t="s">
        <v>163</v>
      </c>
      <c r="J66" s="4" t="s">
        <v>157</v>
      </c>
      <c r="K66" s="4" t="s">
        <v>158</v>
      </c>
      <c r="L66" s="4" t="s">
        <v>159</v>
      </c>
      <c r="M66" s="150">
        <v>0.26</v>
      </c>
      <c r="N66" s="4" t="s">
        <v>243</v>
      </c>
      <c r="O66" s="165">
        <v>0</v>
      </c>
      <c r="P66" s="166">
        <v>5.3800000000000001E-2</v>
      </c>
      <c r="R66" s="150">
        <v>20000</v>
      </c>
      <c r="S66" s="150">
        <v>3.7589999999999999</v>
      </c>
      <c r="T66" s="150">
        <v>99.057000000000002</v>
      </c>
      <c r="U66" s="150">
        <v>74.471000000000004</v>
      </c>
      <c r="W66" s="4" t="s">
        <v>37</v>
      </c>
      <c r="X66" s="166">
        <v>0</v>
      </c>
      <c r="Y66" s="166">
        <v>5.4853224463855101E-3</v>
      </c>
      <c r="Z66" s="166">
        <v>2.0286305809669699E-3</v>
      </c>
    </row>
    <row r="67" spans="1:26">
      <c r="A67" s="4" t="s">
        <v>26</v>
      </c>
      <c r="B67" s="4">
        <v>13711</v>
      </c>
      <c r="C67" s="4" t="s">
        <v>185</v>
      </c>
      <c r="D67" s="4" t="s">
        <v>244</v>
      </c>
      <c r="E67" s="4" t="s">
        <v>245</v>
      </c>
      <c r="F67" s="4" t="s">
        <v>153</v>
      </c>
      <c r="G67" s="4" t="s">
        <v>154</v>
      </c>
      <c r="H67" s="4" t="s">
        <v>155</v>
      </c>
      <c r="I67" s="4" t="s">
        <v>163</v>
      </c>
      <c r="J67" s="4" t="s">
        <v>157</v>
      </c>
      <c r="K67" s="4" t="s">
        <v>158</v>
      </c>
      <c r="L67" s="4" t="s">
        <v>159</v>
      </c>
      <c r="M67" s="150">
        <v>6.94</v>
      </c>
      <c r="N67" s="4" t="s">
        <v>246</v>
      </c>
      <c r="O67" s="165">
        <v>1.8749999999999999E-2</v>
      </c>
      <c r="P67" s="166">
        <v>4.6089999999999999E-2</v>
      </c>
      <c r="R67" s="150">
        <v>10000</v>
      </c>
      <c r="S67" s="150">
        <v>3.7589999999999999</v>
      </c>
      <c r="T67" s="150">
        <v>84.495999999999995</v>
      </c>
      <c r="U67" s="150">
        <v>31.762</v>
      </c>
      <c r="W67" s="4" t="s">
        <v>37</v>
      </c>
      <c r="X67" s="166">
        <v>0</v>
      </c>
      <c r="Y67" s="166">
        <v>2.3395084910841999E-3</v>
      </c>
      <c r="Z67" s="166">
        <v>8.6521777267124995E-4</v>
      </c>
    </row>
    <row r="68" spans="1:26">
      <c r="A68" s="4" t="s">
        <v>26</v>
      </c>
      <c r="B68" s="4">
        <v>13711</v>
      </c>
      <c r="C68" s="4" t="s">
        <v>185</v>
      </c>
      <c r="D68" s="4" t="s">
        <v>247</v>
      </c>
      <c r="E68" s="4" t="s">
        <v>248</v>
      </c>
      <c r="F68" s="4" t="s">
        <v>153</v>
      </c>
      <c r="G68" s="4" t="s">
        <v>154</v>
      </c>
      <c r="H68" s="4" t="s">
        <v>155</v>
      </c>
      <c r="I68" s="4" t="s">
        <v>163</v>
      </c>
      <c r="J68" s="4" t="s">
        <v>157</v>
      </c>
      <c r="K68" s="4" t="s">
        <v>158</v>
      </c>
      <c r="L68" s="4" t="s">
        <v>159</v>
      </c>
      <c r="M68" s="150">
        <v>13.51</v>
      </c>
      <c r="N68" s="4" t="s">
        <v>249</v>
      </c>
      <c r="O68" s="165">
        <v>2.75E-2</v>
      </c>
      <c r="P68" s="166">
        <v>4.8379999999999999E-2</v>
      </c>
      <c r="R68" s="150">
        <v>6000</v>
      </c>
      <c r="S68" s="150">
        <v>3.7589999999999999</v>
      </c>
      <c r="T68" s="150">
        <v>76.775999999999996</v>
      </c>
      <c r="U68" s="150">
        <v>17.315999999999999</v>
      </c>
      <c r="W68" s="4" t="s">
        <v>37</v>
      </c>
      <c r="X68" s="166">
        <v>0</v>
      </c>
      <c r="Y68" s="166">
        <v>1.27544445408569E-3</v>
      </c>
      <c r="Z68" s="166">
        <v>4.7169617632740598E-4</v>
      </c>
    </row>
    <row r="69" spans="1:26">
      <c r="A69" s="4" t="s">
        <v>26</v>
      </c>
      <c r="B69" s="4">
        <v>13711</v>
      </c>
      <c r="C69" s="4" t="s">
        <v>185</v>
      </c>
      <c r="D69" s="4" t="s">
        <v>250</v>
      </c>
      <c r="E69" s="4" t="s">
        <v>251</v>
      </c>
      <c r="F69" s="4" t="s">
        <v>153</v>
      </c>
      <c r="G69" s="4" t="s">
        <v>154</v>
      </c>
      <c r="H69" s="4" t="s">
        <v>155</v>
      </c>
      <c r="I69" s="4" t="s">
        <v>163</v>
      </c>
      <c r="J69" s="4" t="s">
        <v>157</v>
      </c>
      <c r="K69" s="4" t="s">
        <v>158</v>
      </c>
      <c r="L69" s="4" t="s">
        <v>159</v>
      </c>
      <c r="M69" s="150">
        <v>14.19</v>
      </c>
      <c r="N69" s="4" t="s">
        <v>252</v>
      </c>
      <c r="O69" s="165">
        <v>0.03</v>
      </c>
      <c r="P69" s="166">
        <v>4.8489999999999998E-2</v>
      </c>
      <c r="R69" s="150">
        <v>10000</v>
      </c>
      <c r="S69" s="150">
        <v>3.7589999999999999</v>
      </c>
      <c r="T69" s="150">
        <v>78.266000000000005</v>
      </c>
      <c r="U69" s="150">
        <v>29.42</v>
      </c>
      <c r="W69" s="4" t="s">
        <v>37</v>
      </c>
      <c r="X69" s="166">
        <v>2.3800000000000001E-4</v>
      </c>
      <c r="Y69" s="166">
        <v>2.1669958560197799E-3</v>
      </c>
      <c r="Z69" s="166">
        <v>8.0141762044401497E-4</v>
      </c>
    </row>
    <row r="70" spans="1:26">
      <c r="A70" s="4" t="s">
        <v>26</v>
      </c>
      <c r="B70" s="4">
        <v>13711</v>
      </c>
      <c r="C70" s="4" t="s">
        <v>185</v>
      </c>
      <c r="D70" s="4" t="s">
        <v>253</v>
      </c>
      <c r="E70" s="4" t="s">
        <v>254</v>
      </c>
      <c r="F70" s="4" t="s">
        <v>153</v>
      </c>
      <c r="G70" s="4" t="s">
        <v>154</v>
      </c>
      <c r="H70" s="4" t="s">
        <v>155</v>
      </c>
      <c r="I70" s="4" t="s">
        <v>163</v>
      </c>
      <c r="J70" s="4" t="s">
        <v>157</v>
      </c>
      <c r="K70" s="4" t="s">
        <v>158</v>
      </c>
      <c r="L70" s="4" t="s">
        <v>159</v>
      </c>
      <c r="M70" s="150">
        <v>14.5</v>
      </c>
      <c r="N70" s="4" t="s">
        <v>255</v>
      </c>
      <c r="O70" s="165">
        <v>2.8750000000000001E-2</v>
      </c>
      <c r="P70" s="166">
        <v>4.8439999999999997E-2</v>
      </c>
      <c r="R70" s="150">
        <v>5000</v>
      </c>
      <c r="S70" s="150">
        <v>3.7589999999999999</v>
      </c>
      <c r="T70" s="150">
        <v>76.787000000000006</v>
      </c>
      <c r="U70" s="150">
        <v>14.432</v>
      </c>
      <c r="W70" s="4" t="s">
        <v>37</v>
      </c>
      <c r="X70" s="166">
        <v>0</v>
      </c>
      <c r="Y70" s="166">
        <v>1.0630281291171501E-3</v>
      </c>
      <c r="Z70" s="166">
        <v>3.9313848770661399E-4</v>
      </c>
    </row>
    <row r="71" spans="1:26">
      <c r="A71" s="4" t="s">
        <v>256</v>
      </c>
      <c r="B71" s="4">
        <v>556</v>
      </c>
      <c r="C71" s="4" t="s">
        <v>27</v>
      </c>
      <c r="D71" s="4" t="s">
        <v>28</v>
      </c>
      <c r="E71" s="4" t="s">
        <v>29</v>
      </c>
      <c r="F71" s="4" t="s">
        <v>49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0">
        <v>0.16200000000000001</v>
      </c>
      <c r="N71" s="4" t="s">
        <v>36</v>
      </c>
      <c r="O71" s="165">
        <v>0</v>
      </c>
      <c r="P71" s="166">
        <v>4.4420000000000001E-2</v>
      </c>
      <c r="R71" s="150">
        <v>5651330</v>
      </c>
      <c r="S71" s="150">
        <v>1</v>
      </c>
      <c r="T71" s="150">
        <v>99.3</v>
      </c>
      <c r="U71" s="150">
        <v>5611.7709999999997</v>
      </c>
      <c r="W71" s="4" t="s">
        <v>37</v>
      </c>
      <c r="X71" s="166">
        <v>9.3099999999999997E-4</v>
      </c>
      <c r="Y71" s="166">
        <v>3.79246358500403E-2</v>
      </c>
      <c r="Z71" s="166">
        <v>1.7594978371194898E-2</v>
      </c>
    </row>
    <row r="72" spans="1:26">
      <c r="A72" s="4" t="s">
        <v>256</v>
      </c>
      <c r="B72" s="4">
        <v>556</v>
      </c>
      <c r="C72" s="4" t="s">
        <v>27</v>
      </c>
      <c r="D72" s="4" t="s">
        <v>38</v>
      </c>
      <c r="E72" s="4" t="s">
        <v>39</v>
      </c>
      <c r="F72" s="4" t="s">
        <v>49</v>
      </c>
      <c r="G72" s="4" t="s">
        <v>31</v>
      </c>
      <c r="H72" s="4" t="s">
        <v>31</v>
      </c>
      <c r="I72" s="4" t="s">
        <v>32</v>
      </c>
      <c r="J72" s="4" t="s">
        <v>33</v>
      </c>
      <c r="K72" s="4" t="s">
        <v>34</v>
      </c>
      <c r="L72" s="4" t="s">
        <v>35</v>
      </c>
      <c r="M72" s="150">
        <v>0.41099999999999998</v>
      </c>
      <c r="N72" s="4" t="s">
        <v>40</v>
      </c>
      <c r="O72" s="165">
        <v>0</v>
      </c>
      <c r="P72" s="166">
        <v>4.3900000000000002E-2</v>
      </c>
      <c r="R72" s="150">
        <v>3423000</v>
      </c>
      <c r="S72" s="150">
        <v>1</v>
      </c>
      <c r="T72" s="150">
        <v>98.24</v>
      </c>
      <c r="U72" s="150">
        <v>3362.7550000000001</v>
      </c>
      <c r="W72" s="4" t="s">
        <v>37</v>
      </c>
      <c r="X72" s="166">
        <v>3.6999999999999999E-4</v>
      </c>
      <c r="Y72" s="166">
        <v>2.2725673135590901E-2</v>
      </c>
      <c r="Z72" s="166">
        <v>1.05434823124648E-2</v>
      </c>
    </row>
    <row r="73" spans="1:26">
      <c r="A73" s="4" t="s">
        <v>256</v>
      </c>
      <c r="B73" s="4">
        <v>556</v>
      </c>
      <c r="C73" s="4" t="s">
        <v>41</v>
      </c>
      <c r="D73" s="4" t="s">
        <v>42</v>
      </c>
      <c r="E73" s="4" t="s">
        <v>43</v>
      </c>
      <c r="F73" s="4" t="s">
        <v>44</v>
      </c>
      <c r="G73" s="4" t="s">
        <v>31</v>
      </c>
      <c r="H73" s="4" t="s">
        <v>31</v>
      </c>
      <c r="I73" s="4" t="s">
        <v>32</v>
      </c>
      <c r="J73" s="4" t="s">
        <v>33</v>
      </c>
      <c r="K73" s="4" t="s">
        <v>34</v>
      </c>
      <c r="L73" s="4" t="s">
        <v>35</v>
      </c>
      <c r="M73" s="150">
        <v>7.9000000000000001E-2</v>
      </c>
      <c r="N73" s="4" t="s">
        <v>45</v>
      </c>
      <c r="O73" s="165">
        <v>0.04</v>
      </c>
      <c r="P73" s="166">
        <v>4.7849999999999997E-2</v>
      </c>
      <c r="R73" s="150">
        <v>676852</v>
      </c>
      <c r="S73" s="150">
        <v>1</v>
      </c>
      <c r="T73" s="150">
        <v>145.32</v>
      </c>
      <c r="U73" s="150">
        <v>983.601</v>
      </c>
      <c r="W73" s="4" t="s">
        <v>37</v>
      </c>
      <c r="X73" s="166">
        <v>1.8200000000000001E-4</v>
      </c>
      <c r="Y73" s="166">
        <v>6.6472285105677702E-3</v>
      </c>
      <c r="Z73" s="166">
        <v>3.08395424900845E-3</v>
      </c>
    </row>
    <row r="74" spans="1:26">
      <c r="A74" s="4" t="s">
        <v>256</v>
      </c>
      <c r="B74" s="4">
        <v>556</v>
      </c>
      <c r="C74" s="4" t="s">
        <v>46</v>
      </c>
      <c r="D74" s="4" t="s">
        <v>47</v>
      </c>
      <c r="E74" s="4" t="s">
        <v>48</v>
      </c>
      <c r="F74" s="4" t="s">
        <v>49</v>
      </c>
      <c r="G74" s="4" t="s">
        <v>31</v>
      </c>
      <c r="H74" s="4" t="s">
        <v>31</v>
      </c>
      <c r="I74" s="4" t="s">
        <v>50</v>
      </c>
      <c r="J74" s="4" t="s">
        <v>33</v>
      </c>
      <c r="K74" s="4" t="s">
        <v>34</v>
      </c>
      <c r="L74" s="4" t="s">
        <v>35</v>
      </c>
      <c r="M74" s="150">
        <v>0.67400000000000004</v>
      </c>
      <c r="N74" s="4" t="s">
        <v>51</v>
      </c>
      <c r="O74" s="165">
        <v>0</v>
      </c>
      <c r="P74" s="166">
        <v>4.3360000000000003E-2</v>
      </c>
      <c r="R74" s="150">
        <v>685000</v>
      </c>
      <c r="S74" s="150">
        <v>1</v>
      </c>
      <c r="T74" s="150">
        <v>97.17</v>
      </c>
      <c r="U74" s="150">
        <v>665.61500000000001</v>
      </c>
      <c r="W74" s="4" t="s">
        <v>37</v>
      </c>
      <c r="X74" s="166">
        <v>5.7000000000000003E-5</v>
      </c>
      <c r="Y74" s="166">
        <v>4.4982571319225799E-3</v>
      </c>
      <c r="Z74" s="166">
        <v>2.0869478419571199E-3</v>
      </c>
    </row>
    <row r="75" spans="1:26">
      <c r="A75" s="4" t="s">
        <v>256</v>
      </c>
      <c r="B75" s="4">
        <v>556</v>
      </c>
      <c r="C75" s="4" t="s">
        <v>46</v>
      </c>
      <c r="D75" s="4" t="s">
        <v>52</v>
      </c>
      <c r="E75" s="4" t="s">
        <v>53</v>
      </c>
      <c r="F75" s="4" t="s">
        <v>49</v>
      </c>
      <c r="G75" s="4" t="s">
        <v>31</v>
      </c>
      <c r="H75" s="4" t="s">
        <v>31</v>
      </c>
      <c r="I75" s="4" t="s">
        <v>50</v>
      </c>
      <c r="J75" s="4" t="s">
        <v>33</v>
      </c>
      <c r="K75" s="4" t="s">
        <v>34</v>
      </c>
      <c r="L75" s="4" t="s">
        <v>35</v>
      </c>
      <c r="M75" s="150">
        <v>0.751</v>
      </c>
      <c r="N75" s="4" t="s">
        <v>54</v>
      </c>
      <c r="O75" s="165">
        <v>0</v>
      </c>
      <c r="P75" s="166">
        <v>4.2840000000000003E-2</v>
      </c>
      <c r="R75" s="150">
        <v>2658000</v>
      </c>
      <c r="S75" s="150">
        <v>1</v>
      </c>
      <c r="T75" s="150">
        <v>96.87</v>
      </c>
      <c r="U75" s="150">
        <v>2574.8049999999998</v>
      </c>
      <c r="W75" s="4" t="s">
        <v>37</v>
      </c>
      <c r="X75" s="166">
        <v>2.2100000000000001E-4</v>
      </c>
      <c r="Y75" s="166">
        <v>1.7400662328205099E-2</v>
      </c>
      <c r="Z75" s="166">
        <v>8.07296551296772E-3</v>
      </c>
    </row>
    <row r="76" spans="1:26">
      <c r="A76" s="4" t="s">
        <v>256</v>
      </c>
      <c r="B76" s="4">
        <v>556</v>
      </c>
      <c r="C76" s="4" t="s">
        <v>46</v>
      </c>
      <c r="D76" s="4" t="s">
        <v>55</v>
      </c>
      <c r="E76" s="4" t="s">
        <v>56</v>
      </c>
      <c r="F76" s="4" t="s">
        <v>49</v>
      </c>
      <c r="G76" s="4" t="s">
        <v>31</v>
      </c>
      <c r="H76" s="4" t="s">
        <v>31</v>
      </c>
      <c r="I76" s="4" t="s">
        <v>32</v>
      </c>
      <c r="J76" s="4" t="s">
        <v>33</v>
      </c>
      <c r="K76" s="4" t="s">
        <v>34</v>
      </c>
      <c r="L76" s="4" t="s">
        <v>35</v>
      </c>
      <c r="M76" s="150">
        <v>0.252</v>
      </c>
      <c r="N76" s="4" t="s">
        <v>57</v>
      </c>
      <c r="O76" s="165">
        <v>0</v>
      </c>
      <c r="P76" s="166">
        <v>4.2770000000000002E-2</v>
      </c>
      <c r="R76" s="150">
        <v>992000</v>
      </c>
      <c r="S76" s="150">
        <v>1</v>
      </c>
      <c r="T76" s="150">
        <v>98.94</v>
      </c>
      <c r="U76" s="150">
        <v>981.48500000000001</v>
      </c>
      <c r="W76" s="4" t="s">
        <v>37</v>
      </c>
      <c r="X76" s="166">
        <v>5.5000000000000002E-5</v>
      </c>
      <c r="Y76" s="166">
        <v>6.6329249159590301E-3</v>
      </c>
      <c r="Z76" s="166">
        <v>3.0773181552891499E-3</v>
      </c>
    </row>
    <row r="77" spans="1:26">
      <c r="A77" s="4" t="s">
        <v>256</v>
      </c>
      <c r="B77" s="4">
        <v>556</v>
      </c>
      <c r="C77" s="4" t="s">
        <v>46</v>
      </c>
      <c r="D77" s="4" t="s">
        <v>58</v>
      </c>
      <c r="E77" s="4" t="s">
        <v>59</v>
      </c>
      <c r="F77" s="4" t="s">
        <v>49</v>
      </c>
      <c r="G77" s="4" t="s">
        <v>31</v>
      </c>
      <c r="H77" s="4" t="s">
        <v>31</v>
      </c>
      <c r="I77" s="4" t="s">
        <v>32</v>
      </c>
      <c r="J77" s="4" t="s">
        <v>33</v>
      </c>
      <c r="K77" s="4" t="s">
        <v>34</v>
      </c>
      <c r="L77" s="4" t="s">
        <v>35</v>
      </c>
      <c r="M77" s="150">
        <v>0.34799999999999998</v>
      </c>
      <c r="N77" s="4" t="s">
        <v>60</v>
      </c>
      <c r="O77" s="165">
        <v>0</v>
      </c>
      <c r="P77" s="166">
        <v>4.3479999999999998E-2</v>
      </c>
      <c r="R77" s="150">
        <v>3954000</v>
      </c>
      <c r="S77" s="150">
        <v>1</v>
      </c>
      <c r="T77" s="150">
        <v>98.53</v>
      </c>
      <c r="U77" s="150">
        <v>3895.8760000000002</v>
      </c>
      <c r="W77" s="4" t="s">
        <v>37</v>
      </c>
      <c r="X77" s="166">
        <v>2.8200000000000002E-4</v>
      </c>
      <c r="Y77" s="166">
        <v>2.6328532358801501E-2</v>
      </c>
      <c r="Z77" s="166">
        <v>1.22150139880097E-2</v>
      </c>
    </row>
    <row r="78" spans="1:26">
      <c r="A78" s="4" t="s">
        <v>256</v>
      </c>
      <c r="B78" s="4">
        <v>556</v>
      </c>
      <c r="C78" s="4" t="s">
        <v>46</v>
      </c>
      <c r="D78" s="4" t="s">
        <v>61</v>
      </c>
      <c r="E78" s="4" t="s">
        <v>62</v>
      </c>
      <c r="F78" s="4" t="s">
        <v>49</v>
      </c>
      <c r="G78" s="4" t="s">
        <v>31</v>
      </c>
      <c r="H78" s="4" t="s">
        <v>31</v>
      </c>
      <c r="I78" s="4" t="s">
        <v>32</v>
      </c>
      <c r="J78" s="4" t="s">
        <v>33</v>
      </c>
      <c r="K78" s="4" t="s">
        <v>34</v>
      </c>
      <c r="L78" s="4" t="s">
        <v>35</v>
      </c>
      <c r="M78" s="150">
        <v>0.42499999999999999</v>
      </c>
      <c r="N78" s="4" t="s">
        <v>63</v>
      </c>
      <c r="O78" s="165">
        <v>0</v>
      </c>
      <c r="P78" s="166">
        <v>4.3450000000000003E-2</v>
      </c>
      <c r="R78" s="150">
        <v>1796000</v>
      </c>
      <c r="S78" s="150">
        <v>1</v>
      </c>
      <c r="T78" s="150">
        <v>98.21</v>
      </c>
      <c r="U78" s="150">
        <v>1763.8520000000001</v>
      </c>
      <c r="W78" s="4" t="s">
        <v>37</v>
      </c>
      <c r="X78" s="166">
        <v>1.2799999999999999E-4</v>
      </c>
      <c r="Y78" s="166">
        <v>1.1920200114860899E-2</v>
      </c>
      <c r="Z78" s="166">
        <v>5.53032767488179E-3</v>
      </c>
    </row>
    <row r="79" spans="1:26">
      <c r="A79" s="4" t="s">
        <v>256</v>
      </c>
      <c r="B79" s="4">
        <v>556</v>
      </c>
      <c r="C79" s="4" t="s">
        <v>46</v>
      </c>
      <c r="D79" s="4" t="s">
        <v>64</v>
      </c>
      <c r="E79" s="4" t="s">
        <v>65</v>
      </c>
      <c r="F79" s="4" t="s">
        <v>49</v>
      </c>
      <c r="G79" s="4" t="s">
        <v>31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150">
        <v>0.52100000000000002</v>
      </c>
      <c r="N79" s="4" t="s">
        <v>66</v>
      </c>
      <c r="O79" s="165">
        <v>0</v>
      </c>
      <c r="P79" s="166">
        <v>4.3459999999999999E-2</v>
      </c>
      <c r="R79" s="150">
        <v>456000</v>
      </c>
      <c r="S79" s="150">
        <v>1</v>
      </c>
      <c r="T79" s="150">
        <v>97.81</v>
      </c>
      <c r="U79" s="150">
        <v>446.01400000000001</v>
      </c>
      <c r="W79" s="4" t="s">
        <v>37</v>
      </c>
      <c r="X79" s="166">
        <v>3.8000000000000002E-5</v>
      </c>
      <c r="Y79" s="166">
        <v>3.0141829198950202E-3</v>
      </c>
      <c r="Z79" s="166">
        <v>1.39841773279207E-3</v>
      </c>
    </row>
    <row r="80" spans="1:26">
      <c r="A80" s="4" t="s">
        <v>256</v>
      </c>
      <c r="B80" s="4">
        <v>556</v>
      </c>
      <c r="C80" s="4" t="s">
        <v>46</v>
      </c>
      <c r="D80" s="4" t="s">
        <v>67</v>
      </c>
      <c r="E80" s="4" t="s">
        <v>68</v>
      </c>
      <c r="F80" s="4" t="s">
        <v>49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0">
        <v>0.59699999999999998</v>
      </c>
      <c r="N80" s="4" t="s">
        <v>69</v>
      </c>
      <c r="O80" s="165">
        <v>0</v>
      </c>
      <c r="P80" s="166">
        <v>4.3479999999999998E-2</v>
      </c>
      <c r="R80" s="150">
        <v>79000</v>
      </c>
      <c r="S80" s="150">
        <v>1</v>
      </c>
      <c r="T80" s="150">
        <v>97.48</v>
      </c>
      <c r="U80" s="150">
        <v>77.009</v>
      </c>
      <c r="W80" s="4" t="s">
        <v>37</v>
      </c>
      <c r="X80" s="166">
        <v>6.9999999999999999E-6</v>
      </c>
      <c r="Y80" s="166">
        <v>5.2043214672104203E-4</v>
      </c>
      <c r="Z80" s="166">
        <v>2.4145234779417201E-4</v>
      </c>
    </row>
    <row r="81" spans="1:26">
      <c r="A81" s="4" t="s">
        <v>256</v>
      </c>
      <c r="B81" s="4">
        <v>556</v>
      </c>
      <c r="C81" s="4" t="s">
        <v>46</v>
      </c>
      <c r="D81" s="4" t="s">
        <v>70</v>
      </c>
      <c r="E81" s="4" t="s">
        <v>71</v>
      </c>
      <c r="F81" s="4" t="s">
        <v>49</v>
      </c>
      <c r="G81" s="4" t="s">
        <v>31</v>
      </c>
      <c r="H81" s="4" t="s">
        <v>31</v>
      </c>
      <c r="I81" s="4" t="s">
        <v>50</v>
      </c>
      <c r="J81" s="4" t="s">
        <v>33</v>
      </c>
      <c r="K81" s="4" t="s">
        <v>34</v>
      </c>
      <c r="L81" s="4" t="s">
        <v>35</v>
      </c>
      <c r="M81" s="150">
        <v>0.84699999999999998</v>
      </c>
      <c r="N81" s="4" t="s">
        <v>72</v>
      </c>
      <c r="O81" s="165">
        <v>0</v>
      </c>
      <c r="P81" s="166">
        <v>4.3240000000000001E-2</v>
      </c>
      <c r="R81" s="150">
        <v>3842000</v>
      </c>
      <c r="S81" s="150">
        <v>1</v>
      </c>
      <c r="T81" s="150">
        <v>96.48</v>
      </c>
      <c r="U81" s="150">
        <v>3706.7620000000002</v>
      </c>
      <c r="W81" s="4" t="s">
        <v>37</v>
      </c>
      <c r="X81" s="166">
        <v>2.7399999999999999E-4</v>
      </c>
      <c r="Y81" s="166">
        <v>2.50504861350478E-2</v>
      </c>
      <c r="Z81" s="166">
        <v>1.1622069714180699E-2</v>
      </c>
    </row>
    <row r="82" spans="1:26">
      <c r="A82" s="4" t="s">
        <v>256</v>
      </c>
      <c r="B82" s="4">
        <v>556</v>
      </c>
      <c r="C82" s="4" t="s">
        <v>46</v>
      </c>
      <c r="D82" s="4" t="s">
        <v>73</v>
      </c>
      <c r="E82" s="4" t="s">
        <v>74</v>
      </c>
      <c r="F82" s="4" t="s">
        <v>49</v>
      </c>
      <c r="G82" s="4" t="s">
        <v>31</v>
      </c>
      <c r="H82" s="4" t="s">
        <v>31</v>
      </c>
      <c r="I82" s="4" t="s">
        <v>50</v>
      </c>
      <c r="J82" s="4" t="s">
        <v>33</v>
      </c>
      <c r="K82" s="4" t="s">
        <v>34</v>
      </c>
      <c r="L82" s="4" t="s">
        <v>35</v>
      </c>
      <c r="M82" s="150">
        <v>0.92300000000000004</v>
      </c>
      <c r="N82" s="4" t="s">
        <v>75</v>
      </c>
      <c r="O82" s="165">
        <v>0</v>
      </c>
      <c r="P82" s="166">
        <v>4.2849999999999999E-2</v>
      </c>
      <c r="R82" s="150">
        <v>1513000</v>
      </c>
      <c r="S82" s="150">
        <v>1</v>
      </c>
      <c r="T82" s="150">
        <v>96.17</v>
      </c>
      <c r="U82" s="150">
        <v>1455.0519999999999</v>
      </c>
      <c r="W82" s="4" t="s">
        <v>37</v>
      </c>
      <c r="X82" s="166">
        <v>1.26E-4</v>
      </c>
      <c r="Y82" s="166">
        <v>9.8333171620268705E-3</v>
      </c>
      <c r="Z82" s="166">
        <v>4.56212693688339E-3</v>
      </c>
    </row>
    <row r="83" spans="1:26">
      <c r="A83" s="4" t="s">
        <v>256</v>
      </c>
      <c r="B83" s="4">
        <v>556</v>
      </c>
      <c r="C83" s="4" t="s">
        <v>46</v>
      </c>
      <c r="D83" s="4" t="s">
        <v>76</v>
      </c>
      <c r="E83" s="4" t="s">
        <v>77</v>
      </c>
      <c r="F83" s="4" t="s">
        <v>49</v>
      </c>
      <c r="G83" s="4" t="s">
        <v>31</v>
      </c>
      <c r="H83" s="4" t="s">
        <v>31</v>
      </c>
      <c r="I83" s="4" t="s">
        <v>32</v>
      </c>
      <c r="J83" s="4" t="s">
        <v>33</v>
      </c>
      <c r="K83" s="4" t="s">
        <v>34</v>
      </c>
      <c r="L83" s="4" t="s">
        <v>35</v>
      </c>
      <c r="M83" s="150">
        <v>3.0000000000000001E-3</v>
      </c>
      <c r="N83" s="4" t="s">
        <v>78</v>
      </c>
      <c r="O83" s="165">
        <v>0</v>
      </c>
      <c r="P83" s="166">
        <v>0.11574</v>
      </c>
      <c r="R83" s="150">
        <v>3420000</v>
      </c>
      <c r="S83" s="150">
        <v>1</v>
      </c>
      <c r="T83" s="150">
        <v>99.97</v>
      </c>
      <c r="U83" s="150">
        <v>3418.9740000000002</v>
      </c>
      <c r="W83" s="4" t="s">
        <v>37</v>
      </c>
      <c r="X83" s="166">
        <v>7.7999999999999999E-5</v>
      </c>
      <c r="Y83" s="166">
        <v>2.3105602686476798E-2</v>
      </c>
      <c r="Z83" s="166">
        <v>1.07197490604659E-2</v>
      </c>
    </row>
    <row r="84" spans="1:26">
      <c r="A84" s="4" t="s">
        <v>256</v>
      </c>
      <c r="B84" s="4">
        <v>556</v>
      </c>
      <c r="C84" s="4" t="s">
        <v>46</v>
      </c>
      <c r="D84" s="4" t="s">
        <v>79</v>
      </c>
      <c r="E84" s="4" t="s">
        <v>80</v>
      </c>
      <c r="F84" s="4" t="s">
        <v>49</v>
      </c>
      <c r="G84" s="4" t="s">
        <v>31</v>
      </c>
      <c r="H84" s="4" t="s">
        <v>31</v>
      </c>
      <c r="I84" s="4" t="s">
        <v>32</v>
      </c>
      <c r="J84" s="4" t="s">
        <v>33</v>
      </c>
      <c r="K84" s="4" t="s">
        <v>34</v>
      </c>
      <c r="L84" s="4" t="s">
        <v>35</v>
      </c>
      <c r="M84" s="150">
        <v>9.9000000000000005E-2</v>
      </c>
      <c r="N84" s="4" t="s">
        <v>81</v>
      </c>
      <c r="O84" s="165">
        <v>0</v>
      </c>
      <c r="P84" s="166">
        <v>4.36E-2</v>
      </c>
      <c r="R84" s="150">
        <v>5389000</v>
      </c>
      <c r="S84" s="150">
        <v>1</v>
      </c>
      <c r="T84" s="150">
        <v>99.58</v>
      </c>
      <c r="U84" s="150">
        <v>5366.366</v>
      </c>
      <c r="W84" s="4" t="s">
        <v>37</v>
      </c>
      <c r="X84" s="166">
        <v>1.22E-4</v>
      </c>
      <c r="Y84" s="166">
        <v>3.6266179645513E-2</v>
      </c>
      <c r="Z84" s="166">
        <v>1.6825544455899899E-2</v>
      </c>
    </row>
    <row r="85" spans="1:26">
      <c r="A85" s="4" t="s">
        <v>256</v>
      </c>
      <c r="B85" s="4">
        <v>556</v>
      </c>
      <c r="C85" s="4" t="s">
        <v>46</v>
      </c>
      <c r="D85" s="4" t="s">
        <v>82</v>
      </c>
      <c r="E85" s="4" t="s">
        <v>83</v>
      </c>
      <c r="F85" s="4" t="s">
        <v>49</v>
      </c>
      <c r="G85" s="4" t="s">
        <v>31</v>
      </c>
      <c r="H85" s="4" t="s">
        <v>31</v>
      </c>
      <c r="I85" s="4" t="s">
        <v>32</v>
      </c>
      <c r="J85" s="4" t="s">
        <v>33</v>
      </c>
      <c r="K85" s="4" t="s">
        <v>34</v>
      </c>
      <c r="L85" s="4" t="s">
        <v>35</v>
      </c>
      <c r="M85" s="150">
        <v>0.17499999999999999</v>
      </c>
      <c r="N85" s="4" t="s">
        <v>84</v>
      </c>
      <c r="O85" s="165">
        <v>0</v>
      </c>
      <c r="P85" s="166">
        <v>4.3270000000000003E-2</v>
      </c>
      <c r="R85" s="150">
        <v>2602000</v>
      </c>
      <c r="S85" s="150">
        <v>1</v>
      </c>
      <c r="T85" s="150">
        <v>99.26</v>
      </c>
      <c r="U85" s="150">
        <v>2582.7449999999999</v>
      </c>
      <c r="W85" s="4" t="s">
        <v>37</v>
      </c>
      <c r="X85" s="166">
        <v>5.8999999999999998E-5</v>
      </c>
      <c r="Y85" s="166">
        <v>1.7454325312683001E-2</v>
      </c>
      <c r="Z85" s="166">
        <v>8.0978622332673108E-3</v>
      </c>
    </row>
    <row r="86" spans="1:26">
      <c r="A86" s="4" t="s">
        <v>256</v>
      </c>
      <c r="B86" s="4">
        <v>556</v>
      </c>
      <c r="C86" s="4" t="s">
        <v>41</v>
      </c>
      <c r="D86" s="4" t="s">
        <v>85</v>
      </c>
      <c r="E86" s="4" t="s">
        <v>86</v>
      </c>
      <c r="F86" s="4" t="s">
        <v>44</v>
      </c>
      <c r="G86" s="4" t="s">
        <v>31</v>
      </c>
      <c r="H86" s="4" t="s">
        <v>31</v>
      </c>
      <c r="I86" s="4" t="s">
        <v>32</v>
      </c>
      <c r="J86" s="4" t="s">
        <v>33</v>
      </c>
      <c r="K86" s="4" t="s">
        <v>34</v>
      </c>
      <c r="L86" s="4" t="s">
        <v>35</v>
      </c>
      <c r="M86" s="150">
        <v>2.89</v>
      </c>
      <c r="N86" s="4" t="s">
        <v>87</v>
      </c>
      <c r="O86" s="165">
        <v>7.4999999999999997E-3</v>
      </c>
      <c r="P86" s="166">
        <v>1.7010000000000001E-2</v>
      </c>
      <c r="R86" s="150">
        <v>5522000</v>
      </c>
      <c r="S86" s="150">
        <v>1</v>
      </c>
      <c r="T86" s="150">
        <v>111.66</v>
      </c>
      <c r="U86" s="150">
        <v>6165.8649999999998</v>
      </c>
      <c r="W86" s="4" t="s">
        <v>37</v>
      </c>
      <c r="X86" s="166">
        <v>2.4800000000000001E-4</v>
      </c>
      <c r="Y86" s="166">
        <v>4.1669235135913203E-2</v>
      </c>
      <c r="Z86" s="166">
        <v>1.9332269764162999E-2</v>
      </c>
    </row>
    <row r="87" spans="1:26">
      <c r="A87" s="4" t="s">
        <v>256</v>
      </c>
      <c r="B87" s="4">
        <v>556</v>
      </c>
      <c r="C87" s="4" t="s">
        <v>41</v>
      </c>
      <c r="D87" s="4" t="s">
        <v>88</v>
      </c>
      <c r="E87" s="4" t="s">
        <v>89</v>
      </c>
      <c r="F87" s="4" t="s">
        <v>44</v>
      </c>
      <c r="G87" s="4" t="s">
        <v>31</v>
      </c>
      <c r="H87" s="4" t="s">
        <v>31</v>
      </c>
      <c r="I87" s="4" t="s">
        <v>32</v>
      </c>
      <c r="J87" s="4" t="s">
        <v>33</v>
      </c>
      <c r="K87" s="4" t="s">
        <v>34</v>
      </c>
      <c r="L87" s="4" t="s">
        <v>35</v>
      </c>
      <c r="M87" s="150">
        <v>1.3240000000000001</v>
      </c>
      <c r="N87" s="4" t="s">
        <v>90</v>
      </c>
      <c r="O87" s="165">
        <v>7.4999999999999997E-3</v>
      </c>
      <c r="P87" s="166">
        <v>1.508E-2</v>
      </c>
      <c r="R87" s="150">
        <v>6651000</v>
      </c>
      <c r="S87" s="150">
        <v>1</v>
      </c>
      <c r="T87" s="150">
        <v>113.49</v>
      </c>
      <c r="U87" s="150">
        <v>7548.22</v>
      </c>
      <c r="W87" s="4" t="s">
        <v>37</v>
      </c>
      <c r="X87" s="166">
        <v>3.0600000000000001E-4</v>
      </c>
      <c r="Y87" s="166">
        <v>5.1011259518076897E-2</v>
      </c>
      <c r="Z87" s="166">
        <v>2.3666463442312002E-2</v>
      </c>
    </row>
    <row r="88" spans="1:26">
      <c r="A88" s="4" t="s">
        <v>256</v>
      </c>
      <c r="B88" s="4">
        <v>556</v>
      </c>
      <c r="C88" s="4" t="s">
        <v>41</v>
      </c>
      <c r="D88" s="4" t="s">
        <v>91</v>
      </c>
      <c r="E88" s="4" t="s">
        <v>92</v>
      </c>
      <c r="F88" s="4" t="s">
        <v>44</v>
      </c>
      <c r="G88" s="4" t="s">
        <v>31</v>
      </c>
      <c r="H88" s="4" t="s">
        <v>31</v>
      </c>
      <c r="I88" s="4" t="s">
        <v>32</v>
      </c>
      <c r="J88" s="4" t="s">
        <v>33</v>
      </c>
      <c r="K88" s="4" t="s">
        <v>34</v>
      </c>
      <c r="L88" s="4" t="s">
        <v>35</v>
      </c>
      <c r="M88" s="150">
        <v>7.3849999999999998</v>
      </c>
      <c r="N88" s="4" t="s">
        <v>93</v>
      </c>
      <c r="O88" s="165">
        <v>1E-3</v>
      </c>
      <c r="P88" s="166">
        <v>2.213E-2</v>
      </c>
      <c r="R88" s="150">
        <v>2339872</v>
      </c>
      <c r="S88" s="150">
        <v>1</v>
      </c>
      <c r="T88" s="150">
        <v>97.65</v>
      </c>
      <c r="U88" s="150">
        <v>2284.8850000000002</v>
      </c>
      <c r="W88" s="4" t="s">
        <v>37</v>
      </c>
      <c r="X88" s="166">
        <v>7.6000000000000004E-5</v>
      </c>
      <c r="Y88" s="166">
        <v>1.5441370767702601E-2</v>
      </c>
      <c r="Z88" s="166">
        <v>7.1639602751529096E-3</v>
      </c>
    </row>
    <row r="89" spans="1:26">
      <c r="A89" s="4" t="s">
        <v>256</v>
      </c>
      <c r="B89" s="4">
        <v>556</v>
      </c>
      <c r="C89" s="4" t="s">
        <v>94</v>
      </c>
      <c r="D89" s="4" t="s">
        <v>95</v>
      </c>
      <c r="E89" s="4" t="s">
        <v>96</v>
      </c>
      <c r="F89" s="4" t="s">
        <v>97</v>
      </c>
      <c r="G89" s="4" t="s">
        <v>31</v>
      </c>
      <c r="H89" s="4" t="s">
        <v>31</v>
      </c>
      <c r="I89" s="4" t="s">
        <v>32</v>
      </c>
      <c r="J89" s="4" t="s">
        <v>33</v>
      </c>
      <c r="K89" s="4" t="s">
        <v>34</v>
      </c>
      <c r="L89" s="4" t="s">
        <v>35</v>
      </c>
      <c r="M89" s="150">
        <v>4.0140000000000002</v>
      </c>
      <c r="N89" s="4" t="s">
        <v>98</v>
      </c>
      <c r="O89" s="165">
        <v>2.2499999999999999E-2</v>
      </c>
      <c r="P89" s="166">
        <v>4.6309999999999997E-2</v>
      </c>
      <c r="R89" s="150">
        <v>3978553</v>
      </c>
      <c r="S89" s="150">
        <v>1</v>
      </c>
      <c r="T89" s="150">
        <v>92.73</v>
      </c>
      <c r="U89" s="150">
        <v>3689.3119999999999</v>
      </c>
      <c r="W89" s="4" t="s">
        <v>37</v>
      </c>
      <c r="X89" s="166">
        <v>1.2999999999999999E-4</v>
      </c>
      <c r="Y89" s="166">
        <v>2.4932562168634299E-2</v>
      </c>
      <c r="Z89" s="166">
        <v>1.15673593763756E-2</v>
      </c>
    </row>
    <row r="90" spans="1:26">
      <c r="A90" s="4" t="s">
        <v>256</v>
      </c>
      <c r="B90" s="4">
        <v>556</v>
      </c>
      <c r="C90" s="4" t="s">
        <v>94</v>
      </c>
      <c r="D90" s="4" t="s">
        <v>99</v>
      </c>
      <c r="E90" s="4" t="s">
        <v>100</v>
      </c>
      <c r="F90" s="4" t="s">
        <v>97</v>
      </c>
      <c r="G90" s="4" t="s">
        <v>31</v>
      </c>
      <c r="H90" s="4" t="s">
        <v>31</v>
      </c>
      <c r="I90" s="4" t="s">
        <v>32</v>
      </c>
      <c r="J90" s="4" t="s">
        <v>33</v>
      </c>
      <c r="K90" s="4" t="s">
        <v>34</v>
      </c>
      <c r="L90" s="4" t="s">
        <v>35</v>
      </c>
      <c r="M90" s="150">
        <v>3.0680000000000001</v>
      </c>
      <c r="N90" s="4" t="s">
        <v>101</v>
      </c>
      <c r="O90" s="165">
        <v>3.7499999999999999E-2</v>
      </c>
      <c r="P90" s="166">
        <v>4.5749999999999999E-2</v>
      </c>
      <c r="R90" s="150">
        <v>2313000</v>
      </c>
      <c r="S90" s="150">
        <v>1</v>
      </c>
      <c r="T90" s="150">
        <v>99.11</v>
      </c>
      <c r="U90" s="150">
        <v>2292.4140000000002</v>
      </c>
      <c r="W90" s="4" t="s">
        <v>37</v>
      </c>
      <c r="X90" s="166">
        <v>2.23E-4</v>
      </c>
      <c r="Y90" s="166">
        <v>1.54922541114959E-2</v>
      </c>
      <c r="Z90" s="166">
        <v>7.1875673926223597E-3</v>
      </c>
    </row>
    <row r="91" spans="1:26">
      <c r="A91" s="4" t="s">
        <v>256</v>
      </c>
      <c r="B91" s="4">
        <v>556</v>
      </c>
      <c r="C91" s="4" t="s">
        <v>94</v>
      </c>
      <c r="D91" s="4" t="s">
        <v>102</v>
      </c>
      <c r="E91" s="4" t="s">
        <v>103</v>
      </c>
      <c r="F91" s="4" t="s">
        <v>97</v>
      </c>
      <c r="G91" s="4" t="s">
        <v>31</v>
      </c>
      <c r="H91" s="4" t="s">
        <v>31</v>
      </c>
      <c r="I91" s="4" t="s">
        <v>32</v>
      </c>
      <c r="J91" s="4" t="s">
        <v>33</v>
      </c>
      <c r="K91" s="4" t="s">
        <v>34</v>
      </c>
      <c r="L91" s="4" t="s">
        <v>35</v>
      </c>
      <c r="M91" s="150">
        <v>1.6519999999999999</v>
      </c>
      <c r="N91" s="4" t="s">
        <v>104</v>
      </c>
      <c r="O91" s="165">
        <v>5.0000000000000001E-3</v>
      </c>
      <c r="P91" s="166">
        <v>4.4010000000000001E-2</v>
      </c>
      <c r="R91" s="150">
        <v>4047000</v>
      </c>
      <c r="S91" s="150">
        <v>1</v>
      </c>
      <c r="T91" s="150">
        <v>94.09</v>
      </c>
      <c r="U91" s="150">
        <v>3807.8220000000001</v>
      </c>
      <c r="W91" s="4" t="s">
        <v>37</v>
      </c>
      <c r="X91" s="166">
        <v>1.46E-4</v>
      </c>
      <c r="Y91" s="166">
        <v>2.57334595596533E-2</v>
      </c>
      <c r="Z91" s="166">
        <v>1.19389324173995E-2</v>
      </c>
    </row>
    <row r="92" spans="1:26">
      <c r="A92" s="4" t="s">
        <v>256</v>
      </c>
      <c r="B92" s="4">
        <v>556</v>
      </c>
      <c r="C92" s="4" t="s">
        <v>94</v>
      </c>
      <c r="D92" s="4" t="s">
        <v>105</v>
      </c>
      <c r="E92" s="4" t="s">
        <v>106</v>
      </c>
      <c r="F92" s="4" t="s">
        <v>97</v>
      </c>
      <c r="G92" s="4" t="s">
        <v>31</v>
      </c>
      <c r="H92" s="4" t="s">
        <v>31</v>
      </c>
      <c r="I92" s="4" t="s">
        <v>32</v>
      </c>
      <c r="J92" s="4" t="s">
        <v>33</v>
      </c>
      <c r="K92" s="4" t="s">
        <v>34</v>
      </c>
      <c r="L92" s="4" t="s">
        <v>35</v>
      </c>
      <c r="M92" s="150">
        <v>4.306</v>
      </c>
      <c r="N92" s="4" t="s">
        <v>107</v>
      </c>
      <c r="O92" s="165">
        <v>3.7499999999999999E-2</v>
      </c>
      <c r="P92" s="166">
        <v>4.6649999999999997E-2</v>
      </c>
      <c r="R92" s="150">
        <v>125000</v>
      </c>
      <c r="S92" s="150">
        <v>1</v>
      </c>
      <c r="T92" s="150">
        <v>97.49</v>
      </c>
      <c r="U92" s="150">
        <v>121.86199999999999</v>
      </c>
      <c r="W92" s="4" t="s">
        <v>37</v>
      </c>
      <c r="X92" s="166">
        <v>5.0000000000000004E-6</v>
      </c>
      <c r="Y92" s="166">
        <v>8.23553062228836E-4</v>
      </c>
      <c r="Z92" s="166">
        <v>3.8208404623171402E-4</v>
      </c>
    </row>
    <row r="93" spans="1:26">
      <c r="A93" s="4" t="s">
        <v>256</v>
      </c>
      <c r="B93" s="4">
        <v>556</v>
      </c>
      <c r="C93" s="4" t="s">
        <v>94</v>
      </c>
      <c r="D93" s="4" t="s">
        <v>108</v>
      </c>
      <c r="E93" s="4" t="s">
        <v>109</v>
      </c>
      <c r="F93" s="4" t="s">
        <v>97</v>
      </c>
      <c r="G93" s="4" t="s">
        <v>31</v>
      </c>
      <c r="H93" s="4" t="s">
        <v>31</v>
      </c>
      <c r="I93" s="4" t="s">
        <v>32</v>
      </c>
      <c r="J93" s="4" t="s">
        <v>33</v>
      </c>
      <c r="K93" s="4" t="s">
        <v>34</v>
      </c>
      <c r="L93" s="4" t="s">
        <v>35</v>
      </c>
      <c r="M93" s="150">
        <v>2.6840000000000002</v>
      </c>
      <c r="N93" s="4" t="s">
        <v>110</v>
      </c>
      <c r="O93" s="165">
        <v>0.02</v>
      </c>
      <c r="P93" s="166">
        <v>4.487E-2</v>
      </c>
      <c r="R93" s="150">
        <v>2166000</v>
      </c>
      <c r="S93" s="150">
        <v>1</v>
      </c>
      <c r="T93" s="150">
        <v>94.2</v>
      </c>
      <c r="U93" s="150">
        <v>2040.3720000000001</v>
      </c>
      <c r="W93" s="4" t="s">
        <v>37</v>
      </c>
      <c r="X93" s="166">
        <v>8.3999999999999995E-5</v>
      </c>
      <c r="Y93" s="166">
        <v>1.37889392445254E-2</v>
      </c>
      <c r="Z93" s="166">
        <v>6.3973214859197403E-3</v>
      </c>
    </row>
    <row r="94" spans="1:26">
      <c r="A94" s="4" t="s">
        <v>256</v>
      </c>
      <c r="B94" s="4">
        <v>556</v>
      </c>
      <c r="C94" s="4" t="s">
        <v>94</v>
      </c>
      <c r="D94" s="4" t="s">
        <v>111</v>
      </c>
      <c r="E94" s="4" t="s">
        <v>112</v>
      </c>
      <c r="F94" s="4" t="s">
        <v>97</v>
      </c>
      <c r="G94" s="4" t="s">
        <v>31</v>
      </c>
      <c r="H94" s="4" t="s">
        <v>31</v>
      </c>
      <c r="I94" s="4" t="s">
        <v>32</v>
      </c>
      <c r="J94" s="4" t="s">
        <v>33</v>
      </c>
      <c r="K94" s="4" t="s">
        <v>34</v>
      </c>
      <c r="L94" s="4" t="s">
        <v>35</v>
      </c>
      <c r="M94" s="150">
        <v>8.7520000000000007</v>
      </c>
      <c r="N94" s="4" t="s">
        <v>113</v>
      </c>
      <c r="O94" s="165">
        <v>0.04</v>
      </c>
      <c r="P94" s="166">
        <v>5.0720000000000001E-2</v>
      </c>
      <c r="R94" s="150">
        <v>1090000</v>
      </c>
      <c r="S94" s="150">
        <v>1</v>
      </c>
      <c r="T94" s="150">
        <v>92.5</v>
      </c>
      <c r="U94" s="150">
        <v>1008.25</v>
      </c>
      <c r="W94" s="4" t="s">
        <v>37</v>
      </c>
      <c r="X94" s="166">
        <v>9.7999999999999997E-5</v>
      </c>
      <c r="Y94" s="166">
        <v>6.8138055184509098E-3</v>
      </c>
      <c r="Z94" s="166">
        <v>3.1612369647194601E-3</v>
      </c>
    </row>
    <row r="95" spans="1:26">
      <c r="A95" s="4" t="s">
        <v>256</v>
      </c>
      <c r="B95" s="4">
        <v>556</v>
      </c>
      <c r="C95" s="4" t="s">
        <v>94</v>
      </c>
      <c r="D95" s="4" t="s">
        <v>114</v>
      </c>
      <c r="E95" s="4" t="s">
        <v>115</v>
      </c>
      <c r="F95" s="4" t="s">
        <v>97</v>
      </c>
      <c r="G95" s="4" t="s">
        <v>31</v>
      </c>
      <c r="H95" s="4" t="s">
        <v>31</v>
      </c>
      <c r="I95" s="4" t="s">
        <v>32</v>
      </c>
      <c r="J95" s="4" t="s">
        <v>33</v>
      </c>
      <c r="K95" s="4" t="s">
        <v>34</v>
      </c>
      <c r="L95" s="4" t="s">
        <v>35</v>
      </c>
      <c r="M95" s="150">
        <v>14.472</v>
      </c>
      <c r="N95" s="4" t="s">
        <v>116</v>
      </c>
      <c r="O95" s="165">
        <v>3.7499999999999999E-2</v>
      </c>
      <c r="P95" s="166">
        <v>5.4850000000000003E-2</v>
      </c>
      <c r="R95" s="150">
        <v>1318000</v>
      </c>
      <c r="S95" s="150">
        <v>1</v>
      </c>
      <c r="T95" s="150">
        <v>78.790000000000006</v>
      </c>
      <c r="U95" s="150">
        <v>1038.452</v>
      </c>
      <c r="W95" s="4" t="s">
        <v>37</v>
      </c>
      <c r="X95" s="166">
        <v>5.0000000000000002E-5</v>
      </c>
      <c r="Y95" s="166">
        <v>7.0179135442672898E-3</v>
      </c>
      <c r="Z95" s="166">
        <v>3.2559320413927599E-3</v>
      </c>
    </row>
    <row r="96" spans="1:26">
      <c r="A96" s="4" t="s">
        <v>256</v>
      </c>
      <c r="B96" s="4">
        <v>556</v>
      </c>
      <c r="C96" s="4" t="s">
        <v>94</v>
      </c>
      <c r="D96" s="4" t="s">
        <v>117</v>
      </c>
      <c r="E96" s="4" t="s">
        <v>118</v>
      </c>
      <c r="F96" s="4" t="s">
        <v>97</v>
      </c>
      <c r="G96" s="4" t="s">
        <v>31</v>
      </c>
      <c r="H96" s="4" t="s">
        <v>31</v>
      </c>
      <c r="I96" s="4" t="s">
        <v>32</v>
      </c>
      <c r="J96" s="4" t="s">
        <v>33</v>
      </c>
      <c r="K96" s="4" t="s">
        <v>34</v>
      </c>
      <c r="L96" s="4" t="s">
        <v>35</v>
      </c>
      <c r="M96" s="150">
        <v>1.147</v>
      </c>
      <c r="N96" s="4" t="s">
        <v>119</v>
      </c>
      <c r="O96" s="165">
        <v>1.7500000000000002E-2</v>
      </c>
      <c r="P96" s="166">
        <v>4.3049999999999998E-2</v>
      </c>
      <c r="R96" s="150">
        <v>6294000</v>
      </c>
      <c r="S96" s="150">
        <v>1</v>
      </c>
      <c r="T96" s="150">
        <v>98.7</v>
      </c>
      <c r="U96" s="150">
        <v>6212.1779999999999</v>
      </c>
      <c r="W96" s="4" t="s">
        <v>37</v>
      </c>
      <c r="X96" s="166">
        <v>2.6499999999999999E-4</v>
      </c>
      <c r="Y96" s="166">
        <v>4.19822194277207E-2</v>
      </c>
      <c r="Z96" s="166">
        <v>1.9477477535350399E-2</v>
      </c>
    </row>
    <row r="97" spans="1:26">
      <c r="A97" s="4" t="s">
        <v>256</v>
      </c>
      <c r="B97" s="4">
        <v>556</v>
      </c>
      <c r="C97" s="4" t="s">
        <v>94</v>
      </c>
      <c r="D97" s="4" t="s">
        <v>120</v>
      </c>
      <c r="E97" s="4" t="s">
        <v>121</v>
      </c>
      <c r="F97" s="4" t="s">
        <v>97</v>
      </c>
      <c r="G97" s="4" t="s">
        <v>31</v>
      </c>
      <c r="H97" s="4" t="s">
        <v>31</v>
      </c>
      <c r="I97" s="4" t="s">
        <v>32</v>
      </c>
      <c r="J97" s="4" t="s">
        <v>33</v>
      </c>
      <c r="K97" s="4" t="s">
        <v>34</v>
      </c>
      <c r="L97" s="4" t="s">
        <v>35</v>
      </c>
      <c r="M97" s="150">
        <v>16.815999999999999</v>
      </c>
      <c r="N97" s="4" t="s">
        <v>122</v>
      </c>
      <c r="O97" s="165">
        <v>2.8000000000000001E-2</v>
      </c>
      <c r="P97" s="166">
        <v>5.57E-2</v>
      </c>
      <c r="R97" s="150">
        <v>975882</v>
      </c>
      <c r="S97" s="150">
        <v>1</v>
      </c>
      <c r="T97" s="150">
        <v>62.6</v>
      </c>
      <c r="U97" s="150">
        <v>610.90200000000004</v>
      </c>
      <c r="W97" s="4" t="s">
        <v>37</v>
      </c>
      <c r="X97" s="166">
        <v>5.8999999999999998E-5</v>
      </c>
      <c r="Y97" s="166">
        <v>4.1285081262137603E-3</v>
      </c>
      <c r="Z97" s="166">
        <v>1.9154043158981699E-3</v>
      </c>
    </row>
    <row r="98" spans="1:26">
      <c r="A98" s="4" t="s">
        <v>256</v>
      </c>
      <c r="B98" s="4">
        <v>556</v>
      </c>
      <c r="C98" s="4" t="s">
        <v>257</v>
      </c>
      <c r="D98" s="4" t="s">
        <v>258</v>
      </c>
      <c r="E98" s="4" t="s">
        <v>259</v>
      </c>
      <c r="F98" s="4" t="s">
        <v>260</v>
      </c>
      <c r="G98" s="4" t="s">
        <v>31</v>
      </c>
      <c r="H98" s="4" t="s">
        <v>31</v>
      </c>
      <c r="I98" s="4" t="s">
        <v>32</v>
      </c>
      <c r="J98" s="4" t="s">
        <v>33</v>
      </c>
      <c r="K98" s="4" t="s">
        <v>34</v>
      </c>
      <c r="L98" s="4" t="s">
        <v>35</v>
      </c>
      <c r="M98" s="150">
        <v>5.6040000000000001</v>
      </c>
      <c r="N98" s="4" t="s">
        <v>261</v>
      </c>
      <c r="O98" s="165">
        <v>4.3200000000000002E-2</v>
      </c>
      <c r="P98" s="166">
        <v>4.9509999999999998E-2</v>
      </c>
      <c r="R98" s="150">
        <v>141075</v>
      </c>
      <c r="S98" s="150">
        <v>1</v>
      </c>
      <c r="T98" s="150">
        <v>97.22</v>
      </c>
      <c r="U98" s="150">
        <v>137.15299999999999</v>
      </c>
      <c r="W98" s="4" t="s">
        <v>37</v>
      </c>
      <c r="X98" s="166">
        <v>3.9999999999999998E-6</v>
      </c>
      <c r="Y98" s="166">
        <v>9.2688782728463396E-4</v>
      </c>
      <c r="Z98" s="166">
        <v>4.3002578424440298E-4</v>
      </c>
    </row>
    <row r="99" spans="1:26">
      <c r="A99" s="4" t="s">
        <v>256</v>
      </c>
      <c r="B99" s="4">
        <v>556</v>
      </c>
      <c r="C99" s="4" t="s">
        <v>41</v>
      </c>
      <c r="D99" s="4" t="s">
        <v>262</v>
      </c>
      <c r="E99" s="4" t="s">
        <v>263</v>
      </c>
      <c r="F99" s="4" t="s">
        <v>44</v>
      </c>
      <c r="G99" s="4" t="s">
        <v>31</v>
      </c>
      <c r="H99" s="4" t="s">
        <v>31</v>
      </c>
      <c r="I99" s="4" t="s">
        <v>32</v>
      </c>
      <c r="J99" s="4" t="s">
        <v>33</v>
      </c>
      <c r="K99" s="4" t="s">
        <v>34</v>
      </c>
      <c r="L99" s="4" t="s">
        <v>35</v>
      </c>
      <c r="M99" s="150">
        <v>9.8770000000000007</v>
      </c>
      <c r="N99" s="4" t="s">
        <v>264</v>
      </c>
      <c r="O99" s="165">
        <v>0.04</v>
      </c>
      <c r="P99" s="166">
        <v>2.3189999999999999E-2</v>
      </c>
      <c r="R99" s="150">
        <v>330000</v>
      </c>
      <c r="S99" s="150">
        <v>1</v>
      </c>
      <c r="T99" s="150">
        <v>159.08000000000001</v>
      </c>
      <c r="U99" s="150">
        <v>524.96400000000006</v>
      </c>
      <c r="W99" s="4" t="s">
        <v>37</v>
      </c>
      <c r="X99" s="166">
        <v>2.0999999999999999E-5</v>
      </c>
      <c r="Y99" s="166">
        <v>3.5477337963680301E-3</v>
      </c>
      <c r="Z99" s="166">
        <v>1.64595646114256E-3</v>
      </c>
    </row>
    <row r="100" spans="1:26">
      <c r="A100" s="4" t="s">
        <v>256</v>
      </c>
      <c r="B100" s="4">
        <v>556</v>
      </c>
      <c r="C100" s="4" t="s">
        <v>94</v>
      </c>
      <c r="D100" s="4" t="s">
        <v>123</v>
      </c>
      <c r="E100" s="4" t="s">
        <v>124</v>
      </c>
      <c r="F100" s="4" t="s">
        <v>97</v>
      </c>
      <c r="G100" s="4" t="s">
        <v>31</v>
      </c>
      <c r="H100" s="4" t="s">
        <v>31</v>
      </c>
      <c r="I100" s="4" t="s">
        <v>32</v>
      </c>
      <c r="J100" s="4" t="s">
        <v>33</v>
      </c>
      <c r="K100" s="4" t="s">
        <v>34</v>
      </c>
      <c r="L100" s="4" t="s">
        <v>35</v>
      </c>
      <c r="M100" s="150">
        <v>11.5</v>
      </c>
      <c r="N100" s="4" t="s">
        <v>125</v>
      </c>
      <c r="O100" s="165">
        <v>5.5E-2</v>
      </c>
      <c r="P100" s="166">
        <v>5.3670000000000002E-2</v>
      </c>
      <c r="R100" s="150">
        <v>220000</v>
      </c>
      <c r="S100" s="150">
        <v>1</v>
      </c>
      <c r="T100" s="150">
        <v>104.09</v>
      </c>
      <c r="U100" s="150">
        <v>228.99799999999999</v>
      </c>
      <c r="W100" s="4" t="s">
        <v>37</v>
      </c>
      <c r="X100" s="166">
        <v>1.1E-5</v>
      </c>
      <c r="Y100" s="166">
        <v>1.5475802986503601E-3</v>
      </c>
      <c r="Z100" s="166">
        <v>7.1799349610396997E-4</v>
      </c>
    </row>
    <row r="101" spans="1:26">
      <c r="A101" s="4" t="s">
        <v>256</v>
      </c>
      <c r="B101" s="4">
        <v>556</v>
      </c>
      <c r="C101" s="4" t="s">
        <v>257</v>
      </c>
      <c r="D101" s="4" t="s">
        <v>265</v>
      </c>
      <c r="E101" s="4" t="s">
        <v>266</v>
      </c>
      <c r="F101" s="4" t="s">
        <v>260</v>
      </c>
      <c r="G101" s="4" t="s">
        <v>31</v>
      </c>
      <c r="H101" s="4" t="s">
        <v>31</v>
      </c>
      <c r="I101" s="4" t="s">
        <v>32</v>
      </c>
      <c r="J101" s="4" t="s">
        <v>33</v>
      </c>
      <c r="K101" s="4" t="s">
        <v>34</v>
      </c>
      <c r="L101" s="4" t="s">
        <v>35</v>
      </c>
      <c r="M101" s="150">
        <v>1.839</v>
      </c>
      <c r="N101" s="4" t="s">
        <v>267</v>
      </c>
      <c r="O101" s="165">
        <v>4.3200000000000002E-2</v>
      </c>
      <c r="P101" s="166">
        <v>4.6899999999999997E-2</v>
      </c>
      <c r="R101" s="150">
        <v>160000</v>
      </c>
      <c r="S101" s="150">
        <v>1</v>
      </c>
      <c r="T101" s="150">
        <v>99.64</v>
      </c>
      <c r="U101" s="150">
        <v>159.42400000000001</v>
      </c>
      <c r="W101" s="4" t="s">
        <v>37</v>
      </c>
      <c r="X101" s="166">
        <v>7.9999999999999996E-6</v>
      </c>
      <c r="Y101" s="166">
        <v>1.0773956171321801E-3</v>
      </c>
      <c r="Z101" s="166">
        <v>4.9985325253006302E-4</v>
      </c>
    </row>
    <row r="102" spans="1:26">
      <c r="A102" s="4" t="s">
        <v>256</v>
      </c>
      <c r="B102" s="4">
        <v>556</v>
      </c>
      <c r="C102" s="4" t="s">
        <v>41</v>
      </c>
      <c r="D102" s="4" t="s">
        <v>126</v>
      </c>
      <c r="E102" s="4" t="s">
        <v>127</v>
      </c>
      <c r="F102" s="4" t="s">
        <v>44</v>
      </c>
      <c r="G102" s="4" t="s">
        <v>31</v>
      </c>
      <c r="H102" s="4" t="s">
        <v>31</v>
      </c>
      <c r="I102" s="4" t="s">
        <v>32</v>
      </c>
      <c r="J102" s="4" t="s">
        <v>33</v>
      </c>
      <c r="K102" s="4" t="s">
        <v>34</v>
      </c>
      <c r="L102" s="4" t="s">
        <v>35</v>
      </c>
      <c r="M102" s="150">
        <v>4.8630000000000004</v>
      </c>
      <c r="N102" s="4" t="s">
        <v>128</v>
      </c>
      <c r="O102" s="165">
        <v>5.0000000000000001E-3</v>
      </c>
      <c r="P102" s="166">
        <v>1.9820000000000001E-2</v>
      </c>
      <c r="R102" s="150">
        <v>3708000</v>
      </c>
      <c r="S102" s="150">
        <v>1</v>
      </c>
      <c r="T102" s="150">
        <v>105.85</v>
      </c>
      <c r="U102" s="150">
        <v>3924.9180000000001</v>
      </c>
      <c r="W102" s="4" t="s">
        <v>37</v>
      </c>
      <c r="X102" s="166">
        <v>1.54E-4</v>
      </c>
      <c r="Y102" s="166">
        <v>2.6524798341549499E-2</v>
      </c>
      <c r="Z102" s="166">
        <v>1.2306070781148299E-2</v>
      </c>
    </row>
    <row r="103" spans="1:26">
      <c r="A103" s="4" t="s">
        <v>256</v>
      </c>
      <c r="B103" s="4">
        <v>556</v>
      </c>
      <c r="C103" s="4" t="s">
        <v>41</v>
      </c>
      <c r="D103" s="4" t="s">
        <v>129</v>
      </c>
      <c r="E103" s="4" t="s">
        <v>130</v>
      </c>
      <c r="F103" s="4" t="s">
        <v>44</v>
      </c>
      <c r="G103" s="4" t="s">
        <v>31</v>
      </c>
      <c r="H103" s="4" t="s">
        <v>31</v>
      </c>
      <c r="I103" s="4" t="s">
        <v>32</v>
      </c>
      <c r="J103" s="4" t="s">
        <v>33</v>
      </c>
      <c r="K103" s="4" t="s">
        <v>34</v>
      </c>
      <c r="L103" s="4" t="s">
        <v>35</v>
      </c>
      <c r="M103" s="150">
        <v>2.0760000000000001</v>
      </c>
      <c r="N103" s="4" t="s">
        <v>131</v>
      </c>
      <c r="O103" s="165">
        <v>1E-3</v>
      </c>
      <c r="P103" s="166">
        <v>1.618E-2</v>
      </c>
      <c r="R103" s="150">
        <v>3843000</v>
      </c>
      <c r="S103" s="150">
        <v>1</v>
      </c>
      <c r="T103" s="150">
        <v>110.2</v>
      </c>
      <c r="U103" s="150">
        <v>4234.9859999999999</v>
      </c>
      <c r="W103" s="4" t="s">
        <v>37</v>
      </c>
      <c r="X103" s="166">
        <v>1.9000000000000001E-4</v>
      </c>
      <c r="Y103" s="166">
        <v>2.8620253882828999E-2</v>
      </c>
      <c r="Z103" s="166">
        <v>1.32782487361958E-2</v>
      </c>
    </row>
    <row r="104" spans="1:26">
      <c r="A104" s="4" t="s">
        <v>256</v>
      </c>
      <c r="B104" s="4">
        <v>556</v>
      </c>
      <c r="C104" s="4" t="s">
        <v>41</v>
      </c>
      <c r="D104" s="4" t="s">
        <v>132</v>
      </c>
      <c r="E104" s="4" t="s">
        <v>133</v>
      </c>
      <c r="F104" s="4" t="s">
        <v>44</v>
      </c>
      <c r="G104" s="4" t="s">
        <v>31</v>
      </c>
      <c r="H104" s="4" t="s">
        <v>31</v>
      </c>
      <c r="I104" s="4" t="s">
        <v>32</v>
      </c>
      <c r="J104" s="4" t="s">
        <v>33</v>
      </c>
      <c r="K104" s="4" t="s">
        <v>34</v>
      </c>
      <c r="L104" s="4" t="s">
        <v>35</v>
      </c>
      <c r="M104" s="150">
        <v>4.2240000000000002</v>
      </c>
      <c r="N104" s="4" t="s">
        <v>134</v>
      </c>
      <c r="O104" s="165">
        <v>1.0999999999999999E-2</v>
      </c>
      <c r="P104" s="166">
        <v>1.9290000000000002E-2</v>
      </c>
      <c r="R104" s="150">
        <v>4445000</v>
      </c>
      <c r="S104" s="150">
        <v>1</v>
      </c>
      <c r="T104" s="150">
        <v>99.98</v>
      </c>
      <c r="U104" s="150">
        <v>4444.1109999999999</v>
      </c>
      <c r="W104" s="4" t="s">
        <v>37</v>
      </c>
      <c r="X104" s="166">
        <v>2.8299999999999999E-4</v>
      </c>
      <c r="Y104" s="166">
        <v>3.0033531422175502E-2</v>
      </c>
      <c r="Z104" s="166">
        <v>1.3933933021092399E-2</v>
      </c>
    </row>
    <row r="105" spans="1:26">
      <c r="A105" s="4" t="s">
        <v>256</v>
      </c>
      <c r="B105" s="4">
        <v>556</v>
      </c>
      <c r="C105" s="4" t="s">
        <v>41</v>
      </c>
      <c r="D105" s="4" t="s">
        <v>135</v>
      </c>
      <c r="E105" s="4" t="s">
        <v>136</v>
      </c>
      <c r="F105" s="4" t="s">
        <v>44</v>
      </c>
      <c r="G105" s="4" t="s">
        <v>31</v>
      </c>
      <c r="H105" s="4" t="s">
        <v>31</v>
      </c>
      <c r="I105" s="4" t="s">
        <v>50</v>
      </c>
      <c r="J105" s="4" t="s">
        <v>33</v>
      </c>
      <c r="K105" s="4" t="s">
        <v>34</v>
      </c>
      <c r="L105" s="4" t="s">
        <v>35</v>
      </c>
      <c r="M105" s="150">
        <v>8.6769999999999996</v>
      </c>
      <c r="N105" s="4" t="s">
        <v>137</v>
      </c>
      <c r="O105" s="165">
        <v>1.6E-2</v>
      </c>
      <c r="P105" s="166">
        <v>2.307E-2</v>
      </c>
      <c r="R105" s="150">
        <v>390000</v>
      </c>
      <c r="S105" s="150">
        <v>1</v>
      </c>
      <c r="T105" s="150">
        <v>96.6</v>
      </c>
      <c r="U105" s="150">
        <v>376.74</v>
      </c>
      <c r="W105" s="4" t="s">
        <v>37</v>
      </c>
      <c r="X105" s="166">
        <v>6.7000000000000002E-5</v>
      </c>
      <c r="Y105" s="166">
        <v>2.5460283570753299E-3</v>
      </c>
      <c r="Z105" s="166">
        <v>1.18121935441449E-3</v>
      </c>
    </row>
    <row r="106" spans="1:26">
      <c r="A106" s="4" t="s">
        <v>256</v>
      </c>
      <c r="B106" s="4">
        <v>556</v>
      </c>
      <c r="C106" s="4" t="s">
        <v>27</v>
      </c>
      <c r="D106" s="4" t="s">
        <v>138</v>
      </c>
      <c r="E106" s="4" t="s">
        <v>139</v>
      </c>
      <c r="F106" s="4" t="s">
        <v>30</v>
      </c>
      <c r="G106" s="4" t="s">
        <v>31</v>
      </c>
      <c r="H106" s="4" t="s">
        <v>31</v>
      </c>
      <c r="I106" s="4" t="s">
        <v>50</v>
      </c>
      <c r="J106" s="4" t="s">
        <v>33</v>
      </c>
      <c r="K106" s="4" t="s">
        <v>34</v>
      </c>
      <c r="L106" s="4" t="s">
        <v>35</v>
      </c>
      <c r="M106" s="150">
        <v>0.66</v>
      </c>
      <c r="N106" s="4" t="s">
        <v>140</v>
      </c>
      <c r="O106" s="165">
        <v>0</v>
      </c>
      <c r="P106" s="166">
        <v>4.428E-2</v>
      </c>
      <c r="R106" s="150">
        <v>5385000</v>
      </c>
      <c r="S106" s="150">
        <v>1</v>
      </c>
      <c r="T106" s="150">
        <v>97.14</v>
      </c>
      <c r="U106" s="150">
        <v>5230.9889999999996</v>
      </c>
      <c r="W106" s="4" t="s">
        <v>37</v>
      </c>
      <c r="X106" s="166">
        <v>6.7199999999999996E-4</v>
      </c>
      <c r="Y106" s="166">
        <v>3.5351293543422799E-2</v>
      </c>
      <c r="Z106" s="166">
        <v>1.6401086822554801E-2</v>
      </c>
    </row>
    <row r="107" spans="1:26">
      <c r="A107" s="4" t="s">
        <v>256</v>
      </c>
      <c r="B107" s="4">
        <v>556</v>
      </c>
      <c r="C107" s="4" t="s">
        <v>94</v>
      </c>
      <c r="D107" s="4" t="s">
        <v>141</v>
      </c>
      <c r="E107" s="4" t="s">
        <v>142</v>
      </c>
      <c r="F107" s="4" t="s">
        <v>97</v>
      </c>
      <c r="G107" s="4" t="s">
        <v>31</v>
      </c>
      <c r="H107" s="4" t="s">
        <v>31</v>
      </c>
      <c r="I107" s="4" t="s">
        <v>32</v>
      </c>
      <c r="J107" s="4" t="s">
        <v>33</v>
      </c>
      <c r="K107" s="4" t="s">
        <v>34</v>
      </c>
      <c r="L107" s="4" t="s">
        <v>35</v>
      </c>
      <c r="M107" s="150">
        <v>0.82699999999999996</v>
      </c>
      <c r="N107" s="4" t="s">
        <v>143</v>
      </c>
      <c r="O107" s="165">
        <v>5.0000000000000001E-3</v>
      </c>
      <c r="P107" s="166">
        <v>3.8719999999999997E-2</v>
      </c>
      <c r="R107" s="150">
        <v>9143000</v>
      </c>
      <c r="S107" s="150">
        <v>1</v>
      </c>
      <c r="T107" s="150">
        <v>97.25</v>
      </c>
      <c r="U107" s="150">
        <v>8891.5669999999991</v>
      </c>
      <c r="W107" s="4" t="s">
        <v>37</v>
      </c>
      <c r="X107" s="166">
        <v>3.8999999999999999E-4</v>
      </c>
      <c r="Y107" s="166">
        <v>6.0089671905954697E-2</v>
      </c>
      <c r="Z107" s="166">
        <v>2.7878355423057999E-2</v>
      </c>
    </row>
    <row r="108" spans="1:26">
      <c r="A108" s="4" t="s">
        <v>256</v>
      </c>
      <c r="B108" s="4">
        <v>556</v>
      </c>
      <c r="C108" s="4" t="s">
        <v>94</v>
      </c>
      <c r="D108" s="4" t="s">
        <v>144</v>
      </c>
      <c r="E108" s="4" t="s">
        <v>145</v>
      </c>
      <c r="F108" s="4" t="s">
        <v>97</v>
      </c>
      <c r="G108" s="4" t="s">
        <v>31</v>
      </c>
      <c r="H108" s="4" t="s">
        <v>31</v>
      </c>
      <c r="I108" s="4" t="s">
        <v>32</v>
      </c>
      <c r="J108" s="4" t="s">
        <v>33</v>
      </c>
      <c r="K108" s="4" t="s">
        <v>34</v>
      </c>
      <c r="L108" s="4" t="s">
        <v>35</v>
      </c>
      <c r="M108" s="150">
        <v>11.494</v>
      </c>
      <c r="N108" s="4" t="s">
        <v>146</v>
      </c>
      <c r="O108" s="165">
        <v>1.4999999999999999E-2</v>
      </c>
      <c r="P108" s="166">
        <v>5.2260000000000001E-2</v>
      </c>
      <c r="R108" s="150">
        <v>7129141</v>
      </c>
      <c r="S108" s="150">
        <v>1</v>
      </c>
      <c r="T108" s="150">
        <v>65.83</v>
      </c>
      <c r="U108" s="150">
        <v>4693.1139999999996</v>
      </c>
      <c r="W108" s="4" t="s">
        <v>37</v>
      </c>
      <c r="X108" s="166">
        <v>2.2599999999999999E-4</v>
      </c>
      <c r="Y108" s="166">
        <v>3.1716303301102602E-2</v>
      </c>
      <c r="Z108" s="166">
        <v>1.47146480932279E-2</v>
      </c>
    </row>
    <row r="109" spans="1:26">
      <c r="A109" s="4" t="s">
        <v>256</v>
      </c>
      <c r="B109" s="4">
        <v>556</v>
      </c>
      <c r="C109" s="4" t="s">
        <v>94</v>
      </c>
      <c r="D109" s="4" t="s">
        <v>147</v>
      </c>
      <c r="E109" s="4" t="s">
        <v>148</v>
      </c>
      <c r="F109" s="4" t="s">
        <v>97</v>
      </c>
      <c r="G109" s="4" t="s">
        <v>31</v>
      </c>
      <c r="H109" s="4" t="s">
        <v>31</v>
      </c>
      <c r="I109" s="4" t="s">
        <v>32</v>
      </c>
      <c r="J109" s="4" t="s">
        <v>33</v>
      </c>
      <c r="K109" s="4" t="s">
        <v>34</v>
      </c>
      <c r="L109" s="4" t="s">
        <v>35</v>
      </c>
      <c r="M109" s="150">
        <v>5.5810000000000004</v>
      </c>
      <c r="N109" s="4" t="s">
        <v>149</v>
      </c>
      <c r="O109" s="165">
        <v>0.01</v>
      </c>
      <c r="P109" s="166">
        <v>4.777E-2</v>
      </c>
      <c r="R109" s="150">
        <v>250000</v>
      </c>
      <c r="S109" s="150">
        <v>1</v>
      </c>
      <c r="T109" s="150">
        <v>81.73</v>
      </c>
      <c r="U109" s="150">
        <v>204.32499999999999</v>
      </c>
      <c r="W109" s="4" t="s">
        <v>37</v>
      </c>
      <c r="X109" s="166">
        <v>6.9999999999999999E-6</v>
      </c>
      <c r="Y109" s="166">
        <v>1.38083889170095E-3</v>
      </c>
      <c r="Z109" s="166">
        <v>6.4063450812427904E-4</v>
      </c>
    </row>
    <row r="110" spans="1:26">
      <c r="A110" s="4" t="s">
        <v>256</v>
      </c>
      <c r="B110" s="4">
        <v>556</v>
      </c>
      <c r="C110" s="4" t="s">
        <v>94</v>
      </c>
      <c r="D110" s="4" t="s">
        <v>268</v>
      </c>
      <c r="E110" s="4" t="s">
        <v>269</v>
      </c>
      <c r="F110" s="4" t="s">
        <v>97</v>
      </c>
      <c r="G110" s="4" t="s">
        <v>31</v>
      </c>
      <c r="H110" s="4" t="s">
        <v>31</v>
      </c>
      <c r="I110" s="4" t="s">
        <v>32</v>
      </c>
      <c r="J110" s="4" t="s">
        <v>33</v>
      </c>
      <c r="K110" s="4" t="s">
        <v>34</v>
      </c>
      <c r="L110" s="4" t="s">
        <v>35</v>
      </c>
      <c r="M110" s="150">
        <v>7.4189999999999996</v>
      </c>
      <c r="N110" s="4" t="s">
        <v>270</v>
      </c>
      <c r="O110" s="165">
        <v>1.2999999999999999E-2</v>
      </c>
      <c r="P110" s="166">
        <v>4.9180000000000001E-2</v>
      </c>
      <c r="R110" s="150">
        <v>480000</v>
      </c>
      <c r="S110" s="150">
        <v>1</v>
      </c>
      <c r="T110" s="150">
        <v>77.260000000000005</v>
      </c>
      <c r="U110" s="150">
        <v>370.84800000000001</v>
      </c>
      <c r="W110" s="4" t="s">
        <v>37</v>
      </c>
      <c r="X110" s="166">
        <v>1.5999999999999999E-5</v>
      </c>
      <c r="Y110" s="166">
        <v>2.50620991709049E-3</v>
      </c>
      <c r="Z110" s="166">
        <v>1.16274575342651E-3</v>
      </c>
    </row>
    <row r="111" spans="1:26">
      <c r="A111" s="4" t="s">
        <v>256</v>
      </c>
      <c r="B111" s="4">
        <v>556</v>
      </c>
      <c r="C111" s="4" t="s">
        <v>41</v>
      </c>
      <c r="D111" s="4" t="s">
        <v>42</v>
      </c>
      <c r="E111" s="4" t="s">
        <v>43</v>
      </c>
      <c r="F111" s="4" t="s">
        <v>44</v>
      </c>
      <c r="G111" s="4" t="s">
        <v>31</v>
      </c>
      <c r="H111" s="4" t="s">
        <v>31</v>
      </c>
      <c r="I111" s="4" t="s">
        <v>32</v>
      </c>
      <c r="J111" s="4" t="s">
        <v>33</v>
      </c>
      <c r="K111" s="4" t="s">
        <v>34</v>
      </c>
      <c r="L111" s="4" t="s">
        <v>35</v>
      </c>
      <c r="M111" s="150">
        <v>7.9000000000000001E-2</v>
      </c>
      <c r="N111" s="4" t="s">
        <v>45</v>
      </c>
      <c r="O111" s="165">
        <v>0.04</v>
      </c>
      <c r="P111" s="166">
        <v>4.7849999999999997E-2</v>
      </c>
      <c r="R111" s="150">
        <v>2000000</v>
      </c>
      <c r="S111" s="150">
        <v>1</v>
      </c>
      <c r="T111" s="150">
        <v>145.32</v>
      </c>
      <c r="U111" s="150">
        <v>2906.4</v>
      </c>
      <c r="W111" s="4" t="s">
        <v>37</v>
      </c>
      <c r="X111" s="166">
        <v>5.3799999999999996E-4</v>
      </c>
      <c r="Y111" s="166">
        <v>1.9641601149343602E-2</v>
      </c>
      <c r="Z111" s="166">
        <v>9.1126398356168106E-3</v>
      </c>
    </row>
    <row r="112" spans="1:26">
      <c r="A112" s="4" t="s">
        <v>256</v>
      </c>
      <c r="B112" s="4">
        <v>556</v>
      </c>
      <c r="C112" s="4" t="s">
        <v>46</v>
      </c>
      <c r="D112" s="4" t="s">
        <v>61</v>
      </c>
      <c r="E112" s="4" t="s">
        <v>62</v>
      </c>
      <c r="F112" s="4" t="s">
        <v>49</v>
      </c>
      <c r="G112" s="4" t="s">
        <v>31</v>
      </c>
      <c r="H112" s="4" t="s">
        <v>31</v>
      </c>
      <c r="I112" s="4" t="s">
        <v>32</v>
      </c>
      <c r="J112" s="4" t="s">
        <v>33</v>
      </c>
      <c r="K112" s="4" t="s">
        <v>34</v>
      </c>
      <c r="L112" s="4" t="s">
        <v>35</v>
      </c>
      <c r="M112" s="150">
        <v>0.42499999999999999</v>
      </c>
      <c r="N112" s="4" t="s">
        <v>63</v>
      </c>
      <c r="O112" s="165">
        <v>0</v>
      </c>
      <c r="P112" s="166">
        <v>4.3450000000000003E-2</v>
      </c>
      <c r="R112" s="150">
        <v>1800000</v>
      </c>
      <c r="S112" s="150">
        <v>1</v>
      </c>
      <c r="T112" s="150">
        <v>98.21</v>
      </c>
      <c r="U112" s="150">
        <v>1767.78</v>
      </c>
      <c r="W112" s="4" t="s">
        <v>37</v>
      </c>
      <c r="X112" s="166">
        <v>1.2899999999999999E-4</v>
      </c>
      <c r="Y112" s="166">
        <v>1.1946748444738101E-2</v>
      </c>
      <c r="Z112" s="166">
        <v>5.5426446630218399E-3</v>
      </c>
    </row>
    <row r="113" spans="1:26">
      <c r="A113" s="4" t="s">
        <v>256</v>
      </c>
      <c r="B113" s="4">
        <v>556</v>
      </c>
      <c r="C113" s="4" t="s">
        <v>46</v>
      </c>
      <c r="D113" s="4" t="s">
        <v>76</v>
      </c>
      <c r="E113" s="4" t="s">
        <v>77</v>
      </c>
      <c r="F113" s="4" t="s">
        <v>49</v>
      </c>
      <c r="G113" s="4" t="s">
        <v>31</v>
      </c>
      <c r="H113" s="4" t="s">
        <v>31</v>
      </c>
      <c r="I113" s="4" t="s">
        <v>32</v>
      </c>
      <c r="J113" s="4" t="s">
        <v>33</v>
      </c>
      <c r="K113" s="4" t="s">
        <v>34</v>
      </c>
      <c r="L113" s="4" t="s">
        <v>35</v>
      </c>
      <c r="M113" s="150">
        <v>3.0000000000000001E-3</v>
      </c>
      <c r="N113" s="4" t="s">
        <v>78</v>
      </c>
      <c r="O113" s="165">
        <v>0</v>
      </c>
      <c r="P113" s="166">
        <v>0.11574</v>
      </c>
      <c r="R113" s="150">
        <v>600000</v>
      </c>
      <c r="S113" s="150">
        <v>1</v>
      </c>
      <c r="T113" s="150">
        <v>99.97</v>
      </c>
      <c r="U113" s="150">
        <v>599.82000000000005</v>
      </c>
      <c r="W113" s="4" t="s">
        <v>37</v>
      </c>
      <c r="X113" s="166">
        <v>1.4E-5</v>
      </c>
      <c r="Y113" s="166">
        <v>4.0536145063994299E-3</v>
      </c>
      <c r="Z113" s="166">
        <v>1.8806577299063001E-3</v>
      </c>
    </row>
    <row r="114" spans="1:26">
      <c r="A114" s="4" t="s">
        <v>256</v>
      </c>
      <c r="B114" s="4">
        <v>556</v>
      </c>
      <c r="C114" s="4" t="s">
        <v>46</v>
      </c>
      <c r="D114" s="4" t="s">
        <v>82</v>
      </c>
      <c r="E114" s="4" t="s">
        <v>83</v>
      </c>
      <c r="F114" s="4" t="s">
        <v>49</v>
      </c>
      <c r="G114" s="4" t="s">
        <v>31</v>
      </c>
      <c r="H114" s="4" t="s">
        <v>31</v>
      </c>
      <c r="I114" s="4" t="s">
        <v>32</v>
      </c>
      <c r="J114" s="4" t="s">
        <v>33</v>
      </c>
      <c r="K114" s="4" t="s">
        <v>34</v>
      </c>
      <c r="L114" s="4" t="s">
        <v>35</v>
      </c>
      <c r="M114" s="150">
        <v>0.17499999999999999</v>
      </c>
      <c r="N114" s="4" t="s">
        <v>84</v>
      </c>
      <c r="O114" s="165">
        <v>0</v>
      </c>
      <c r="P114" s="166">
        <v>4.3270000000000003E-2</v>
      </c>
      <c r="R114" s="150">
        <v>300000</v>
      </c>
      <c r="S114" s="150">
        <v>1</v>
      </c>
      <c r="T114" s="150">
        <v>99.26</v>
      </c>
      <c r="U114" s="150">
        <v>297.77999999999997</v>
      </c>
      <c r="W114" s="4" t="s">
        <v>37</v>
      </c>
      <c r="X114" s="166">
        <v>6.9999999999999999E-6</v>
      </c>
      <c r="Y114" s="166">
        <v>2.0124126033070301E-3</v>
      </c>
      <c r="Z114" s="166">
        <v>9.3365052651044999E-4</v>
      </c>
    </row>
    <row r="115" spans="1:26">
      <c r="A115" s="4" t="s">
        <v>256</v>
      </c>
      <c r="B115" s="4">
        <v>556</v>
      </c>
      <c r="C115" s="4" t="s">
        <v>41</v>
      </c>
      <c r="D115" s="4" t="s">
        <v>85</v>
      </c>
      <c r="E115" s="4" t="s">
        <v>86</v>
      </c>
      <c r="F115" s="4" t="s">
        <v>44</v>
      </c>
      <c r="G115" s="4" t="s">
        <v>31</v>
      </c>
      <c r="H115" s="4" t="s">
        <v>31</v>
      </c>
      <c r="I115" s="4" t="s">
        <v>32</v>
      </c>
      <c r="J115" s="4" t="s">
        <v>33</v>
      </c>
      <c r="K115" s="4" t="s">
        <v>34</v>
      </c>
      <c r="L115" s="4" t="s">
        <v>35</v>
      </c>
      <c r="M115" s="150">
        <v>2.89</v>
      </c>
      <c r="N115" s="4" t="s">
        <v>87</v>
      </c>
      <c r="O115" s="165">
        <v>7.4999999999999997E-3</v>
      </c>
      <c r="P115" s="166">
        <v>1.7010000000000001E-2</v>
      </c>
      <c r="R115" s="150">
        <v>5000000</v>
      </c>
      <c r="S115" s="150">
        <v>1</v>
      </c>
      <c r="T115" s="150">
        <v>111.66</v>
      </c>
      <c r="U115" s="150">
        <v>5583</v>
      </c>
      <c r="W115" s="4" t="s">
        <v>37</v>
      </c>
      <c r="X115" s="166">
        <v>2.24E-4</v>
      </c>
      <c r="Y115" s="166">
        <v>3.7730202042659498E-2</v>
      </c>
      <c r="Z115" s="166">
        <v>1.75047716082606E-2</v>
      </c>
    </row>
    <row r="116" spans="1:26">
      <c r="A116" s="4" t="s">
        <v>256</v>
      </c>
      <c r="B116" s="4">
        <v>556</v>
      </c>
      <c r="C116" s="4" t="s">
        <v>41</v>
      </c>
      <c r="D116" s="4" t="s">
        <v>88</v>
      </c>
      <c r="E116" s="4" t="s">
        <v>89</v>
      </c>
      <c r="F116" s="4" t="s">
        <v>44</v>
      </c>
      <c r="G116" s="4" t="s">
        <v>31</v>
      </c>
      <c r="H116" s="4" t="s">
        <v>31</v>
      </c>
      <c r="I116" s="4" t="s">
        <v>32</v>
      </c>
      <c r="J116" s="4" t="s">
        <v>33</v>
      </c>
      <c r="K116" s="4" t="s">
        <v>34</v>
      </c>
      <c r="L116" s="4" t="s">
        <v>35</v>
      </c>
      <c r="M116" s="150">
        <v>1.3240000000000001</v>
      </c>
      <c r="N116" s="4" t="s">
        <v>90</v>
      </c>
      <c r="O116" s="165">
        <v>7.4999999999999997E-3</v>
      </c>
      <c r="P116" s="166">
        <v>1.508E-2</v>
      </c>
      <c r="R116" s="150">
        <v>2000000</v>
      </c>
      <c r="S116" s="150">
        <v>1</v>
      </c>
      <c r="T116" s="150">
        <v>113.49</v>
      </c>
      <c r="U116" s="150">
        <v>2269.8000000000002</v>
      </c>
      <c r="W116" s="4" t="s">
        <v>37</v>
      </c>
      <c r="X116" s="166">
        <v>9.2E-5</v>
      </c>
      <c r="Y116" s="166">
        <v>1.53394255053607E-2</v>
      </c>
      <c r="Z116" s="166">
        <v>7.1166631911928997E-3</v>
      </c>
    </row>
    <row r="117" spans="1:26">
      <c r="A117" s="4" t="s">
        <v>256</v>
      </c>
      <c r="B117" s="4">
        <v>556</v>
      </c>
      <c r="C117" s="4" t="s">
        <v>94</v>
      </c>
      <c r="D117" s="4" t="s">
        <v>95</v>
      </c>
      <c r="E117" s="4" t="s">
        <v>96</v>
      </c>
      <c r="F117" s="4" t="s">
        <v>97</v>
      </c>
      <c r="G117" s="4" t="s">
        <v>31</v>
      </c>
      <c r="H117" s="4" t="s">
        <v>31</v>
      </c>
      <c r="I117" s="4" t="s">
        <v>32</v>
      </c>
      <c r="J117" s="4" t="s">
        <v>33</v>
      </c>
      <c r="K117" s="4" t="s">
        <v>34</v>
      </c>
      <c r="L117" s="4" t="s">
        <v>35</v>
      </c>
      <c r="M117" s="150">
        <v>4.0140000000000002</v>
      </c>
      <c r="N117" s="4" t="s">
        <v>98</v>
      </c>
      <c r="O117" s="165">
        <v>2.2499999999999999E-2</v>
      </c>
      <c r="P117" s="166">
        <v>4.6309999999999997E-2</v>
      </c>
      <c r="R117" s="150">
        <v>2000000</v>
      </c>
      <c r="S117" s="150">
        <v>1</v>
      </c>
      <c r="T117" s="150">
        <v>92.73</v>
      </c>
      <c r="U117" s="150">
        <v>1854.6</v>
      </c>
      <c r="W117" s="4" t="s">
        <v>37</v>
      </c>
      <c r="X117" s="166">
        <v>6.6000000000000005E-5</v>
      </c>
      <c r="Y117" s="166">
        <v>1.25334824840259E-2</v>
      </c>
      <c r="Z117" s="166">
        <v>5.81485750039049E-3</v>
      </c>
    </row>
    <row r="118" spans="1:26">
      <c r="A118" s="4" t="s">
        <v>256</v>
      </c>
      <c r="B118" s="4">
        <v>556</v>
      </c>
      <c r="C118" s="4" t="s">
        <v>94</v>
      </c>
      <c r="D118" s="4" t="s">
        <v>108</v>
      </c>
      <c r="E118" s="4" t="s">
        <v>109</v>
      </c>
      <c r="F118" s="4" t="s">
        <v>97</v>
      </c>
      <c r="G118" s="4" t="s">
        <v>31</v>
      </c>
      <c r="H118" s="4" t="s">
        <v>31</v>
      </c>
      <c r="I118" s="4" t="s">
        <v>32</v>
      </c>
      <c r="J118" s="4" t="s">
        <v>33</v>
      </c>
      <c r="K118" s="4" t="s">
        <v>34</v>
      </c>
      <c r="L118" s="4" t="s">
        <v>35</v>
      </c>
      <c r="M118" s="150">
        <v>2.6840000000000002</v>
      </c>
      <c r="N118" s="4" t="s">
        <v>110</v>
      </c>
      <c r="O118" s="165">
        <v>0.02</v>
      </c>
      <c r="P118" s="166">
        <v>4.487E-2</v>
      </c>
      <c r="R118" s="150">
        <v>400000</v>
      </c>
      <c r="S118" s="150">
        <v>1</v>
      </c>
      <c r="T118" s="150">
        <v>94.2</v>
      </c>
      <c r="U118" s="150">
        <v>376.8</v>
      </c>
      <c r="W118" s="4" t="s">
        <v>37</v>
      </c>
      <c r="X118" s="166">
        <v>1.5E-5</v>
      </c>
      <c r="Y118" s="166">
        <v>2.5464338401708902E-3</v>
      </c>
      <c r="Z118" s="166">
        <v>1.1814074766241401E-3</v>
      </c>
    </row>
    <row r="119" spans="1:26">
      <c r="A119" s="4" t="s">
        <v>256</v>
      </c>
      <c r="B119" s="4">
        <v>556</v>
      </c>
      <c r="C119" s="4" t="s">
        <v>41</v>
      </c>
      <c r="D119" s="4" t="s">
        <v>262</v>
      </c>
      <c r="E119" s="4" t="s">
        <v>263</v>
      </c>
      <c r="F119" s="4" t="s">
        <v>44</v>
      </c>
      <c r="G119" s="4" t="s">
        <v>31</v>
      </c>
      <c r="H119" s="4" t="s">
        <v>31</v>
      </c>
      <c r="I119" s="4" t="s">
        <v>32</v>
      </c>
      <c r="J119" s="4" t="s">
        <v>33</v>
      </c>
      <c r="K119" s="4" t="s">
        <v>34</v>
      </c>
      <c r="L119" s="4" t="s">
        <v>35</v>
      </c>
      <c r="M119" s="150">
        <v>9.8770000000000007</v>
      </c>
      <c r="N119" s="4" t="s">
        <v>264</v>
      </c>
      <c r="O119" s="165">
        <v>0.04</v>
      </c>
      <c r="P119" s="166">
        <v>2.3189999999999999E-2</v>
      </c>
      <c r="R119" s="150">
        <v>1000000</v>
      </c>
      <c r="S119" s="150">
        <v>1</v>
      </c>
      <c r="T119" s="150">
        <v>159.08000000000001</v>
      </c>
      <c r="U119" s="150">
        <v>1590.8</v>
      </c>
      <c r="W119" s="4" t="s">
        <v>37</v>
      </c>
      <c r="X119" s="166">
        <v>6.3E-5</v>
      </c>
      <c r="Y119" s="166">
        <v>1.0750708473842499E-2</v>
      </c>
      <c r="Z119" s="166">
        <v>4.9877468519471599E-3</v>
      </c>
    </row>
    <row r="120" spans="1:26">
      <c r="A120" s="4" t="s">
        <v>256</v>
      </c>
      <c r="B120" s="4">
        <v>556</v>
      </c>
      <c r="C120" s="4" t="s">
        <v>94</v>
      </c>
      <c r="D120" s="4" t="s">
        <v>141</v>
      </c>
      <c r="E120" s="4" t="s">
        <v>142</v>
      </c>
      <c r="F120" s="4" t="s">
        <v>97</v>
      </c>
      <c r="G120" s="4" t="s">
        <v>31</v>
      </c>
      <c r="H120" s="4" t="s">
        <v>31</v>
      </c>
      <c r="I120" s="4" t="s">
        <v>32</v>
      </c>
      <c r="J120" s="4" t="s">
        <v>33</v>
      </c>
      <c r="K120" s="4" t="s">
        <v>34</v>
      </c>
      <c r="L120" s="4" t="s">
        <v>35</v>
      </c>
      <c r="M120" s="150">
        <v>0.82699999999999996</v>
      </c>
      <c r="N120" s="4" t="s">
        <v>143</v>
      </c>
      <c r="O120" s="165">
        <v>5.0000000000000001E-3</v>
      </c>
      <c r="P120" s="166">
        <v>3.8719999999999997E-2</v>
      </c>
      <c r="R120" s="150">
        <v>2988000</v>
      </c>
      <c r="S120" s="150">
        <v>1</v>
      </c>
      <c r="T120" s="150">
        <v>97.25</v>
      </c>
      <c r="U120" s="150">
        <v>2905.83</v>
      </c>
      <c r="W120" s="4" t="s">
        <v>37</v>
      </c>
      <c r="X120" s="166">
        <v>1.27E-4</v>
      </c>
      <c r="Y120" s="166">
        <v>1.9637749059935702E-2</v>
      </c>
      <c r="Z120" s="166">
        <v>9.1108526746250997E-3</v>
      </c>
    </row>
    <row r="121" spans="1:26">
      <c r="A121" s="4" t="s">
        <v>256</v>
      </c>
      <c r="B121" s="4">
        <v>556</v>
      </c>
      <c r="C121" s="4" t="s">
        <v>150</v>
      </c>
      <c r="D121" s="4" t="s">
        <v>151</v>
      </c>
      <c r="E121" s="4" t="s">
        <v>152</v>
      </c>
      <c r="F121" s="4" t="s">
        <v>153</v>
      </c>
      <c r="G121" s="4" t="s">
        <v>154</v>
      </c>
      <c r="H121" s="4" t="s">
        <v>155</v>
      </c>
      <c r="I121" s="4" t="s">
        <v>156</v>
      </c>
      <c r="J121" s="4" t="s">
        <v>157</v>
      </c>
      <c r="K121" s="4" t="s">
        <v>158</v>
      </c>
      <c r="L121" s="4" t="s">
        <v>159</v>
      </c>
      <c r="M121" s="150">
        <v>0</v>
      </c>
      <c r="N121" s="4" t="s">
        <v>160</v>
      </c>
      <c r="O121" s="165">
        <v>0</v>
      </c>
      <c r="P121" s="166">
        <v>0</v>
      </c>
      <c r="R121" s="150">
        <v>140000</v>
      </c>
      <c r="S121" s="150">
        <v>3.7589999999999999</v>
      </c>
      <c r="T121" s="150">
        <v>97.775000000000006</v>
      </c>
      <c r="U121" s="150">
        <v>514.54999999999995</v>
      </c>
      <c r="W121" s="4" t="s">
        <v>37</v>
      </c>
      <c r="X121" s="166">
        <v>1.9999999999999999E-6</v>
      </c>
      <c r="Y121" s="166">
        <v>3.4773531661029299E-3</v>
      </c>
      <c r="Z121" s="166">
        <v>1.6133036580369001E-3</v>
      </c>
    </row>
    <row r="122" spans="1:26">
      <c r="A122" s="4" t="s">
        <v>256</v>
      </c>
      <c r="B122" s="4">
        <v>556</v>
      </c>
      <c r="C122" s="4" t="s">
        <v>150</v>
      </c>
      <c r="D122" s="4" t="s">
        <v>161</v>
      </c>
      <c r="E122" s="4" t="s">
        <v>162</v>
      </c>
      <c r="F122" s="4" t="s">
        <v>153</v>
      </c>
      <c r="G122" s="4" t="s">
        <v>154</v>
      </c>
      <c r="H122" s="4" t="s">
        <v>155</v>
      </c>
      <c r="I122" s="4" t="s">
        <v>163</v>
      </c>
      <c r="J122" s="4" t="s">
        <v>157</v>
      </c>
      <c r="K122" s="4" t="s">
        <v>158</v>
      </c>
      <c r="L122" s="4" t="s">
        <v>159</v>
      </c>
      <c r="M122" s="150">
        <v>0</v>
      </c>
      <c r="N122" s="4" t="s">
        <v>164</v>
      </c>
      <c r="O122" s="165">
        <v>0</v>
      </c>
      <c r="P122" s="166">
        <v>0</v>
      </c>
      <c r="R122" s="150">
        <v>100000</v>
      </c>
      <c r="S122" s="150">
        <v>3.7589999999999999</v>
      </c>
      <c r="T122" s="150">
        <v>97.585999999999999</v>
      </c>
      <c r="U122" s="150">
        <v>366.82499999999999</v>
      </c>
      <c r="W122" s="4" t="s">
        <v>37</v>
      </c>
      <c r="X122" s="166">
        <v>9.9999999999999995E-7</v>
      </c>
      <c r="Y122" s="166">
        <v>2.47902242556136E-3</v>
      </c>
      <c r="Z122" s="166">
        <v>1.1501322288744601E-3</v>
      </c>
    </row>
    <row r="123" spans="1:26">
      <c r="A123" s="4" t="s">
        <v>256</v>
      </c>
      <c r="B123" s="4">
        <v>556</v>
      </c>
      <c r="C123" s="4" t="s">
        <v>171</v>
      </c>
      <c r="D123" s="4" t="s">
        <v>271</v>
      </c>
      <c r="E123" s="4" t="s">
        <v>272</v>
      </c>
      <c r="F123" s="4" t="s">
        <v>153</v>
      </c>
      <c r="G123" s="4" t="s">
        <v>154</v>
      </c>
      <c r="H123" s="4" t="s">
        <v>31</v>
      </c>
      <c r="I123" s="4" t="s">
        <v>156</v>
      </c>
      <c r="J123" s="4" t="s">
        <v>168</v>
      </c>
      <c r="K123" s="4" t="s">
        <v>158</v>
      </c>
      <c r="L123" s="4" t="s">
        <v>159</v>
      </c>
      <c r="M123" s="150">
        <v>4.96</v>
      </c>
      <c r="N123" s="4" t="s">
        <v>273</v>
      </c>
      <c r="O123" s="165">
        <v>3.2500000000000001E-2</v>
      </c>
      <c r="P123" s="166">
        <v>3.3739999999999999E-2</v>
      </c>
      <c r="R123" s="150">
        <v>400000</v>
      </c>
      <c r="S123" s="150">
        <v>3.7589999999999999</v>
      </c>
      <c r="T123" s="150">
        <v>93.296999999999997</v>
      </c>
      <c r="U123" s="150">
        <v>1402.807</v>
      </c>
      <c r="W123" s="4" t="s">
        <v>37</v>
      </c>
      <c r="X123" s="166">
        <v>4.0000000000000002E-4</v>
      </c>
      <c r="Y123" s="166">
        <v>9.4802421432659597E-3</v>
      </c>
      <c r="Z123" s="166">
        <v>4.3983192382921199E-3</v>
      </c>
    </row>
    <row r="124" spans="1:26">
      <c r="A124" s="4" t="s">
        <v>256</v>
      </c>
      <c r="B124" s="4">
        <v>556</v>
      </c>
      <c r="C124" s="4" t="s">
        <v>165</v>
      </c>
      <c r="D124" s="4" t="s">
        <v>166</v>
      </c>
      <c r="E124" s="4" t="s">
        <v>167</v>
      </c>
      <c r="F124" s="4" t="s">
        <v>153</v>
      </c>
      <c r="G124" s="4" t="s">
        <v>154</v>
      </c>
      <c r="H124" s="4" t="s">
        <v>31</v>
      </c>
      <c r="I124" s="4" t="s">
        <v>163</v>
      </c>
      <c r="J124" s="4" t="s">
        <v>168</v>
      </c>
      <c r="K124" s="4" t="s">
        <v>158</v>
      </c>
      <c r="L124" s="4" t="s">
        <v>169</v>
      </c>
      <c r="M124" s="150">
        <v>0</v>
      </c>
      <c r="N124" s="4" t="s">
        <v>170</v>
      </c>
      <c r="O124" s="165">
        <v>0.05</v>
      </c>
      <c r="P124" s="166">
        <v>0</v>
      </c>
      <c r="R124" s="150">
        <v>100000</v>
      </c>
      <c r="S124" s="150">
        <v>4.0199999999999996</v>
      </c>
      <c r="T124" s="150">
        <v>104.837</v>
      </c>
      <c r="U124" s="150">
        <v>421.464</v>
      </c>
      <c r="W124" s="4" t="s">
        <v>37</v>
      </c>
      <c r="X124" s="166">
        <v>0</v>
      </c>
      <c r="Y124" s="166">
        <v>2.8482748616595502E-3</v>
      </c>
      <c r="Z124" s="166">
        <v>1.32144537351081E-3</v>
      </c>
    </row>
    <row r="125" spans="1:26">
      <c r="A125" s="4" t="s">
        <v>256</v>
      </c>
      <c r="B125" s="4">
        <v>556</v>
      </c>
      <c r="C125" s="4" t="s">
        <v>171</v>
      </c>
      <c r="D125" s="4" t="s">
        <v>172</v>
      </c>
      <c r="E125" s="4" t="s">
        <v>173</v>
      </c>
      <c r="F125" s="4" t="s">
        <v>153</v>
      </c>
      <c r="G125" s="4" t="s">
        <v>154</v>
      </c>
      <c r="H125" s="4" t="s">
        <v>31</v>
      </c>
      <c r="I125" s="4" t="s">
        <v>156</v>
      </c>
      <c r="J125" s="4" t="s">
        <v>168</v>
      </c>
      <c r="K125" s="4" t="s">
        <v>158</v>
      </c>
      <c r="L125" s="4" t="s">
        <v>159</v>
      </c>
      <c r="M125" s="150">
        <v>0</v>
      </c>
      <c r="N125" s="4" t="s">
        <v>175</v>
      </c>
      <c r="O125" s="165">
        <v>5.3749999999999999E-2</v>
      </c>
      <c r="P125" s="166">
        <v>0</v>
      </c>
      <c r="R125" s="150">
        <v>80000</v>
      </c>
      <c r="S125" s="150">
        <v>3.7589999999999999</v>
      </c>
      <c r="T125" s="150">
        <v>99.781000000000006</v>
      </c>
      <c r="U125" s="150">
        <v>300.06</v>
      </c>
      <c r="W125" s="4" t="s">
        <v>37</v>
      </c>
      <c r="X125" s="166">
        <v>4.0000000000000003E-5</v>
      </c>
      <c r="Y125" s="166">
        <v>2.0278204175912902E-3</v>
      </c>
      <c r="Z125" s="166">
        <v>9.4079891839352297E-4</v>
      </c>
    </row>
    <row r="126" spans="1:26">
      <c r="A126" s="4" t="s">
        <v>256</v>
      </c>
      <c r="B126" s="4">
        <v>556</v>
      </c>
      <c r="C126" s="4" t="s">
        <v>171</v>
      </c>
      <c r="D126" s="4" t="s">
        <v>176</v>
      </c>
      <c r="E126" s="4" t="s">
        <v>177</v>
      </c>
      <c r="F126" s="4" t="s">
        <v>153</v>
      </c>
      <c r="G126" s="4" t="s">
        <v>154</v>
      </c>
      <c r="H126" s="4" t="s">
        <v>31</v>
      </c>
      <c r="I126" s="4" t="s">
        <v>163</v>
      </c>
      <c r="J126" s="4" t="s">
        <v>168</v>
      </c>
      <c r="K126" s="4" t="s">
        <v>158</v>
      </c>
      <c r="L126" s="4" t="s">
        <v>159</v>
      </c>
      <c r="M126" s="150">
        <v>7.49</v>
      </c>
      <c r="N126" s="4" t="s">
        <v>178</v>
      </c>
      <c r="O126" s="165">
        <v>5.5E-2</v>
      </c>
      <c r="P126" s="166">
        <v>5.8720000000000001E-2</v>
      </c>
      <c r="R126" s="150">
        <v>127000</v>
      </c>
      <c r="S126" s="150">
        <v>3.7589999999999999</v>
      </c>
      <c r="T126" s="150">
        <v>97.03</v>
      </c>
      <c r="U126" s="150">
        <v>463.214</v>
      </c>
      <c r="W126" s="4" t="s">
        <v>37</v>
      </c>
      <c r="X126" s="166">
        <v>4.1999999999999998E-5</v>
      </c>
      <c r="Y126" s="166">
        <v>3.1304270022822702E-3</v>
      </c>
      <c r="Z126" s="166">
        <v>1.45234869533237E-3</v>
      </c>
    </row>
    <row r="127" spans="1:26">
      <c r="A127" s="4" t="s">
        <v>256</v>
      </c>
      <c r="B127" s="4">
        <v>556</v>
      </c>
      <c r="C127" s="4" t="s">
        <v>171</v>
      </c>
      <c r="D127" s="4" t="s">
        <v>179</v>
      </c>
      <c r="E127" s="4" t="s">
        <v>180</v>
      </c>
      <c r="F127" s="4" t="s">
        <v>153</v>
      </c>
      <c r="G127" s="4" t="s">
        <v>154</v>
      </c>
      <c r="H127" s="4" t="s">
        <v>31</v>
      </c>
      <c r="I127" s="4" t="s">
        <v>163</v>
      </c>
      <c r="J127" s="4" t="s">
        <v>168</v>
      </c>
      <c r="K127" s="4" t="s">
        <v>158</v>
      </c>
      <c r="L127" s="4" t="s">
        <v>159</v>
      </c>
      <c r="M127" s="150">
        <v>0</v>
      </c>
      <c r="N127" s="4" t="s">
        <v>181</v>
      </c>
      <c r="O127" s="165">
        <v>5.7500000000000002E-2</v>
      </c>
      <c r="P127" s="166">
        <v>0</v>
      </c>
      <c r="R127" s="150">
        <v>105000</v>
      </c>
      <c r="S127" s="150">
        <v>3.7589999999999999</v>
      </c>
      <c r="T127" s="150">
        <v>91.872</v>
      </c>
      <c r="U127" s="150">
        <v>362.61399999999998</v>
      </c>
      <c r="W127" s="4" t="s">
        <v>37</v>
      </c>
      <c r="X127" s="166">
        <v>3.4999999999999997E-5</v>
      </c>
      <c r="Y127" s="166">
        <v>2.4505654070083099E-3</v>
      </c>
      <c r="Z127" s="166">
        <v>1.1369297124962101E-3</v>
      </c>
    </row>
    <row r="128" spans="1:26">
      <c r="A128" s="4" t="s">
        <v>256</v>
      </c>
      <c r="B128" s="4">
        <v>556</v>
      </c>
      <c r="C128" s="4" t="s">
        <v>171</v>
      </c>
      <c r="D128" s="4" t="s">
        <v>182</v>
      </c>
      <c r="E128" s="4" t="s">
        <v>183</v>
      </c>
      <c r="F128" s="4" t="s">
        <v>153</v>
      </c>
      <c r="G128" s="4" t="s">
        <v>154</v>
      </c>
      <c r="H128" s="4" t="s">
        <v>31</v>
      </c>
      <c r="I128" s="4" t="s">
        <v>163</v>
      </c>
      <c r="J128" s="4" t="s">
        <v>168</v>
      </c>
      <c r="K128" s="4" t="s">
        <v>158</v>
      </c>
      <c r="L128" s="4" t="s">
        <v>169</v>
      </c>
      <c r="M128" s="150">
        <v>0</v>
      </c>
      <c r="N128" s="4" t="s">
        <v>184</v>
      </c>
      <c r="O128" s="165">
        <v>1.4999999999999999E-2</v>
      </c>
      <c r="P128" s="166">
        <v>0</v>
      </c>
      <c r="R128" s="150">
        <v>350000</v>
      </c>
      <c r="S128" s="150">
        <v>4.0199999999999996</v>
      </c>
      <c r="T128" s="150">
        <v>93.265000000000001</v>
      </c>
      <c r="U128" s="150">
        <v>1312.306</v>
      </c>
      <c r="W128" s="4" t="s">
        <v>37</v>
      </c>
      <c r="X128" s="166">
        <v>1.2300000000000001E-4</v>
      </c>
      <c r="Y128" s="166">
        <v>8.8686294961937799E-3</v>
      </c>
      <c r="Z128" s="166">
        <v>4.1145640734611003E-3</v>
      </c>
    </row>
    <row r="129" spans="1:26">
      <c r="A129" s="4" t="s">
        <v>256</v>
      </c>
      <c r="B129" s="4">
        <v>556</v>
      </c>
      <c r="C129" s="4" t="s">
        <v>185</v>
      </c>
      <c r="D129" s="4" t="s">
        <v>274</v>
      </c>
      <c r="E129" s="4" t="s">
        <v>275</v>
      </c>
      <c r="F129" s="4" t="s">
        <v>153</v>
      </c>
      <c r="G129" s="4" t="s">
        <v>154</v>
      </c>
      <c r="H129" s="4" t="s">
        <v>155</v>
      </c>
      <c r="I129" s="4" t="s">
        <v>163</v>
      </c>
      <c r="J129" s="4" t="s">
        <v>157</v>
      </c>
      <c r="K129" s="4" t="s">
        <v>158</v>
      </c>
      <c r="L129" s="4" t="s">
        <v>159</v>
      </c>
      <c r="M129" s="150">
        <v>0.52</v>
      </c>
      <c r="N129" s="4" t="s">
        <v>276</v>
      </c>
      <c r="O129" s="165">
        <v>0.01</v>
      </c>
      <c r="P129" s="166">
        <v>5.3030000000000001E-2</v>
      </c>
      <c r="R129" s="150">
        <v>75000</v>
      </c>
      <c r="S129" s="150">
        <v>3.7589999999999999</v>
      </c>
      <c r="T129" s="150">
        <v>98.132999999999996</v>
      </c>
      <c r="U129" s="150">
        <v>276.661</v>
      </c>
      <c r="W129" s="4" t="s">
        <v>37</v>
      </c>
      <c r="X129" s="166">
        <v>1.2099999999999999E-3</v>
      </c>
      <c r="Y129" s="166">
        <v>1.8696882991210799E-3</v>
      </c>
      <c r="Z129" s="166">
        <v>8.6743417429218695E-4</v>
      </c>
    </row>
    <row r="130" spans="1:26">
      <c r="A130" s="4" t="s">
        <v>256</v>
      </c>
      <c r="B130" s="4">
        <v>556</v>
      </c>
      <c r="C130" s="4" t="s">
        <v>185</v>
      </c>
      <c r="D130" s="4" t="s">
        <v>186</v>
      </c>
      <c r="E130" s="4" t="s">
        <v>187</v>
      </c>
      <c r="F130" s="4" t="s">
        <v>153</v>
      </c>
      <c r="G130" s="4" t="s">
        <v>154</v>
      </c>
      <c r="H130" s="4" t="s">
        <v>155</v>
      </c>
      <c r="I130" s="4" t="s">
        <v>163</v>
      </c>
      <c r="J130" s="4" t="s">
        <v>157</v>
      </c>
      <c r="K130" s="4" t="s">
        <v>158</v>
      </c>
      <c r="L130" s="4" t="s">
        <v>159</v>
      </c>
      <c r="M130" s="150">
        <v>13.79</v>
      </c>
      <c r="N130" s="4" t="s">
        <v>188</v>
      </c>
      <c r="O130" s="165">
        <v>1.125E-2</v>
      </c>
      <c r="P130" s="166">
        <v>4.761E-2</v>
      </c>
      <c r="R130" s="150">
        <v>195000</v>
      </c>
      <c r="S130" s="150">
        <v>3.7589999999999999</v>
      </c>
      <c r="T130" s="150">
        <v>61.451000000000001</v>
      </c>
      <c r="U130" s="150">
        <v>450.43799999999999</v>
      </c>
      <c r="W130" s="4" t="s">
        <v>37</v>
      </c>
      <c r="X130" s="166">
        <v>3.0000000000000001E-6</v>
      </c>
      <c r="Y130" s="166">
        <v>3.0440804109655201E-3</v>
      </c>
      <c r="Z130" s="166">
        <v>1.41228855045313E-3</v>
      </c>
    </row>
    <row r="131" spans="1:26">
      <c r="A131" s="4" t="s">
        <v>256</v>
      </c>
      <c r="B131" s="4">
        <v>556</v>
      </c>
      <c r="C131" s="4" t="s">
        <v>185</v>
      </c>
      <c r="D131" s="4" t="s">
        <v>189</v>
      </c>
      <c r="E131" s="4" t="s">
        <v>190</v>
      </c>
      <c r="F131" s="4" t="s">
        <v>153</v>
      </c>
      <c r="G131" s="4" t="s">
        <v>154</v>
      </c>
      <c r="H131" s="4" t="s">
        <v>155</v>
      </c>
      <c r="I131" s="4" t="s">
        <v>163</v>
      </c>
      <c r="J131" s="4" t="s">
        <v>157</v>
      </c>
      <c r="K131" s="4" t="s">
        <v>158</v>
      </c>
      <c r="L131" s="4" t="s">
        <v>159</v>
      </c>
      <c r="M131" s="150">
        <v>13.91</v>
      </c>
      <c r="N131" s="4" t="s">
        <v>191</v>
      </c>
      <c r="O131" s="165">
        <v>1.125E-2</v>
      </c>
      <c r="P131" s="166">
        <v>4.777E-2</v>
      </c>
      <c r="R131" s="150">
        <v>408000</v>
      </c>
      <c r="S131" s="150">
        <v>3.7589999999999999</v>
      </c>
      <c r="T131" s="150">
        <v>61.134</v>
      </c>
      <c r="U131" s="150">
        <v>937.59100000000001</v>
      </c>
      <c r="W131" s="4" t="s">
        <v>37</v>
      </c>
      <c r="X131" s="166">
        <v>0</v>
      </c>
      <c r="Y131" s="166">
        <v>6.3362854976727204E-3</v>
      </c>
      <c r="Z131" s="166">
        <v>2.9396935207526599E-3</v>
      </c>
    </row>
    <row r="132" spans="1:26">
      <c r="A132" s="4" t="s">
        <v>256</v>
      </c>
      <c r="B132" s="4">
        <v>556</v>
      </c>
      <c r="C132" s="4" t="s">
        <v>185</v>
      </c>
      <c r="D132" s="4" t="s">
        <v>192</v>
      </c>
      <c r="E132" s="4" t="s">
        <v>193</v>
      </c>
      <c r="F132" s="4" t="s">
        <v>153</v>
      </c>
      <c r="G132" s="4" t="s">
        <v>154</v>
      </c>
      <c r="H132" s="4" t="s">
        <v>155</v>
      </c>
      <c r="I132" s="4" t="s">
        <v>163</v>
      </c>
      <c r="J132" s="4" t="s">
        <v>157</v>
      </c>
      <c r="K132" s="4" t="s">
        <v>158</v>
      </c>
      <c r="L132" s="4" t="s">
        <v>159</v>
      </c>
      <c r="M132" s="150">
        <v>6.28</v>
      </c>
      <c r="N132" s="4" t="s">
        <v>194</v>
      </c>
      <c r="O132" s="165">
        <v>1.125E-2</v>
      </c>
      <c r="P132" s="166">
        <v>4.5710000000000001E-2</v>
      </c>
      <c r="R132" s="150">
        <v>160000</v>
      </c>
      <c r="S132" s="150">
        <v>3.7589999999999999</v>
      </c>
      <c r="T132" s="150">
        <v>82.048000000000002</v>
      </c>
      <c r="U132" s="150">
        <v>493.46800000000002</v>
      </c>
      <c r="W132" s="4" t="s">
        <v>37</v>
      </c>
      <c r="X132" s="166">
        <v>0</v>
      </c>
      <c r="Y132" s="166">
        <v>3.3348828918679202E-3</v>
      </c>
      <c r="Z132" s="166">
        <v>1.54720516196655E-3</v>
      </c>
    </row>
    <row r="133" spans="1:26">
      <c r="A133" s="4" t="s">
        <v>256</v>
      </c>
      <c r="B133" s="4">
        <v>556</v>
      </c>
      <c r="C133" s="4" t="s">
        <v>185</v>
      </c>
      <c r="D133" s="4" t="s">
        <v>277</v>
      </c>
      <c r="E133" s="4" t="s">
        <v>278</v>
      </c>
      <c r="F133" s="4" t="s">
        <v>153</v>
      </c>
      <c r="G133" s="4" t="s">
        <v>154</v>
      </c>
      <c r="H133" s="4" t="s">
        <v>155</v>
      </c>
      <c r="I133" s="4" t="s">
        <v>163</v>
      </c>
      <c r="J133" s="4" t="s">
        <v>157</v>
      </c>
      <c r="K133" s="4" t="s">
        <v>158</v>
      </c>
      <c r="L133" s="4" t="s">
        <v>159</v>
      </c>
      <c r="M133" s="150">
        <v>0.25</v>
      </c>
      <c r="N133" s="4" t="s">
        <v>279</v>
      </c>
      <c r="O133" s="165">
        <v>1.2500000000000001E-2</v>
      </c>
      <c r="P133" s="166">
        <v>5.3370000000000001E-2</v>
      </c>
      <c r="R133" s="150">
        <v>50000</v>
      </c>
      <c r="S133" s="150">
        <v>3.7589999999999999</v>
      </c>
      <c r="T133" s="150">
        <v>99.718000000000004</v>
      </c>
      <c r="U133" s="150">
        <v>187.42099999999999</v>
      </c>
      <c r="W133" s="4" t="s">
        <v>37</v>
      </c>
      <c r="X133" s="166">
        <v>0</v>
      </c>
      <c r="Y133" s="166">
        <v>1.2665993120704101E-3</v>
      </c>
      <c r="Z133" s="166">
        <v>5.8763352636978495E-4</v>
      </c>
    </row>
    <row r="134" spans="1:26">
      <c r="A134" s="4" t="s">
        <v>256</v>
      </c>
      <c r="B134" s="4">
        <v>556</v>
      </c>
      <c r="C134" s="4" t="s">
        <v>185</v>
      </c>
      <c r="D134" s="4" t="s">
        <v>195</v>
      </c>
      <c r="E134" s="4" t="s">
        <v>196</v>
      </c>
      <c r="F134" s="4" t="s">
        <v>153</v>
      </c>
      <c r="G134" s="4" t="s">
        <v>154</v>
      </c>
      <c r="H134" s="4" t="s">
        <v>155</v>
      </c>
      <c r="I134" s="4" t="s">
        <v>163</v>
      </c>
      <c r="J134" s="4" t="s">
        <v>157</v>
      </c>
      <c r="K134" s="4" t="s">
        <v>158</v>
      </c>
      <c r="L134" s="4" t="s">
        <v>159</v>
      </c>
      <c r="M134" s="150">
        <v>0.41</v>
      </c>
      <c r="N134" s="4" t="s">
        <v>197</v>
      </c>
      <c r="O134" s="165">
        <v>1.4999999999999999E-2</v>
      </c>
      <c r="P134" s="166">
        <v>5.3100000000000001E-2</v>
      </c>
      <c r="R134" s="150">
        <v>135000</v>
      </c>
      <c r="S134" s="150">
        <v>3.7589999999999999</v>
      </c>
      <c r="T134" s="150">
        <v>98.971999999999994</v>
      </c>
      <c r="U134" s="150">
        <v>502.25099999999998</v>
      </c>
      <c r="W134" s="4" t="s">
        <v>37</v>
      </c>
      <c r="X134" s="166">
        <v>3.0000000000000001E-6</v>
      </c>
      <c r="Y134" s="166">
        <v>3.39423548359869E-3</v>
      </c>
      <c r="Z134" s="166">
        <v>1.57474155208263E-3</v>
      </c>
    </row>
    <row r="135" spans="1:26">
      <c r="A135" s="4" t="s">
        <v>256</v>
      </c>
      <c r="B135" s="4">
        <v>556</v>
      </c>
      <c r="C135" s="4" t="s">
        <v>185</v>
      </c>
      <c r="D135" s="4" t="s">
        <v>198</v>
      </c>
      <c r="E135" s="4" t="s">
        <v>199</v>
      </c>
      <c r="F135" s="4" t="s">
        <v>153</v>
      </c>
      <c r="G135" s="4" t="s">
        <v>154</v>
      </c>
      <c r="H135" s="4" t="s">
        <v>155</v>
      </c>
      <c r="I135" s="4" t="s">
        <v>163</v>
      </c>
      <c r="J135" s="4" t="s">
        <v>157</v>
      </c>
      <c r="K135" s="4" t="s">
        <v>158</v>
      </c>
      <c r="L135" s="4" t="s">
        <v>159</v>
      </c>
      <c r="M135" s="150">
        <v>6.41</v>
      </c>
      <c r="N135" s="4" t="s">
        <v>200</v>
      </c>
      <c r="O135" s="165">
        <v>1.6250000000000001E-2</v>
      </c>
      <c r="P135" s="166">
        <v>4.598E-2</v>
      </c>
      <c r="R135" s="150">
        <v>122000</v>
      </c>
      <c r="S135" s="150">
        <v>3.7589999999999999</v>
      </c>
      <c r="T135" s="150">
        <v>83.989000000000004</v>
      </c>
      <c r="U135" s="150">
        <v>385.17099999999999</v>
      </c>
      <c r="W135" s="4" t="s">
        <v>37</v>
      </c>
      <c r="X135" s="166">
        <v>0</v>
      </c>
      <c r="Y135" s="166">
        <v>2.6030069067365501E-3</v>
      </c>
      <c r="Z135" s="166">
        <v>1.2076543175048599E-3</v>
      </c>
    </row>
    <row r="136" spans="1:26">
      <c r="A136" s="4" t="s">
        <v>256</v>
      </c>
      <c r="B136" s="4">
        <v>556</v>
      </c>
      <c r="C136" s="4" t="s">
        <v>185</v>
      </c>
      <c r="D136" s="4" t="s">
        <v>201</v>
      </c>
      <c r="E136" s="4" t="s">
        <v>202</v>
      </c>
      <c r="F136" s="4" t="s">
        <v>153</v>
      </c>
      <c r="G136" s="4" t="s">
        <v>154</v>
      </c>
      <c r="H136" s="4" t="s">
        <v>155</v>
      </c>
      <c r="I136" s="4" t="s">
        <v>163</v>
      </c>
      <c r="J136" s="4" t="s">
        <v>157</v>
      </c>
      <c r="K136" s="4" t="s">
        <v>158</v>
      </c>
      <c r="L136" s="4" t="s">
        <v>159</v>
      </c>
      <c r="M136" s="150">
        <v>13.72</v>
      </c>
      <c r="N136" s="4" t="s">
        <v>203</v>
      </c>
      <c r="O136" s="165">
        <v>0.02</v>
      </c>
      <c r="P136" s="166">
        <v>4.8329999999999998E-2</v>
      </c>
      <c r="R136" s="150">
        <v>860000</v>
      </c>
      <c r="S136" s="150">
        <v>3.7589999999999999</v>
      </c>
      <c r="T136" s="150">
        <v>68.769000000000005</v>
      </c>
      <c r="U136" s="150">
        <v>2223.134</v>
      </c>
      <c r="W136" s="4" t="s">
        <v>37</v>
      </c>
      <c r="X136" s="166">
        <v>0</v>
      </c>
      <c r="Y136" s="166">
        <v>1.50240543705465E-2</v>
      </c>
      <c r="Z136" s="166">
        <v>6.9703480540378396E-3</v>
      </c>
    </row>
    <row r="137" spans="1:26">
      <c r="A137" s="4" t="s">
        <v>256</v>
      </c>
      <c r="B137" s="4">
        <v>556</v>
      </c>
      <c r="C137" s="4" t="s">
        <v>185</v>
      </c>
      <c r="D137" s="4" t="s">
        <v>204</v>
      </c>
      <c r="E137" s="4" t="s">
        <v>205</v>
      </c>
      <c r="F137" s="4" t="s">
        <v>153</v>
      </c>
      <c r="G137" s="4" t="s">
        <v>154</v>
      </c>
      <c r="H137" s="4" t="s">
        <v>155</v>
      </c>
      <c r="I137" s="4" t="s">
        <v>163</v>
      </c>
      <c r="J137" s="4" t="s">
        <v>157</v>
      </c>
      <c r="K137" s="4" t="s">
        <v>158</v>
      </c>
      <c r="L137" s="4" t="s">
        <v>159</v>
      </c>
      <c r="M137" s="150">
        <v>0.33</v>
      </c>
      <c r="N137" s="4" t="s">
        <v>206</v>
      </c>
      <c r="O137" s="165">
        <v>2.1250000000000002E-2</v>
      </c>
      <c r="P137" s="166">
        <v>5.314E-2</v>
      </c>
      <c r="R137" s="150">
        <v>70000</v>
      </c>
      <c r="S137" s="150">
        <v>3.7589999999999999</v>
      </c>
      <c r="T137" s="150">
        <v>99.724000000000004</v>
      </c>
      <c r="U137" s="150">
        <v>262.40300000000002</v>
      </c>
      <c r="W137" s="4" t="s">
        <v>37</v>
      </c>
      <c r="X137" s="166">
        <v>0</v>
      </c>
      <c r="Y137" s="166">
        <v>1.77333301720578E-3</v>
      </c>
      <c r="Z137" s="166">
        <v>8.2273053869358001E-4</v>
      </c>
    </row>
    <row r="138" spans="1:26">
      <c r="A138" s="4" t="s">
        <v>256</v>
      </c>
      <c r="B138" s="4">
        <v>556</v>
      </c>
      <c r="C138" s="4" t="s">
        <v>185</v>
      </c>
      <c r="D138" s="4" t="s">
        <v>207</v>
      </c>
      <c r="E138" s="4" t="s">
        <v>208</v>
      </c>
      <c r="F138" s="4" t="s">
        <v>153</v>
      </c>
      <c r="G138" s="4" t="s">
        <v>154</v>
      </c>
      <c r="H138" s="4" t="s">
        <v>155</v>
      </c>
      <c r="I138" s="4" t="s">
        <v>163</v>
      </c>
      <c r="J138" s="4" t="s">
        <v>157</v>
      </c>
      <c r="K138" s="4" t="s">
        <v>158</v>
      </c>
      <c r="L138" s="4" t="s">
        <v>159</v>
      </c>
      <c r="M138" s="150">
        <v>0.49</v>
      </c>
      <c r="N138" s="4" t="s">
        <v>209</v>
      </c>
      <c r="O138" s="165">
        <v>2.1250000000000002E-2</v>
      </c>
      <c r="P138" s="166">
        <v>5.3620000000000001E-2</v>
      </c>
      <c r="R138" s="150">
        <v>70000</v>
      </c>
      <c r="S138" s="150">
        <v>3.7589999999999999</v>
      </c>
      <c r="T138" s="150">
        <v>98.905000000000001</v>
      </c>
      <c r="U138" s="150">
        <v>260.24799999999999</v>
      </c>
      <c r="W138" s="4" t="s">
        <v>37</v>
      </c>
      <c r="X138" s="166">
        <v>2.3709999999999998E-3</v>
      </c>
      <c r="Y138" s="166">
        <v>1.7587681018694601E-3</v>
      </c>
      <c r="Z138" s="166">
        <v>8.1597320630061396E-4</v>
      </c>
    </row>
    <row r="139" spans="1:26">
      <c r="A139" s="4" t="s">
        <v>256</v>
      </c>
      <c r="B139" s="4">
        <v>556</v>
      </c>
      <c r="C139" s="4" t="s">
        <v>185</v>
      </c>
      <c r="D139" s="4" t="s">
        <v>210</v>
      </c>
      <c r="E139" s="4" t="s">
        <v>211</v>
      </c>
      <c r="F139" s="4" t="s">
        <v>153</v>
      </c>
      <c r="G139" s="4" t="s">
        <v>154</v>
      </c>
      <c r="H139" s="4" t="s">
        <v>155</v>
      </c>
      <c r="I139" s="4" t="s">
        <v>163</v>
      </c>
      <c r="J139" s="4" t="s">
        <v>157</v>
      </c>
      <c r="K139" s="4" t="s">
        <v>158</v>
      </c>
      <c r="L139" s="4" t="s">
        <v>159</v>
      </c>
      <c r="M139" s="150">
        <v>13.37</v>
      </c>
      <c r="N139" s="4" t="s">
        <v>212</v>
      </c>
      <c r="O139" s="165">
        <v>2.375E-2</v>
      </c>
      <c r="P139" s="166">
        <v>4.8349999999999997E-2</v>
      </c>
      <c r="R139" s="150">
        <v>82000</v>
      </c>
      <c r="S139" s="150">
        <v>3.7589999999999999</v>
      </c>
      <c r="T139" s="150">
        <v>73.477999999999994</v>
      </c>
      <c r="U139" s="150">
        <v>226.48599999999999</v>
      </c>
      <c r="W139" s="4" t="s">
        <v>37</v>
      </c>
      <c r="X139" s="166">
        <v>9.9999999999999995E-7</v>
      </c>
      <c r="Y139" s="166">
        <v>1.5306029736804701E-3</v>
      </c>
      <c r="Z139" s="166">
        <v>7.1011693621221398E-4</v>
      </c>
    </row>
    <row r="140" spans="1:26">
      <c r="A140" s="4" t="s">
        <v>256</v>
      </c>
      <c r="B140" s="4">
        <v>556</v>
      </c>
      <c r="C140" s="4" t="s">
        <v>213</v>
      </c>
      <c r="D140" s="4" t="s">
        <v>214</v>
      </c>
      <c r="E140" s="4" t="s">
        <v>215</v>
      </c>
      <c r="F140" s="4" t="s">
        <v>153</v>
      </c>
      <c r="G140" s="4" t="s">
        <v>154</v>
      </c>
      <c r="H140" s="4" t="s">
        <v>155</v>
      </c>
      <c r="I140" s="4" t="s">
        <v>163</v>
      </c>
      <c r="J140" s="4" t="s">
        <v>157</v>
      </c>
      <c r="K140" s="4" t="s">
        <v>158</v>
      </c>
      <c r="L140" s="4" t="s">
        <v>159</v>
      </c>
      <c r="M140" s="150">
        <v>15.14</v>
      </c>
      <c r="N140" s="4" t="s">
        <v>216</v>
      </c>
      <c r="O140" s="165">
        <v>2.5000000000000001E-2</v>
      </c>
      <c r="P140" s="166">
        <v>4.8439999999999997E-2</v>
      </c>
      <c r="R140" s="150">
        <v>285000</v>
      </c>
      <c r="S140" s="150">
        <v>3.7589999999999999</v>
      </c>
      <c r="T140" s="150">
        <v>71.188000000000002</v>
      </c>
      <c r="U140" s="150">
        <v>762.64499999999998</v>
      </c>
      <c r="W140" s="4" t="s">
        <v>37</v>
      </c>
      <c r="X140" s="166">
        <v>6.9999999999999999E-6</v>
      </c>
      <c r="Y140" s="166">
        <v>5.1539953615934997E-3</v>
      </c>
      <c r="Z140" s="166">
        <v>2.3911748888257298E-3</v>
      </c>
    </row>
    <row r="141" spans="1:26">
      <c r="A141" s="4" t="s">
        <v>256</v>
      </c>
      <c r="B141" s="4">
        <v>556</v>
      </c>
      <c r="C141" s="4" t="s">
        <v>185</v>
      </c>
      <c r="D141" s="4" t="s">
        <v>217</v>
      </c>
      <c r="E141" s="4" t="s">
        <v>218</v>
      </c>
      <c r="F141" s="4" t="s">
        <v>153</v>
      </c>
      <c r="G141" s="4" t="s">
        <v>154</v>
      </c>
      <c r="H141" s="4" t="s">
        <v>155</v>
      </c>
      <c r="I141" s="4" t="s">
        <v>163</v>
      </c>
      <c r="J141" s="4" t="s">
        <v>157</v>
      </c>
      <c r="K141" s="4" t="s">
        <v>158</v>
      </c>
      <c r="L141" s="4" t="s">
        <v>159</v>
      </c>
      <c r="M141" s="150">
        <v>4.54</v>
      </c>
      <c r="N141" s="4" t="s">
        <v>219</v>
      </c>
      <c r="O141" s="165">
        <v>3.2500000000000001E-2</v>
      </c>
      <c r="P141" s="166">
        <v>4.6359999999999998E-2</v>
      </c>
      <c r="Q141" s="150">
        <v>2.1120000000000001</v>
      </c>
      <c r="R141" s="150">
        <v>130000</v>
      </c>
      <c r="S141" s="150">
        <v>3.7589999999999999</v>
      </c>
      <c r="T141" s="150">
        <v>94.882999999999996</v>
      </c>
      <c r="U141" s="150">
        <v>471.60500000000002</v>
      </c>
      <c r="W141" s="4" t="s">
        <v>37</v>
      </c>
      <c r="X141" s="166">
        <v>0</v>
      </c>
      <c r="Y141" s="166">
        <v>3.1871289962408398E-3</v>
      </c>
      <c r="Z141" s="166">
        <v>1.47865535154522E-3</v>
      </c>
    </row>
    <row r="142" spans="1:26">
      <c r="A142" s="4" t="s">
        <v>256</v>
      </c>
      <c r="B142" s="4">
        <v>556</v>
      </c>
      <c r="C142" s="4" t="s">
        <v>185</v>
      </c>
      <c r="D142" s="4" t="s">
        <v>280</v>
      </c>
      <c r="E142" s="4" t="s">
        <v>281</v>
      </c>
      <c r="F142" s="4" t="s">
        <v>153</v>
      </c>
      <c r="G142" s="4" t="s">
        <v>154</v>
      </c>
      <c r="H142" s="4" t="s">
        <v>155</v>
      </c>
      <c r="I142" s="4" t="s">
        <v>163</v>
      </c>
      <c r="J142" s="4" t="s">
        <v>157</v>
      </c>
      <c r="K142" s="4" t="s">
        <v>158</v>
      </c>
      <c r="L142" s="4" t="s">
        <v>159</v>
      </c>
      <c r="M142" s="150">
        <v>0.25</v>
      </c>
      <c r="N142" s="4" t="s">
        <v>279</v>
      </c>
      <c r="O142" s="165">
        <v>3.2500000000000001E-2</v>
      </c>
      <c r="P142" s="166">
        <v>5.3839999999999999E-2</v>
      </c>
      <c r="R142" s="150">
        <v>140000</v>
      </c>
      <c r="S142" s="150">
        <v>3.7589999999999999</v>
      </c>
      <c r="T142" s="150">
        <v>100.7</v>
      </c>
      <c r="U142" s="150">
        <v>529.94600000000003</v>
      </c>
      <c r="W142" s="4" t="s">
        <v>37</v>
      </c>
      <c r="X142" s="166">
        <v>3.0000000000000001E-6</v>
      </c>
      <c r="Y142" s="166">
        <v>3.5813999035631599E-3</v>
      </c>
      <c r="Z142" s="166">
        <v>1.66157571270988E-3</v>
      </c>
    </row>
    <row r="143" spans="1:26">
      <c r="A143" s="4" t="s">
        <v>256</v>
      </c>
      <c r="B143" s="4">
        <v>556</v>
      </c>
      <c r="C143" s="4" t="s">
        <v>185</v>
      </c>
      <c r="D143" s="4" t="s">
        <v>220</v>
      </c>
      <c r="E143" s="4" t="s">
        <v>221</v>
      </c>
      <c r="F143" s="4" t="s">
        <v>153</v>
      </c>
      <c r="G143" s="4" t="s">
        <v>154</v>
      </c>
      <c r="H143" s="4" t="s">
        <v>155</v>
      </c>
      <c r="I143" s="4" t="s">
        <v>163</v>
      </c>
      <c r="J143" s="4" t="s">
        <v>157</v>
      </c>
      <c r="K143" s="4" t="s">
        <v>158</v>
      </c>
      <c r="L143" s="4" t="s">
        <v>159</v>
      </c>
      <c r="M143" s="150">
        <v>13.65</v>
      </c>
      <c r="N143" s="4" t="s">
        <v>222</v>
      </c>
      <c r="O143" s="165">
        <v>3.3750000000000002E-2</v>
      </c>
      <c r="P143" s="166">
        <v>4.8439999999999997E-2</v>
      </c>
      <c r="R143" s="150">
        <v>119000</v>
      </c>
      <c r="S143" s="150">
        <v>3.7589999999999999</v>
      </c>
      <c r="T143" s="150">
        <v>83.524000000000001</v>
      </c>
      <c r="U143" s="150">
        <v>373.62200000000001</v>
      </c>
      <c r="W143" s="4" t="s">
        <v>37</v>
      </c>
      <c r="X143" s="166">
        <v>2.8340000000000001E-3</v>
      </c>
      <c r="Y143" s="166">
        <v>2.52495613331063E-3</v>
      </c>
      <c r="Z143" s="166">
        <v>1.1714429831175099E-3</v>
      </c>
    </row>
    <row r="144" spans="1:26">
      <c r="A144" s="4" t="s">
        <v>256</v>
      </c>
      <c r="B144" s="4">
        <v>556</v>
      </c>
      <c r="C144" s="4" t="s">
        <v>185</v>
      </c>
      <c r="D144" s="4" t="s">
        <v>223</v>
      </c>
      <c r="E144" s="4" t="s">
        <v>224</v>
      </c>
      <c r="F144" s="4" t="s">
        <v>153</v>
      </c>
      <c r="G144" s="4" t="s">
        <v>154</v>
      </c>
      <c r="H144" s="4" t="s">
        <v>155</v>
      </c>
      <c r="I144" s="4" t="s">
        <v>163</v>
      </c>
      <c r="J144" s="4" t="s">
        <v>157</v>
      </c>
      <c r="K144" s="4" t="s">
        <v>158</v>
      </c>
      <c r="L144" s="4" t="s">
        <v>159</v>
      </c>
      <c r="M144" s="150">
        <v>10.99</v>
      </c>
      <c r="N144" s="4" t="s">
        <v>225</v>
      </c>
      <c r="O144" s="165">
        <v>3.5000000000000003E-2</v>
      </c>
      <c r="P144" s="166">
        <v>4.6379999999999998E-2</v>
      </c>
      <c r="R144" s="150">
        <v>161000</v>
      </c>
      <c r="S144" s="150">
        <v>3.7589999999999999</v>
      </c>
      <c r="T144" s="150">
        <v>91.01</v>
      </c>
      <c r="U144" s="150">
        <v>550.79</v>
      </c>
      <c r="W144" s="4" t="s">
        <v>37</v>
      </c>
      <c r="X144" s="166">
        <v>6.2139999999999999E-3</v>
      </c>
      <c r="Y144" s="166">
        <v>3.7222672210232201E-3</v>
      </c>
      <c r="Z144" s="166">
        <v>1.7269305235963601E-3</v>
      </c>
    </row>
    <row r="145" spans="1:26">
      <c r="A145" s="4" t="s">
        <v>256</v>
      </c>
      <c r="B145" s="4">
        <v>556</v>
      </c>
      <c r="C145" s="4" t="s">
        <v>185</v>
      </c>
      <c r="D145" s="4" t="s">
        <v>226</v>
      </c>
      <c r="E145" s="4" t="s">
        <v>227</v>
      </c>
      <c r="F145" s="4" t="s">
        <v>153</v>
      </c>
      <c r="G145" s="4" t="s">
        <v>154</v>
      </c>
      <c r="H145" s="4" t="s">
        <v>155</v>
      </c>
      <c r="I145" s="4" t="s">
        <v>163</v>
      </c>
      <c r="J145" s="4" t="s">
        <v>157</v>
      </c>
      <c r="K145" s="4" t="s">
        <v>158</v>
      </c>
      <c r="L145" s="4" t="s">
        <v>159</v>
      </c>
      <c r="M145" s="150">
        <v>13.21</v>
      </c>
      <c r="N145" s="4" t="s">
        <v>228</v>
      </c>
      <c r="O145" s="165">
        <v>3.6249999999999998E-2</v>
      </c>
      <c r="P145" s="166">
        <v>4.8460000000000003E-2</v>
      </c>
      <c r="R145" s="150">
        <v>135000</v>
      </c>
      <c r="S145" s="150">
        <v>3.7589999999999999</v>
      </c>
      <c r="T145" s="150">
        <v>87.751000000000005</v>
      </c>
      <c r="U145" s="150">
        <v>445.30599999999998</v>
      </c>
      <c r="W145" s="4" t="s">
        <v>37</v>
      </c>
      <c r="X145" s="166">
        <v>0</v>
      </c>
      <c r="Y145" s="166">
        <v>3.0094034507703198E-3</v>
      </c>
      <c r="Z145" s="166">
        <v>1.3962003178060001E-3</v>
      </c>
    </row>
    <row r="146" spans="1:26">
      <c r="A146" s="4" t="s">
        <v>256</v>
      </c>
      <c r="B146" s="4">
        <v>556</v>
      </c>
      <c r="C146" s="4" t="s">
        <v>185</v>
      </c>
      <c r="D146" s="4" t="s">
        <v>282</v>
      </c>
      <c r="E146" s="4" t="s">
        <v>283</v>
      </c>
      <c r="F146" s="4" t="s">
        <v>153</v>
      </c>
      <c r="G146" s="4" t="s">
        <v>154</v>
      </c>
      <c r="H146" s="4" t="s">
        <v>155</v>
      </c>
      <c r="I146" s="4" t="s">
        <v>163</v>
      </c>
      <c r="J146" s="4" t="s">
        <v>157</v>
      </c>
      <c r="K146" s="4" t="s">
        <v>158</v>
      </c>
      <c r="L146" s="4" t="s">
        <v>159</v>
      </c>
      <c r="M146" s="150">
        <v>0.41</v>
      </c>
      <c r="N146" s="4" t="s">
        <v>197</v>
      </c>
      <c r="O146" s="165">
        <v>4.3749999999999997E-2</v>
      </c>
      <c r="P146" s="166">
        <v>5.3109999999999997E-2</v>
      </c>
      <c r="R146" s="150">
        <v>150000</v>
      </c>
      <c r="S146" s="150">
        <v>3.7589999999999999</v>
      </c>
      <c r="T146" s="150">
        <v>100.381</v>
      </c>
      <c r="U146" s="150">
        <v>566</v>
      </c>
      <c r="W146" s="4" t="s">
        <v>37</v>
      </c>
      <c r="X146" s="166">
        <v>0</v>
      </c>
      <c r="Y146" s="166">
        <v>3.8250559077847401E-3</v>
      </c>
      <c r="Z146" s="166">
        <v>1.77461891083688E-3</v>
      </c>
    </row>
    <row r="147" spans="1:26">
      <c r="A147" s="4" t="s">
        <v>256</v>
      </c>
      <c r="B147" s="4">
        <v>556</v>
      </c>
      <c r="C147" s="4" t="s">
        <v>150</v>
      </c>
      <c r="D147" s="4" t="s">
        <v>229</v>
      </c>
      <c r="E147" s="4" t="s">
        <v>230</v>
      </c>
      <c r="F147" s="4" t="s">
        <v>153</v>
      </c>
      <c r="G147" s="4" t="s">
        <v>154</v>
      </c>
      <c r="H147" s="4" t="s">
        <v>155</v>
      </c>
      <c r="I147" s="4" t="s">
        <v>163</v>
      </c>
      <c r="J147" s="4" t="s">
        <v>157</v>
      </c>
      <c r="K147" s="4" t="s">
        <v>158</v>
      </c>
      <c r="L147" s="4" t="s">
        <v>159</v>
      </c>
      <c r="M147" s="150">
        <v>0.78500000000000003</v>
      </c>
      <c r="N147" s="4" t="s">
        <v>231</v>
      </c>
      <c r="O147" s="165">
        <v>0</v>
      </c>
      <c r="P147" s="166">
        <v>5.2290000000000003E-2</v>
      </c>
      <c r="R147" s="150">
        <v>120000</v>
      </c>
      <c r="S147" s="150">
        <v>3.7589999999999999</v>
      </c>
      <c r="T147" s="150">
        <v>96.399000000000001</v>
      </c>
      <c r="U147" s="150">
        <v>434.83499999999998</v>
      </c>
      <c r="W147" s="4" t="s">
        <v>37</v>
      </c>
      <c r="X147" s="166">
        <v>3.0000000000000001E-6</v>
      </c>
      <c r="Y147" s="166">
        <v>2.9386360457286098E-3</v>
      </c>
      <c r="Z147" s="166">
        <v>1.36336807213809E-3</v>
      </c>
    </row>
    <row r="148" spans="1:26">
      <c r="A148" s="4" t="s">
        <v>256</v>
      </c>
      <c r="B148" s="4">
        <v>556</v>
      </c>
      <c r="C148" s="4" t="s">
        <v>185</v>
      </c>
      <c r="D148" s="4" t="s">
        <v>232</v>
      </c>
      <c r="E148" s="4" t="s">
        <v>233</v>
      </c>
      <c r="F148" s="4" t="s">
        <v>153</v>
      </c>
      <c r="G148" s="4" t="s">
        <v>154</v>
      </c>
      <c r="H148" s="4" t="s">
        <v>155</v>
      </c>
      <c r="I148" s="4" t="s">
        <v>163</v>
      </c>
      <c r="J148" s="4" t="s">
        <v>157</v>
      </c>
      <c r="K148" s="4" t="s">
        <v>158</v>
      </c>
      <c r="L148" s="4" t="s">
        <v>159</v>
      </c>
      <c r="M148" s="150">
        <v>0.45</v>
      </c>
      <c r="N148" s="4" t="s">
        <v>234</v>
      </c>
      <c r="O148" s="165">
        <v>0</v>
      </c>
      <c r="P148" s="166">
        <v>5.3769999999999998E-2</v>
      </c>
      <c r="R148" s="150">
        <v>180000</v>
      </c>
      <c r="S148" s="150">
        <v>3.7589999999999999</v>
      </c>
      <c r="T148" s="150">
        <v>98.069000000000003</v>
      </c>
      <c r="U148" s="150">
        <v>663.553</v>
      </c>
      <c r="W148" s="4" t="s">
        <v>37</v>
      </c>
      <c r="X148" s="166">
        <v>1.9999999999999999E-6</v>
      </c>
      <c r="Y148" s="166">
        <v>4.4843261827664004E-3</v>
      </c>
      <c r="Z148" s="166">
        <v>2.0804846355584401E-3</v>
      </c>
    </row>
    <row r="149" spans="1:26">
      <c r="A149" s="4" t="s">
        <v>256</v>
      </c>
      <c r="B149" s="4">
        <v>556</v>
      </c>
      <c r="C149" s="4" t="s">
        <v>150</v>
      </c>
      <c r="D149" s="4" t="s">
        <v>235</v>
      </c>
      <c r="E149" s="4" t="s">
        <v>236</v>
      </c>
      <c r="F149" s="4" t="s">
        <v>153</v>
      </c>
      <c r="G149" s="4" t="s">
        <v>154</v>
      </c>
      <c r="H149" s="4" t="s">
        <v>155</v>
      </c>
      <c r="I149" s="4" t="s">
        <v>163</v>
      </c>
      <c r="J149" s="4" t="s">
        <v>157</v>
      </c>
      <c r="K149" s="4" t="s">
        <v>158</v>
      </c>
      <c r="L149" s="4" t="s">
        <v>159</v>
      </c>
      <c r="M149" s="150">
        <v>0.21</v>
      </c>
      <c r="N149" s="4" t="s">
        <v>237</v>
      </c>
      <c r="O149" s="165">
        <v>0</v>
      </c>
      <c r="P149" s="166">
        <v>5.3929999999999999E-2</v>
      </c>
      <c r="R149" s="150">
        <v>150000</v>
      </c>
      <c r="S149" s="150">
        <v>3.7589999999999999</v>
      </c>
      <c r="T149" s="150">
        <v>99.358999999999995</v>
      </c>
      <c r="U149" s="150">
        <v>560.23500000000001</v>
      </c>
      <c r="W149" s="4" t="s">
        <v>37</v>
      </c>
      <c r="X149" s="166">
        <v>1.9999999999999999E-6</v>
      </c>
      <c r="Y149" s="166">
        <v>3.7860980995048699E-3</v>
      </c>
      <c r="Z149" s="166">
        <v>1.7565445963784901E-3</v>
      </c>
    </row>
    <row r="150" spans="1:26">
      <c r="A150" s="4" t="s">
        <v>256</v>
      </c>
      <c r="B150" s="4">
        <v>556</v>
      </c>
      <c r="C150" s="4" t="s">
        <v>185</v>
      </c>
      <c r="D150" s="4" t="s">
        <v>238</v>
      </c>
      <c r="E150" s="4" t="s">
        <v>239</v>
      </c>
      <c r="F150" s="4" t="s">
        <v>153</v>
      </c>
      <c r="G150" s="4" t="s">
        <v>154</v>
      </c>
      <c r="H150" s="4" t="s">
        <v>155</v>
      </c>
      <c r="I150" s="4" t="s">
        <v>163</v>
      </c>
      <c r="J150" s="4" t="s">
        <v>157</v>
      </c>
      <c r="K150" s="4" t="s">
        <v>158</v>
      </c>
      <c r="L150" s="4" t="s">
        <v>159</v>
      </c>
      <c r="M150" s="150">
        <v>13.63</v>
      </c>
      <c r="N150" s="4" t="s">
        <v>240</v>
      </c>
      <c r="O150" s="165">
        <v>2.8750000000000001E-2</v>
      </c>
      <c r="P150" s="166">
        <v>4.8419999999999998E-2</v>
      </c>
      <c r="R150" s="150">
        <v>185000</v>
      </c>
      <c r="S150" s="150">
        <v>3.7589999999999999</v>
      </c>
      <c r="T150" s="150">
        <v>77.813000000000002</v>
      </c>
      <c r="U150" s="150">
        <v>541.12</v>
      </c>
      <c r="W150" s="4" t="s">
        <v>37</v>
      </c>
      <c r="X150" s="166">
        <v>0</v>
      </c>
      <c r="Y150" s="166">
        <v>3.6569157414249398E-3</v>
      </c>
      <c r="Z150" s="166">
        <v>1.6966109741983399E-3</v>
      </c>
    </row>
    <row r="151" spans="1:26">
      <c r="A151" s="4" t="s">
        <v>256</v>
      </c>
      <c r="B151" s="4">
        <v>556</v>
      </c>
      <c r="C151" s="4" t="s">
        <v>185</v>
      </c>
      <c r="D151" s="4" t="s">
        <v>241</v>
      </c>
      <c r="E151" s="4" t="s">
        <v>242</v>
      </c>
      <c r="F151" s="4" t="s">
        <v>153</v>
      </c>
      <c r="G151" s="4" t="s">
        <v>154</v>
      </c>
      <c r="H151" s="4" t="s">
        <v>155</v>
      </c>
      <c r="I151" s="4" t="s">
        <v>163</v>
      </c>
      <c r="J151" s="4" t="s">
        <v>157</v>
      </c>
      <c r="K151" s="4" t="s">
        <v>158</v>
      </c>
      <c r="L151" s="4" t="s">
        <v>159</v>
      </c>
      <c r="M151" s="150">
        <v>0.26</v>
      </c>
      <c r="N151" s="4" t="s">
        <v>243</v>
      </c>
      <c r="O151" s="165">
        <v>0</v>
      </c>
      <c r="P151" s="166">
        <v>5.3800000000000001E-2</v>
      </c>
      <c r="R151" s="150">
        <v>260000</v>
      </c>
      <c r="S151" s="150">
        <v>3.7589999999999999</v>
      </c>
      <c r="T151" s="150">
        <v>99.057000000000002</v>
      </c>
      <c r="U151" s="150">
        <v>968.12400000000002</v>
      </c>
      <c r="W151" s="4" t="s">
        <v>37</v>
      </c>
      <c r="X151" s="166">
        <v>0</v>
      </c>
      <c r="Y151" s="166">
        <v>6.5426298033419003E-3</v>
      </c>
      <c r="Z151" s="166">
        <v>3.0354261102394598E-3</v>
      </c>
    </row>
    <row r="152" spans="1:26">
      <c r="A152" s="4" t="s">
        <v>256</v>
      </c>
      <c r="B152" s="4">
        <v>556</v>
      </c>
      <c r="C152" s="4" t="s">
        <v>185</v>
      </c>
      <c r="D152" s="4" t="s">
        <v>284</v>
      </c>
      <c r="E152" s="4" t="s">
        <v>285</v>
      </c>
      <c r="F152" s="4" t="s">
        <v>153</v>
      </c>
      <c r="G152" s="4" t="s">
        <v>154</v>
      </c>
      <c r="H152" s="4" t="s">
        <v>155</v>
      </c>
      <c r="I152" s="4" t="s">
        <v>163</v>
      </c>
      <c r="J152" s="4" t="s">
        <v>157</v>
      </c>
      <c r="K152" s="4" t="s">
        <v>158</v>
      </c>
      <c r="L152" s="4" t="s">
        <v>159</v>
      </c>
      <c r="M152" s="150">
        <v>10.050000000000001</v>
      </c>
      <c r="N152" s="4" t="s">
        <v>286</v>
      </c>
      <c r="O152" s="165">
        <v>4.3749999999999997E-2</v>
      </c>
      <c r="P152" s="166">
        <v>4.5920000000000002E-2</v>
      </c>
      <c r="R152" s="150">
        <v>70000</v>
      </c>
      <c r="S152" s="150">
        <v>3.7589999999999999</v>
      </c>
      <c r="T152" s="150">
        <v>101.184</v>
      </c>
      <c r="U152" s="150">
        <v>266.24599999999998</v>
      </c>
      <c r="W152" s="4" t="s">
        <v>37</v>
      </c>
      <c r="X152" s="166">
        <v>3.1080000000000001E-3</v>
      </c>
      <c r="Y152" s="166">
        <v>1.7993012533024399E-3</v>
      </c>
      <c r="Z152" s="166">
        <v>8.3477839471691898E-4</v>
      </c>
    </row>
    <row r="153" spans="1:26">
      <c r="A153" s="4" t="s">
        <v>256</v>
      </c>
      <c r="B153" s="4">
        <v>556</v>
      </c>
      <c r="C153" s="4" t="s">
        <v>185</v>
      </c>
      <c r="D153" s="4" t="s">
        <v>244</v>
      </c>
      <c r="E153" s="4" t="s">
        <v>245</v>
      </c>
      <c r="F153" s="4" t="s">
        <v>153</v>
      </c>
      <c r="G153" s="4" t="s">
        <v>154</v>
      </c>
      <c r="H153" s="4" t="s">
        <v>155</v>
      </c>
      <c r="I153" s="4" t="s">
        <v>163</v>
      </c>
      <c r="J153" s="4" t="s">
        <v>157</v>
      </c>
      <c r="K153" s="4" t="s">
        <v>158</v>
      </c>
      <c r="L153" s="4" t="s">
        <v>159</v>
      </c>
      <c r="M153" s="150">
        <v>6.94</v>
      </c>
      <c r="N153" s="4" t="s">
        <v>246</v>
      </c>
      <c r="O153" s="165">
        <v>1.8749999999999999E-2</v>
      </c>
      <c r="P153" s="166">
        <v>4.6089999999999999E-2</v>
      </c>
      <c r="R153" s="150">
        <v>180000</v>
      </c>
      <c r="S153" s="150">
        <v>3.7589999999999999</v>
      </c>
      <c r="T153" s="150">
        <v>84.495999999999995</v>
      </c>
      <c r="U153" s="150">
        <v>571.71900000000005</v>
      </c>
      <c r="W153" s="4" t="s">
        <v>37</v>
      </c>
      <c r="X153" s="166">
        <v>0</v>
      </c>
      <c r="Y153" s="166">
        <v>3.8637050531845499E-3</v>
      </c>
      <c r="Z153" s="166">
        <v>1.79255002242524E-3</v>
      </c>
    </row>
    <row r="154" spans="1:26">
      <c r="A154" s="4" t="s">
        <v>256</v>
      </c>
      <c r="B154" s="4">
        <v>556</v>
      </c>
      <c r="C154" s="4" t="s">
        <v>185</v>
      </c>
      <c r="D154" s="4" t="s">
        <v>247</v>
      </c>
      <c r="E154" s="4" t="s">
        <v>248</v>
      </c>
      <c r="F154" s="4" t="s">
        <v>153</v>
      </c>
      <c r="G154" s="4" t="s">
        <v>154</v>
      </c>
      <c r="H154" s="4" t="s">
        <v>155</v>
      </c>
      <c r="I154" s="4" t="s">
        <v>163</v>
      </c>
      <c r="J154" s="4" t="s">
        <v>157</v>
      </c>
      <c r="K154" s="4" t="s">
        <v>158</v>
      </c>
      <c r="L154" s="4" t="s">
        <v>159</v>
      </c>
      <c r="M154" s="150">
        <v>13.51</v>
      </c>
      <c r="N154" s="4" t="s">
        <v>249</v>
      </c>
      <c r="O154" s="165">
        <v>2.75E-2</v>
      </c>
      <c r="P154" s="166">
        <v>4.8379999999999999E-2</v>
      </c>
      <c r="R154" s="150">
        <v>208000</v>
      </c>
      <c r="S154" s="150">
        <v>3.7589999999999999</v>
      </c>
      <c r="T154" s="150">
        <v>76.775999999999996</v>
      </c>
      <c r="U154" s="150">
        <v>600.28700000000003</v>
      </c>
      <c r="W154" s="4" t="s">
        <v>37</v>
      </c>
      <c r="X154" s="166">
        <v>0</v>
      </c>
      <c r="Y154" s="166">
        <v>4.0567707505469001E-3</v>
      </c>
      <c r="Z154" s="166">
        <v>1.88212205635965E-3</v>
      </c>
    </row>
    <row r="155" spans="1:26">
      <c r="A155" s="4" t="s">
        <v>256</v>
      </c>
      <c r="B155" s="4">
        <v>556</v>
      </c>
      <c r="C155" s="4" t="s">
        <v>185</v>
      </c>
      <c r="D155" s="4" t="s">
        <v>250</v>
      </c>
      <c r="E155" s="4" t="s">
        <v>251</v>
      </c>
      <c r="F155" s="4" t="s">
        <v>153</v>
      </c>
      <c r="G155" s="4" t="s">
        <v>154</v>
      </c>
      <c r="H155" s="4" t="s">
        <v>155</v>
      </c>
      <c r="I155" s="4" t="s">
        <v>163</v>
      </c>
      <c r="J155" s="4" t="s">
        <v>157</v>
      </c>
      <c r="K155" s="4" t="s">
        <v>158</v>
      </c>
      <c r="L155" s="4" t="s">
        <v>159</v>
      </c>
      <c r="M155" s="150">
        <v>14.19</v>
      </c>
      <c r="N155" s="4" t="s">
        <v>252</v>
      </c>
      <c r="O155" s="165">
        <v>0.03</v>
      </c>
      <c r="P155" s="166">
        <v>4.8489999999999998E-2</v>
      </c>
      <c r="R155" s="150">
        <v>120000</v>
      </c>
      <c r="S155" s="150">
        <v>3.7589999999999999</v>
      </c>
      <c r="T155" s="150">
        <v>78.266000000000005</v>
      </c>
      <c r="U155" s="150">
        <v>353.041</v>
      </c>
      <c r="W155" s="4" t="s">
        <v>37</v>
      </c>
      <c r="X155" s="166">
        <v>2.856E-3</v>
      </c>
      <c r="Y155" s="166">
        <v>2.38586661486431E-3</v>
      </c>
      <c r="Z155" s="166">
        <v>1.10691297475039E-3</v>
      </c>
    </row>
    <row r="156" spans="1:26">
      <c r="A156" s="4" t="s">
        <v>256</v>
      </c>
      <c r="B156" s="4">
        <v>556</v>
      </c>
      <c r="C156" s="4" t="s">
        <v>185</v>
      </c>
      <c r="D156" s="4" t="s">
        <v>287</v>
      </c>
      <c r="E156" s="4" t="s">
        <v>288</v>
      </c>
      <c r="F156" s="4" t="s">
        <v>153</v>
      </c>
      <c r="G156" s="4" t="s">
        <v>154</v>
      </c>
      <c r="H156" s="4" t="s">
        <v>155</v>
      </c>
      <c r="I156" s="4" t="s">
        <v>163</v>
      </c>
      <c r="J156" s="4" t="s">
        <v>157</v>
      </c>
      <c r="K156" s="4" t="s">
        <v>158</v>
      </c>
      <c r="L156" s="4" t="s">
        <v>159</v>
      </c>
      <c r="M156" s="150">
        <v>12.75</v>
      </c>
      <c r="N156" s="4" t="s">
        <v>289</v>
      </c>
      <c r="O156" s="165">
        <v>3.3750000000000002E-2</v>
      </c>
      <c r="P156" s="166">
        <v>4.8349999999999997E-2</v>
      </c>
      <c r="R156" s="150">
        <v>150000</v>
      </c>
      <c r="S156" s="150">
        <v>3.7589999999999999</v>
      </c>
      <c r="T156" s="150">
        <v>85.503</v>
      </c>
      <c r="U156" s="150">
        <v>482.10700000000003</v>
      </c>
      <c r="W156" s="4" t="s">
        <v>37</v>
      </c>
      <c r="X156" s="166">
        <v>3.9999999999999998E-6</v>
      </c>
      <c r="Y156" s="166">
        <v>3.2581033103795099E-3</v>
      </c>
      <c r="Z156" s="166">
        <v>1.5115835918351999E-3</v>
      </c>
    </row>
    <row r="157" spans="1:26">
      <c r="A157" s="4" t="s">
        <v>256</v>
      </c>
      <c r="B157" s="4">
        <v>556</v>
      </c>
      <c r="C157" s="4" t="s">
        <v>185</v>
      </c>
      <c r="D157" s="4" t="s">
        <v>253</v>
      </c>
      <c r="E157" s="4" t="s">
        <v>254</v>
      </c>
      <c r="F157" s="4" t="s">
        <v>153</v>
      </c>
      <c r="G157" s="4" t="s">
        <v>154</v>
      </c>
      <c r="H157" s="4" t="s">
        <v>155</v>
      </c>
      <c r="I157" s="4" t="s">
        <v>163</v>
      </c>
      <c r="J157" s="4" t="s">
        <v>157</v>
      </c>
      <c r="K157" s="4" t="s">
        <v>158</v>
      </c>
      <c r="L157" s="4" t="s">
        <v>159</v>
      </c>
      <c r="M157" s="150">
        <v>14.5</v>
      </c>
      <c r="N157" s="4" t="s">
        <v>255</v>
      </c>
      <c r="O157" s="165">
        <v>2.8750000000000001E-2</v>
      </c>
      <c r="P157" s="166">
        <v>4.8439999999999997E-2</v>
      </c>
      <c r="R157" s="150">
        <v>67000</v>
      </c>
      <c r="S157" s="150">
        <v>3.7589999999999999</v>
      </c>
      <c r="T157" s="150">
        <v>76.787000000000006</v>
      </c>
      <c r="U157" s="150">
        <v>193.39</v>
      </c>
      <c r="W157" s="4" t="s">
        <v>37</v>
      </c>
      <c r="X157" s="166">
        <v>1.9999999999999999E-6</v>
      </c>
      <c r="Y157" s="166">
        <v>1.306942234355E-3</v>
      </c>
      <c r="Z157" s="166">
        <v>6.0635045875734902E-4</v>
      </c>
    </row>
    <row r="158" spans="1:26">
      <c r="A158" s="4" t="s">
        <v>256</v>
      </c>
      <c r="B158" s="4">
        <v>7205</v>
      </c>
      <c r="C158" s="4" t="s">
        <v>27</v>
      </c>
      <c r="D158" s="4" t="s">
        <v>28</v>
      </c>
      <c r="E158" s="4" t="s">
        <v>29</v>
      </c>
      <c r="F158" s="4" t="s">
        <v>49</v>
      </c>
      <c r="G158" s="4" t="s">
        <v>31</v>
      </c>
      <c r="H158" s="4" t="s">
        <v>31</v>
      </c>
      <c r="I158" s="4" t="s">
        <v>32</v>
      </c>
      <c r="J158" s="4" t="s">
        <v>33</v>
      </c>
      <c r="K158" s="4" t="s">
        <v>34</v>
      </c>
      <c r="L158" s="4" t="s">
        <v>35</v>
      </c>
      <c r="M158" s="150">
        <v>0.16200000000000001</v>
      </c>
      <c r="N158" s="4" t="s">
        <v>36</v>
      </c>
      <c r="O158" s="165">
        <v>0</v>
      </c>
      <c r="P158" s="166">
        <v>4.4420000000000001E-2</v>
      </c>
      <c r="R158" s="150">
        <v>28389771</v>
      </c>
      <c r="S158" s="150">
        <v>1</v>
      </c>
      <c r="T158" s="150">
        <v>99.3</v>
      </c>
      <c r="U158" s="150">
        <v>28191.043000000001</v>
      </c>
      <c r="W158" s="4" t="s">
        <v>37</v>
      </c>
      <c r="X158" s="166">
        <v>4.679E-3</v>
      </c>
      <c r="Y158" s="166">
        <v>3.3829866132539202E-2</v>
      </c>
      <c r="Z158" s="166">
        <v>1.53272722982646E-2</v>
      </c>
    </row>
    <row r="159" spans="1:26">
      <c r="A159" s="4" t="s">
        <v>256</v>
      </c>
      <c r="B159" s="4">
        <v>7205</v>
      </c>
      <c r="C159" s="4" t="s">
        <v>27</v>
      </c>
      <c r="D159" s="4" t="s">
        <v>38</v>
      </c>
      <c r="E159" s="4" t="s">
        <v>39</v>
      </c>
      <c r="F159" s="4" t="s">
        <v>49</v>
      </c>
      <c r="G159" s="4" t="s">
        <v>31</v>
      </c>
      <c r="H159" s="4" t="s">
        <v>31</v>
      </c>
      <c r="I159" s="4" t="s">
        <v>32</v>
      </c>
      <c r="J159" s="4" t="s">
        <v>33</v>
      </c>
      <c r="K159" s="4" t="s">
        <v>34</v>
      </c>
      <c r="L159" s="4" t="s">
        <v>35</v>
      </c>
      <c r="M159" s="150">
        <v>0.41099999999999998</v>
      </c>
      <c r="N159" s="4" t="s">
        <v>40</v>
      </c>
      <c r="O159" s="165">
        <v>0</v>
      </c>
      <c r="P159" s="166">
        <v>4.3900000000000002E-2</v>
      </c>
      <c r="R159" s="150">
        <v>18627877</v>
      </c>
      <c r="S159" s="150">
        <v>1</v>
      </c>
      <c r="T159" s="150">
        <v>98.24</v>
      </c>
      <c r="U159" s="150">
        <v>18300.026000000002</v>
      </c>
      <c r="W159" s="4" t="s">
        <v>37</v>
      </c>
      <c r="X159" s="166">
        <v>2.0140000000000002E-3</v>
      </c>
      <c r="Y159" s="166">
        <v>2.1960430866691E-2</v>
      </c>
      <c r="Z159" s="166">
        <v>9.9495960865549002E-3</v>
      </c>
    </row>
    <row r="160" spans="1:26">
      <c r="A160" s="4" t="s">
        <v>256</v>
      </c>
      <c r="B160" s="4">
        <v>7205</v>
      </c>
      <c r="C160" s="4" t="s">
        <v>41</v>
      </c>
      <c r="D160" s="4" t="s">
        <v>42</v>
      </c>
      <c r="E160" s="4" t="s">
        <v>43</v>
      </c>
      <c r="F160" s="4" t="s">
        <v>44</v>
      </c>
      <c r="G160" s="4" t="s">
        <v>31</v>
      </c>
      <c r="H160" s="4" t="s">
        <v>31</v>
      </c>
      <c r="I160" s="4" t="s">
        <v>32</v>
      </c>
      <c r="J160" s="4" t="s">
        <v>33</v>
      </c>
      <c r="K160" s="4" t="s">
        <v>34</v>
      </c>
      <c r="L160" s="4" t="s">
        <v>35</v>
      </c>
      <c r="M160" s="150">
        <v>7.9000000000000001E-2</v>
      </c>
      <c r="N160" s="4" t="s">
        <v>45</v>
      </c>
      <c r="O160" s="165">
        <v>0.04</v>
      </c>
      <c r="P160" s="166">
        <v>4.7849999999999997E-2</v>
      </c>
      <c r="R160" s="150">
        <v>1296520</v>
      </c>
      <c r="S160" s="150">
        <v>1</v>
      </c>
      <c r="T160" s="150">
        <v>145.32</v>
      </c>
      <c r="U160" s="150">
        <v>1884.1030000000001</v>
      </c>
      <c r="W160" s="4" t="s">
        <v>37</v>
      </c>
      <c r="X160" s="166">
        <v>3.48E-4</v>
      </c>
      <c r="Y160" s="166">
        <v>2.2609645399305199E-3</v>
      </c>
      <c r="Z160" s="166">
        <v>1.02437352321957E-3</v>
      </c>
    </row>
    <row r="161" spans="1:26">
      <c r="A161" s="4" t="s">
        <v>256</v>
      </c>
      <c r="B161" s="4">
        <v>7205</v>
      </c>
      <c r="C161" s="4" t="s">
        <v>46</v>
      </c>
      <c r="D161" s="4" t="s">
        <v>47</v>
      </c>
      <c r="E161" s="4" t="s">
        <v>48</v>
      </c>
      <c r="F161" s="4" t="s">
        <v>49</v>
      </c>
      <c r="G161" s="4" t="s">
        <v>31</v>
      </c>
      <c r="H161" s="4" t="s">
        <v>31</v>
      </c>
      <c r="I161" s="4" t="s">
        <v>50</v>
      </c>
      <c r="J161" s="4" t="s">
        <v>33</v>
      </c>
      <c r="K161" s="4" t="s">
        <v>34</v>
      </c>
      <c r="L161" s="4" t="s">
        <v>35</v>
      </c>
      <c r="M161" s="150">
        <v>0.67400000000000004</v>
      </c>
      <c r="N161" s="4" t="s">
        <v>51</v>
      </c>
      <c r="O161" s="165">
        <v>0</v>
      </c>
      <c r="P161" s="166">
        <v>4.3360000000000003E-2</v>
      </c>
      <c r="R161" s="150">
        <v>4254436</v>
      </c>
      <c r="S161" s="150">
        <v>1</v>
      </c>
      <c r="T161" s="150">
        <v>97.17</v>
      </c>
      <c r="U161" s="150">
        <v>4134.0349999999999</v>
      </c>
      <c r="W161" s="4" t="s">
        <v>37</v>
      </c>
      <c r="X161" s="166">
        <v>3.5500000000000001E-4</v>
      </c>
      <c r="Y161" s="166">
        <v>4.96093274055367E-3</v>
      </c>
      <c r="Z161" s="166">
        <v>2.2476461086171902E-3</v>
      </c>
    </row>
    <row r="162" spans="1:26">
      <c r="A162" s="4" t="s">
        <v>256</v>
      </c>
      <c r="B162" s="4">
        <v>7205</v>
      </c>
      <c r="C162" s="4" t="s">
        <v>46</v>
      </c>
      <c r="D162" s="4" t="s">
        <v>52</v>
      </c>
      <c r="E162" s="4" t="s">
        <v>53</v>
      </c>
      <c r="F162" s="4" t="s">
        <v>49</v>
      </c>
      <c r="G162" s="4" t="s">
        <v>31</v>
      </c>
      <c r="H162" s="4" t="s">
        <v>31</v>
      </c>
      <c r="I162" s="4" t="s">
        <v>50</v>
      </c>
      <c r="J162" s="4" t="s">
        <v>33</v>
      </c>
      <c r="K162" s="4" t="s">
        <v>34</v>
      </c>
      <c r="L162" s="4" t="s">
        <v>35</v>
      </c>
      <c r="M162" s="150">
        <v>0.751</v>
      </c>
      <c r="N162" s="4" t="s">
        <v>54</v>
      </c>
      <c r="O162" s="165">
        <v>0</v>
      </c>
      <c r="P162" s="166">
        <v>4.2840000000000003E-2</v>
      </c>
      <c r="R162" s="150">
        <v>16602000</v>
      </c>
      <c r="S162" s="150">
        <v>1</v>
      </c>
      <c r="T162" s="150">
        <v>96.87</v>
      </c>
      <c r="U162" s="150">
        <v>16082.357</v>
      </c>
      <c r="W162" s="4" t="s">
        <v>37</v>
      </c>
      <c r="X162" s="166">
        <v>1.3829999999999999E-3</v>
      </c>
      <c r="Y162" s="166">
        <v>1.9299179728803399E-2</v>
      </c>
      <c r="Z162" s="166">
        <v>8.7438650119871508E-3</v>
      </c>
    </row>
    <row r="163" spans="1:26">
      <c r="A163" s="4" t="s">
        <v>256</v>
      </c>
      <c r="B163" s="4">
        <v>7205</v>
      </c>
      <c r="C163" s="4" t="s">
        <v>46</v>
      </c>
      <c r="D163" s="4" t="s">
        <v>55</v>
      </c>
      <c r="E163" s="4" t="s">
        <v>56</v>
      </c>
      <c r="F163" s="4" t="s">
        <v>49</v>
      </c>
      <c r="G163" s="4" t="s">
        <v>31</v>
      </c>
      <c r="H163" s="4" t="s">
        <v>31</v>
      </c>
      <c r="I163" s="4" t="s">
        <v>32</v>
      </c>
      <c r="J163" s="4" t="s">
        <v>33</v>
      </c>
      <c r="K163" s="4" t="s">
        <v>34</v>
      </c>
      <c r="L163" s="4" t="s">
        <v>35</v>
      </c>
      <c r="M163" s="150">
        <v>0.252</v>
      </c>
      <c r="N163" s="4" t="s">
        <v>57</v>
      </c>
      <c r="O163" s="165">
        <v>0</v>
      </c>
      <c r="P163" s="166">
        <v>4.2770000000000002E-2</v>
      </c>
      <c r="R163" s="150">
        <v>5238327</v>
      </c>
      <c r="S163" s="150">
        <v>1</v>
      </c>
      <c r="T163" s="150">
        <v>98.94</v>
      </c>
      <c r="U163" s="150">
        <v>5182.8010000000004</v>
      </c>
      <c r="W163" s="4" t="s">
        <v>37</v>
      </c>
      <c r="X163" s="166">
        <v>2.9100000000000003E-4</v>
      </c>
      <c r="Y163" s="166">
        <v>6.2194739472821604E-3</v>
      </c>
      <c r="Z163" s="166">
        <v>2.8178524375024202E-3</v>
      </c>
    </row>
    <row r="164" spans="1:26">
      <c r="A164" s="4" t="s">
        <v>256</v>
      </c>
      <c r="B164" s="4">
        <v>7205</v>
      </c>
      <c r="C164" s="4" t="s">
        <v>46</v>
      </c>
      <c r="D164" s="4" t="s">
        <v>58</v>
      </c>
      <c r="E164" s="4" t="s">
        <v>59</v>
      </c>
      <c r="F164" s="4" t="s">
        <v>49</v>
      </c>
      <c r="G164" s="4" t="s">
        <v>31</v>
      </c>
      <c r="H164" s="4" t="s">
        <v>31</v>
      </c>
      <c r="I164" s="4" t="s">
        <v>32</v>
      </c>
      <c r="J164" s="4" t="s">
        <v>33</v>
      </c>
      <c r="K164" s="4" t="s">
        <v>34</v>
      </c>
      <c r="L164" s="4" t="s">
        <v>35</v>
      </c>
      <c r="M164" s="150">
        <v>0.34799999999999998</v>
      </c>
      <c r="N164" s="4" t="s">
        <v>60</v>
      </c>
      <c r="O164" s="165">
        <v>0</v>
      </c>
      <c r="P164" s="166">
        <v>4.3479999999999998E-2</v>
      </c>
      <c r="R164" s="150">
        <v>16892812</v>
      </c>
      <c r="S164" s="150">
        <v>1</v>
      </c>
      <c r="T164" s="150">
        <v>98.53</v>
      </c>
      <c r="U164" s="150">
        <v>16644.488000000001</v>
      </c>
      <c r="W164" s="4" t="s">
        <v>37</v>
      </c>
      <c r="X164" s="166">
        <v>1.207E-3</v>
      </c>
      <c r="Y164" s="166">
        <v>1.9973748308420702E-2</v>
      </c>
      <c r="Z164" s="166">
        <v>9.0494912968545199E-3</v>
      </c>
    </row>
    <row r="165" spans="1:26">
      <c r="A165" s="4" t="s">
        <v>256</v>
      </c>
      <c r="B165" s="4">
        <v>7205</v>
      </c>
      <c r="C165" s="4" t="s">
        <v>46</v>
      </c>
      <c r="D165" s="4" t="s">
        <v>61</v>
      </c>
      <c r="E165" s="4" t="s">
        <v>62</v>
      </c>
      <c r="F165" s="4" t="s">
        <v>49</v>
      </c>
      <c r="G165" s="4" t="s">
        <v>31</v>
      </c>
      <c r="H165" s="4" t="s">
        <v>31</v>
      </c>
      <c r="I165" s="4" t="s">
        <v>32</v>
      </c>
      <c r="J165" s="4" t="s">
        <v>33</v>
      </c>
      <c r="K165" s="4" t="s">
        <v>34</v>
      </c>
      <c r="L165" s="4" t="s">
        <v>35</v>
      </c>
      <c r="M165" s="150">
        <v>0.42499999999999999</v>
      </c>
      <c r="N165" s="4" t="s">
        <v>63</v>
      </c>
      <c r="O165" s="165">
        <v>0</v>
      </c>
      <c r="P165" s="166">
        <v>4.3450000000000003E-2</v>
      </c>
      <c r="R165" s="150">
        <v>10821036</v>
      </c>
      <c r="S165" s="150">
        <v>1</v>
      </c>
      <c r="T165" s="150">
        <v>98.21</v>
      </c>
      <c r="U165" s="150">
        <v>10627.339</v>
      </c>
      <c r="W165" s="4" t="s">
        <v>37</v>
      </c>
      <c r="X165" s="166">
        <v>7.7300000000000003E-4</v>
      </c>
      <c r="Y165" s="166">
        <v>1.27530391901767E-2</v>
      </c>
      <c r="Z165" s="166">
        <v>5.7780099848005802E-3</v>
      </c>
    </row>
    <row r="166" spans="1:26">
      <c r="A166" s="4" t="s">
        <v>256</v>
      </c>
      <c r="B166" s="4">
        <v>7205</v>
      </c>
      <c r="C166" s="4" t="s">
        <v>46</v>
      </c>
      <c r="D166" s="4" t="s">
        <v>64</v>
      </c>
      <c r="E166" s="4" t="s">
        <v>65</v>
      </c>
      <c r="F166" s="4" t="s">
        <v>49</v>
      </c>
      <c r="G166" s="4" t="s">
        <v>31</v>
      </c>
      <c r="H166" s="4" t="s">
        <v>31</v>
      </c>
      <c r="I166" s="4" t="s">
        <v>32</v>
      </c>
      <c r="J166" s="4" t="s">
        <v>33</v>
      </c>
      <c r="K166" s="4" t="s">
        <v>34</v>
      </c>
      <c r="L166" s="4" t="s">
        <v>35</v>
      </c>
      <c r="M166" s="150">
        <v>0.52100000000000002</v>
      </c>
      <c r="N166" s="4" t="s">
        <v>66</v>
      </c>
      <c r="O166" s="165">
        <v>0</v>
      </c>
      <c r="P166" s="166">
        <v>4.3459999999999999E-2</v>
      </c>
      <c r="R166" s="150">
        <v>2901310</v>
      </c>
      <c r="S166" s="150">
        <v>1</v>
      </c>
      <c r="T166" s="150">
        <v>97.81</v>
      </c>
      <c r="U166" s="150">
        <v>2837.7710000000002</v>
      </c>
      <c r="W166" s="4" t="s">
        <v>37</v>
      </c>
      <c r="X166" s="166">
        <v>2.42E-4</v>
      </c>
      <c r="Y166" s="166">
        <v>3.4053874813297601E-3</v>
      </c>
      <c r="Z166" s="166">
        <v>1.5428763744719299E-3</v>
      </c>
    </row>
    <row r="167" spans="1:26">
      <c r="A167" s="4" t="s">
        <v>256</v>
      </c>
      <c r="B167" s="4">
        <v>7205</v>
      </c>
      <c r="C167" s="4" t="s">
        <v>46</v>
      </c>
      <c r="D167" s="4" t="s">
        <v>67</v>
      </c>
      <c r="E167" s="4" t="s">
        <v>68</v>
      </c>
      <c r="F167" s="4" t="s">
        <v>49</v>
      </c>
      <c r="G167" s="4" t="s">
        <v>31</v>
      </c>
      <c r="H167" s="4" t="s">
        <v>31</v>
      </c>
      <c r="I167" s="4" t="s">
        <v>32</v>
      </c>
      <c r="J167" s="4" t="s">
        <v>33</v>
      </c>
      <c r="K167" s="4" t="s">
        <v>34</v>
      </c>
      <c r="L167" s="4" t="s">
        <v>35</v>
      </c>
      <c r="M167" s="150">
        <v>0.59699999999999998</v>
      </c>
      <c r="N167" s="4" t="s">
        <v>69</v>
      </c>
      <c r="O167" s="165">
        <v>0</v>
      </c>
      <c r="P167" s="166">
        <v>4.3479999999999998E-2</v>
      </c>
      <c r="R167" s="150">
        <v>567860</v>
      </c>
      <c r="S167" s="150">
        <v>1</v>
      </c>
      <c r="T167" s="150">
        <v>97.48</v>
      </c>
      <c r="U167" s="150">
        <v>553.54999999999995</v>
      </c>
      <c r="W167" s="4" t="s">
        <v>37</v>
      </c>
      <c r="X167" s="166">
        <v>4.6999999999999997E-5</v>
      </c>
      <c r="Y167" s="166">
        <v>6.6427198971079902E-4</v>
      </c>
      <c r="Z167" s="166">
        <v>3.0096121653329301E-4</v>
      </c>
    </row>
    <row r="168" spans="1:26">
      <c r="A168" s="4" t="s">
        <v>256</v>
      </c>
      <c r="B168" s="4">
        <v>7205</v>
      </c>
      <c r="C168" s="4" t="s">
        <v>46</v>
      </c>
      <c r="D168" s="4" t="s">
        <v>70</v>
      </c>
      <c r="E168" s="4" t="s">
        <v>71</v>
      </c>
      <c r="F168" s="4" t="s">
        <v>49</v>
      </c>
      <c r="G168" s="4" t="s">
        <v>31</v>
      </c>
      <c r="H168" s="4" t="s">
        <v>31</v>
      </c>
      <c r="I168" s="4" t="s">
        <v>50</v>
      </c>
      <c r="J168" s="4" t="s">
        <v>33</v>
      </c>
      <c r="K168" s="4" t="s">
        <v>34</v>
      </c>
      <c r="L168" s="4" t="s">
        <v>35</v>
      </c>
      <c r="M168" s="150">
        <v>0.84699999999999998</v>
      </c>
      <c r="N168" s="4" t="s">
        <v>72</v>
      </c>
      <c r="O168" s="165">
        <v>0</v>
      </c>
      <c r="P168" s="166">
        <v>4.3240000000000001E-2</v>
      </c>
      <c r="R168" s="150">
        <v>9045000</v>
      </c>
      <c r="S168" s="150">
        <v>1</v>
      </c>
      <c r="T168" s="150">
        <v>96.48</v>
      </c>
      <c r="U168" s="150">
        <v>8726.616</v>
      </c>
      <c r="W168" s="4" t="s">
        <v>37</v>
      </c>
      <c r="X168" s="166">
        <v>6.4599999999999998E-4</v>
      </c>
      <c r="Y168" s="166">
        <v>1.04721295777354E-2</v>
      </c>
      <c r="Z168" s="166">
        <v>4.7445999624064596E-3</v>
      </c>
    </row>
    <row r="169" spans="1:26">
      <c r="A169" s="4" t="s">
        <v>256</v>
      </c>
      <c r="B169" s="4">
        <v>7205</v>
      </c>
      <c r="C169" s="4" t="s">
        <v>46</v>
      </c>
      <c r="D169" s="4" t="s">
        <v>73</v>
      </c>
      <c r="E169" s="4" t="s">
        <v>74</v>
      </c>
      <c r="F169" s="4" t="s">
        <v>49</v>
      </c>
      <c r="G169" s="4" t="s">
        <v>31</v>
      </c>
      <c r="H169" s="4" t="s">
        <v>31</v>
      </c>
      <c r="I169" s="4" t="s">
        <v>50</v>
      </c>
      <c r="J169" s="4" t="s">
        <v>33</v>
      </c>
      <c r="K169" s="4" t="s">
        <v>34</v>
      </c>
      <c r="L169" s="4" t="s">
        <v>35</v>
      </c>
      <c r="M169" s="150">
        <v>0.92300000000000004</v>
      </c>
      <c r="N169" s="4" t="s">
        <v>75</v>
      </c>
      <c r="O169" s="165">
        <v>0</v>
      </c>
      <c r="P169" s="166">
        <v>4.2849999999999999E-2</v>
      </c>
      <c r="R169" s="150">
        <v>10231000</v>
      </c>
      <c r="S169" s="150">
        <v>1</v>
      </c>
      <c r="T169" s="150">
        <v>96.17</v>
      </c>
      <c r="U169" s="150">
        <v>9839.1530000000002</v>
      </c>
      <c r="W169" s="4" t="s">
        <v>37</v>
      </c>
      <c r="X169" s="166">
        <v>8.5300000000000003E-4</v>
      </c>
      <c r="Y169" s="166">
        <v>1.18071978885659E-2</v>
      </c>
      <c r="Z169" s="166">
        <v>5.3494783694540303E-3</v>
      </c>
    </row>
    <row r="170" spans="1:26">
      <c r="A170" s="4" t="s">
        <v>256</v>
      </c>
      <c r="B170" s="4">
        <v>7205</v>
      </c>
      <c r="C170" s="4" t="s">
        <v>46</v>
      </c>
      <c r="D170" s="4" t="s">
        <v>76</v>
      </c>
      <c r="E170" s="4" t="s">
        <v>77</v>
      </c>
      <c r="F170" s="4" t="s">
        <v>49</v>
      </c>
      <c r="G170" s="4" t="s">
        <v>31</v>
      </c>
      <c r="H170" s="4" t="s">
        <v>31</v>
      </c>
      <c r="I170" s="4" t="s">
        <v>32</v>
      </c>
      <c r="J170" s="4" t="s">
        <v>33</v>
      </c>
      <c r="K170" s="4" t="s">
        <v>34</v>
      </c>
      <c r="L170" s="4" t="s">
        <v>35</v>
      </c>
      <c r="M170" s="150">
        <v>3.0000000000000001E-3</v>
      </c>
      <c r="N170" s="4" t="s">
        <v>78</v>
      </c>
      <c r="O170" s="165">
        <v>0</v>
      </c>
      <c r="P170" s="166">
        <v>0.11574</v>
      </c>
      <c r="R170" s="150">
        <v>18987146</v>
      </c>
      <c r="S170" s="150">
        <v>1</v>
      </c>
      <c r="T170" s="150">
        <v>99.97</v>
      </c>
      <c r="U170" s="150">
        <v>18981.45</v>
      </c>
      <c r="W170" s="4" t="s">
        <v>37</v>
      </c>
      <c r="X170" s="166">
        <v>4.3199999999999998E-4</v>
      </c>
      <c r="Y170" s="166">
        <v>2.2778153922140401E-2</v>
      </c>
      <c r="Z170" s="166">
        <v>1.0320081263361E-2</v>
      </c>
    </row>
    <row r="171" spans="1:26">
      <c r="A171" s="4" t="s">
        <v>256</v>
      </c>
      <c r="B171" s="4">
        <v>7205</v>
      </c>
      <c r="C171" s="4" t="s">
        <v>46</v>
      </c>
      <c r="D171" s="4" t="s">
        <v>79</v>
      </c>
      <c r="E171" s="4" t="s">
        <v>80</v>
      </c>
      <c r="F171" s="4" t="s">
        <v>49</v>
      </c>
      <c r="G171" s="4" t="s">
        <v>31</v>
      </c>
      <c r="H171" s="4" t="s">
        <v>31</v>
      </c>
      <c r="I171" s="4" t="s">
        <v>32</v>
      </c>
      <c r="J171" s="4" t="s">
        <v>33</v>
      </c>
      <c r="K171" s="4" t="s">
        <v>34</v>
      </c>
      <c r="L171" s="4" t="s">
        <v>35</v>
      </c>
      <c r="M171" s="150">
        <v>9.9000000000000005E-2</v>
      </c>
      <c r="N171" s="4" t="s">
        <v>81</v>
      </c>
      <c r="O171" s="165">
        <v>0</v>
      </c>
      <c r="P171" s="166">
        <v>4.36E-2</v>
      </c>
      <c r="R171" s="150">
        <v>28687790</v>
      </c>
      <c r="S171" s="150">
        <v>1</v>
      </c>
      <c r="T171" s="150">
        <v>99.58</v>
      </c>
      <c r="U171" s="150">
        <v>28567.300999999999</v>
      </c>
      <c r="W171" s="4" t="s">
        <v>37</v>
      </c>
      <c r="X171" s="166">
        <v>6.5200000000000002E-4</v>
      </c>
      <c r="Y171" s="166">
        <v>3.4281384755707203E-2</v>
      </c>
      <c r="Z171" s="166">
        <v>1.5531841505187299E-2</v>
      </c>
    </row>
    <row r="172" spans="1:26">
      <c r="A172" s="4" t="s">
        <v>256</v>
      </c>
      <c r="B172" s="4">
        <v>7205</v>
      </c>
      <c r="C172" s="4" t="s">
        <v>46</v>
      </c>
      <c r="D172" s="4" t="s">
        <v>82</v>
      </c>
      <c r="E172" s="4" t="s">
        <v>83</v>
      </c>
      <c r="F172" s="4" t="s">
        <v>49</v>
      </c>
      <c r="G172" s="4" t="s">
        <v>31</v>
      </c>
      <c r="H172" s="4" t="s">
        <v>31</v>
      </c>
      <c r="I172" s="4" t="s">
        <v>32</v>
      </c>
      <c r="J172" s="4" t="s">
        <v>33</v>
      </c>
      <c r="K172" s="4" t="s">
        <v>34</v>
      </c>
      <c r="L172" s="4" t="s">
        <v>35</v>
      </c>
      <c r="M172" s="150">
        <v>0.17499999999999999</v>
      </c>
      <c r="N172" s="4" t="s">
        <v>84</v>
      </c>
      <c r="O172" s="165">
        <v>0</v>
      </c>
      <c r="P172" s="166">
        <v>4.3270000000000003E-2</v>
      </c>
      <c r="R172" s="150">
        <v>13971116</v>
      </c>
      <c r="S172" s="150">
        <v>1</v>
      </c>
      <c r="T172" s="150">
        <v>99.26</v>
      </c>
      <c r="U172" s="150">
        <v>13867.73</v>
      </c>
      <c r="W172" s="4" t="s">
        <v>37</v>
      </c>
      <c r="X172" s="166">
        <v>3.1799999999999998E-4</v>
      </c>
      <c r="Y172" s="166">
        <v>1.6641578224944199E-2</v>
      </c>
      <c r="Z172" s="166">
        <v>7.5397874743953798E-3</v>
      </c>
    </row>
    <row r="173" spans="1:26">
      <c r="A173" s="4" t="s">
        <v>256</v>
      </c>
      <c r="B173" s="4">
        <v>7205</v>
      </c>
      <c r="C173" s="4" t="s">
        <v>41</v>
      </c>
      <c r="D173" s="4" t="s">
        <v>85</v>
      </c>
      <c r="E173" s="4" t="s">
        <v>86</v>
      </c>
      <c r="F173" s="4" t="s">
        <v>44</v>
      </c>
      <c r="G173" s="4" t="s">
        <v>31</v>
      </c>
      <c r="H173" s="4" t="s">
        <v>31</v>
      </c>
      <c r="I173" s="4" t="s">
        <v>32</v>
      </c>
      <c r="J173" s="4" t="s">
        <v>33</v>
      </c>
      <c r="K173" s="4" t="s">
        <v>34</v>
      </c>
      <c r="L173" s="4" t="s">
        <v>35</v>
      </c>
      <c r="M173" s="150">
        <v>2.89</v>
      </c>
      <c r="N173" s="4" t="s">
        <v>87</v>
      </c>
      <c r="O173" s="165">
        <v>7.4999999999999997E-3</v>
      </c>
      <c r="P173" s="166">
        <v>1.7010000000000001E-2</v>
      </c>
      <c r="R173" s="150">
        <v>34029978</v>
      </c>
      <c r="S173" s="150">
        <v>1</v>
      </c>
      <c r="T173" s="150">
        <v>111.66</v>
      </c>
      <c r="U173" s="150">
        <v>37997.873</v>
      </c>
      <c r="W173" s="4" t="s">
        <v>37</v>
      </c>
      <c r="X173" s="166">
        <v>1.5269999999999999E-3</v>
      </c>
      <c r="Y173" s="166">
        <v>4.5598277074139E-2</v>
      </c>
      <c r="Z173" s="166">
        <v>2.0659177494492399E-2</v>
      </c>
    </row>
    <row r="174" spans="1:26">
      <c r="A174" s="4" t="s">
        <v>256</v>
      </c>
      <c r="B174" s="4">
        <v>7205</v>
      </c>
      <c r="C174" s="4" t="s">
        <v>41</v>
      </c>
      <c r="D174" s="4" t="s">
        <v>88</v>
      </c>
      <c r="E174" s="4" t="s">
        <v>89</v>
      </c>
      <c r="F174" s="4" t="s">
        <v>44</v>
      </c>
      <c r="G174" s="4" t="s">
        <v>31</v>
      </c>
      <c r="H174" s="4" t="s">
        <v>31</v>
      </c>
      <c r="I174" s="4" t="s">
        <v>32</v>
      </c>
      <c r="J174" s="4" t="s">
        <v>33</v>
      </c>
      <c r="K174" s="4" t="s">
        <v>34</v>
      </c>
      <c r="L174" s="4" t="s">
        <v>35</v>
      </c>
      <c r="M174" s="150">
        <v>1.3240000000000001</v>
      </c>
      <c r="N174" s="4" t="s">
        <v>90</v>
      </c>
      <c r="O174" s="165">
        <v>7.4999999999999997E-3</v>
      </c>
      <c r="P174" s="166">
        <v>1.508E-2</v>
      </c>
      <c r="R174" s="150">
        <v>34333560</v>
      </c>
      <c r="S174" s="150">
        <v>1</v>
      </c>
      <c r="T174" s="150">
        <v>113.49</v>
      </c>
      <c r="U174" s="150">
        <v>38965.156999999999</v>
      </c>
      <c r="W174" s="4" t="s">
        <v>37</v>
      </c>
      <c r="X174" s="166">
        <v>1.5820000000000001E-3</v>
      </c>
      <c r="Y174" s="166">
        <v>4.6759038747207701E-2</v>
      </c>
      <c r="Z174" s="166">
        <v>2.1185082922755401E-2</v>
      </c>
    </row>
    <row r="175" spans="1:26">
      <c r="A175" s="4" t="s">
        <v>256</v>
      </c>
      <c r="B175" s="4">
        <v>7205</v>
      </c>
      <c r="C175" s="4" t="s">
        <v>41</v>
      </c>
      <c r="D175" s="4" t="s">
        <v>91</v>
      </c>
      <c r="E175" s="4" t="s">
        <v>92</v>
      </c>
      <c r="F175" s="4" t="s">
        <v>44</v>
      </c>
      <c r="G175" s="4" t="s">
        <v>31</v>
      </c>
      <c r="H175" s="4" t="s">
        <v>31</v>
      </c>
      <c r="I175" s="4" t="s">
        <v>32</v>
      </c>
      <c r="J175" s="4" t="s">
        <v>33</v>
      </c>
      <c r="K175" s="4" t="s">
        <v>34</v>
      </c>
      <c r="L175" s="4" t="s">
        <v>35</v>
      </c>
      <c r="M175" s="150">
        <v>7.3849999999999998</v>
      </c>
      <c r="N175" s="4" t="s">
        <v>93</v>
      </c>
      <c r="O175" s="165">
        <v>1E-3</v>
      </c>
      <c r="P175" s="166">
        <v>2.213E-2</v>
      </c>
      <c r="R175" s="150">
        <v>14721900</v>
      </c>
      <c r="S175" s="150">
        <v>1</v>
      </c>
      <c r="T175" s="150">
        <v>97.65</v>
      </c>
      <c r="U175" s="150">
        <v>14375.934999999999</v>
      </c>
      <c r="W175" s="4" t="s">
        <v>37</v>
      </c>
      <c r="X175" s="166">
        <v>4.8000000000000001E-4</v>
      </c>
      <c r="Y175" s="166">
        <v>1.7251436041914401E-2</v>
      </c>
      <c r="Z175" s="166">
        <v>7.81609530213862E-3</v>
      </c>
    </row>
    <row r="176" spans="1:26">
      <c r="A176" s="4" t="s">
        <v>256</v>
      </c>
      <c r="B176" s="4">
        <v>7205</v>
      </c>
      <c r="C176" s="4" t="s">
        <v>94</v>
      </c>
      <c r="D176" s="4" t="s">
        <v>95</v>
      </c>
      <c r="E176" s="4" t="s">
        <v>96</v>
      </c>
      <c r="F176" s="4" t="s">
        <v>97</v>
      </c>
      <c r="G176" s="4" t="s">
        <v>31</v>
      </c>
      <c r="H176" s="4" t="s">
        <v>31</v>
      </c>
      <c r="I176" s="4" t="s">
        <v>32</v>
      </c>
      <c r="J176" s="4" t="s">
        <v>33</v>
      </c>
      <c r="K176" s="4" t="s">
        <v>34</v>
      </c>
      <c r="L176" s="4" t="s">
        <v>35</v>
      </c>
      <c r="M176" s="150">
        <v>4.0140000000000002</v>
      </c>
      <c r="N176" s="4" t="s">
        <v>98</v>
      </c>
      <c r="O176" s="165">
        <v>2.2499999999999999E-2</v>
      </c>
      <c r="P176" s="166">
        <v>4.6309999999999997E-2</v>
      </c>
      <c r="R176" s="150">
        <v>26825002</v>
      </c>
      <c r="S176" s="150">
        <v>1</v>
      </c>
      <c r="T176" s="150">
        <v>92.73</v>
      </c>
      <c r="U176" s="150">
        <v>24874.824000000001</v>
      </c>
      <c r="W176" s="4" t="s">
        <v>37</v>
      </c>
      <c r="X176" s="166">
        <v>8.8000000000000003E-4</v>
      </c>
      <c r="Y176" s="166">
        <v>2.9850331888647198E-2</v>
      </c>
      <c r="Z176" s="166">
        <v>1.35242676769211E-2</v>
      </c>
    </row>
    <row r="177" spans="1:26">
      <c r="A177" s="4" t="s">
        <v>256</v>
      </c>
      <c r="B177" s="4">
        <v>7205</v>
      </c>
      <c r="C177" s="4" t="s">
        <v>94</v>
      </c>
      <c r="D177" s="4" t="s">
        <v>99</v>
      </c>
      <c r="E177" s="4" t="s">
        <v>100</v>
      </c>
      <c r="F177" s="4" t="s">
        <v>97</v>
      </c>
      <c r="G177" s="4" t="s">
        <v>31</v>
      </c>
      <c r="H177" s="4" t="s">
        <v>31</v>
      </c>
      <c r="I177" s="4" t="s">
        <v>32</v>
      </c>
      <c r="J177" s="4" t="s">
        <v>33</v>
      </c>
      <c r="K177" s="4" t="s">
        <v>34</v>
      </c>
      <c r="L177" s="4" t="s">
        <v>35</v>
      </c>
      <c r="M177" s="150">
        <v>3.0680000000000001</v>
      </c>
      <c r="N177" s="4" t="s">
        <v>101</v>
      </c>
      <c r="O177" s="165">
        <v>3.7499999999999999E-2</v>
      </c>
      <c r="P177" s="166">
        <v>4.5749999999999999E-2</v>
      </c>
      <c r="R177" s="150">
        <v>13481000</v>
      </c>
      <c r="S177" s="150">
        <v>1</v>
      </c>
      <c r="T177" s="150">
        <v>99.11</v>
      </c>
      <c r="U177" s="150">
        <v>13361.019</v>
      </c>
      <c r="W177" s="4" t="s">
        <v>37</v>
      </c>
      <c r="X177" s="166">
        <v>1.299E-3</v>
      </c>
      <c r="Y177" s="166">
        <v>1.6033514400747899E-2</v>
      </c>
      <c r="Z177" s="166">
        <v>7.2642924496244604E-3</v>
      </c>
    </row>
    <row r="178" spans="1:26">
      <c r="A178" s="4" t="s">
        <v>256</v>
      </c>
      <c r="B178" s="4">
        <v>7205</v>
      </c>
      <c r="C178" s="4" t="s">
        <v>94</v>
      </c>
      <c r="D178" s="4" t="s">
        <v>102</v>
      </c>
      <c r="E178" s="4" t="s">
        <v>103</v>
      </c>
      <c r="F178" s="4" t="s">
        <v>97</v>
      </c>
      <c r="G178" s="4" t="s">
        <v>31</v>
      </c>
      <c r="H178" s="4" t="s">
        <v>31</v>
      </c>
      <c r="I178" s="4" t="s">
        <v>32</v>
      </c>
      <c r="J178" s="4" t="s">
        <v>33</v>
      </c>
      <c r="K178" s="4" t="s">
        <v>34</v>
      </c>
      <c r="L178" s="4" t="s">
        <v>35</v>
      </c>
      <c r="M178" s="150">
        <v>1.6519999999999999</v>
      </c>
      <c r="N178" s="4" t="s">
        <v>104</v>
      </c>
      <c r="O178" s="165">
        <v>5.0000000000000001E-3</v>
      </c>
      <c r="P178" s="166">
        <v>4.4010000000000001E-2</v>
      </c>
      <c r="R178" s="150">
        <v>16972610</v>
      </c>
      <c r="S178" s="150">
        <v>1</v>
      </c>
      <c r="T178" s="150">
        <v>94.09</v>
      </c>
      <c r="U178" s="150">
        <v>15969.529</v>
      </c>
      <c r="W178" s="4" t="s">
        <v>37</v>
      </c>
      <c r="X178" s="166">
        <v>6.11E-4</v>
      </c>
      <c r="Y178" s="166">
        <v>1.9163782886160999E-2</v>
      </c>
      <c r="Z178" s="166">
        <v>8.6825208651502804E-3</v>
      </c>
    </row>
    <row r="179" spans="1:26">
      <c r="A179" s="4" t="s">
        <v>256</v>
      </c>
      <c r="B179" s="4">
        <v>7205</v>
      </c>
      <c r="C179" s="4" t="s">
        <v>94</v>
      </c>
      <c r="D179" s="4" t="s">
        <v>105</v>
      </c>
      <c r="E179" s="4" t="s">
        <v>106</v>
      </c>
      <c r="F179" s="4" t="s">
        <v>97</v>
      </c>
      <c r="G179" s="4" t="s">
        <v>31</v>
      </c>
      <c r="H179" s="4" t="s">
        <v>31</v>
      </c>
      <c r="I179" s="4" t="s">
        <v>32</v>
      </c>
      <c r="J179" s="4" t="s">
        <v>33</v>
      </c>
      <c r="K179" s="4" t="s">
        <v>34</v>
      </c>
      <c r="L179" s="4" t="s">
        <v>35</v>
      </c>
      <c r="M179" s="150">
        <v>4.306</v>
      </c>
      <c r="N179" s="4" t="s">
        <v>107</v>
      </c>
      <c r="O179" s="165">
        <v>3.7499999999999999E-2</v>
      </c>
      <c r="P179" s="166">
        <v>4.6649999999999997E-2</v>
      </c>
      <c r="R179" s="150">
        <v>545000</v>
      </c>
      <c r="S179" s="150">
        <v>1</v>
      </c>
      <c r="T179" s="150">
        <v>97.49</v>
      </c>
      <c r="U179" s="150">
        <v>531.32100000000003</v>
      </c>
      <c r="W179" s="4" t="s">
        <v>37</v>
      </c>
      <c r="X179" s="166">
        <v>2.0999999999999999E-5</v>
      </c>
      <c r="Y179" s="166">
        <v>6.3759619115899601E-4</v>
      </c>
      <c r="Z179" s="166">
        <v>2.88875232315228E-4</v>
      </c>
    </row>
    <row r="180" spans="1:26">
      <c r="A180" s="4" t="s">
        <v>256</v>
      </c>
      <c r="B180" s="4">
        <v>7205</v>
      </c>
      <c r="C180" s="4" t="s">
        <v>94</v>
      </c>
      <c r="D180" s="4" t="s">
        <v>108</v>
      </c>
      <c r="E180" s="4" t="s">
        <v>109</v>
      </c>
      <c r="F180" s="4" t="s">
        <v>97</v>
      </c>
      <c r="G180" s="4" t="s">
        <v>31</v>
      </c>
      <c r="H180" s="4" t="s">
        <v>31</v>
      </c>
      <c r="I180" s="4" t="s">
        <v>32</v>
      </c>
      <c r="J180" s="4" t="s">
        <v>33</v>
      </c>
      <c r="K180" s="4" t="s">
        <v>34</v>
      </c>
      <c r="L180" s="4" t="s">
        <v>35</v>
      </c>
      <c r="M180" s="150">
        <v>2.6840000000000002</v>
      </c>
      <c r="N180" s="4" t="s">
        <v>110</v>
      </c>
      <c r="O180" s="165">
        <v>0.02</v>
      </c>
      <c r="P180" s="166">
        <v>4.487E-2</v>
      </c>
      <c r="R180" s="150">
        <v>26913107</v>
      </c>
      <c r="S180" s="150">
        <v>1</v>
      </c>
      <c r="T180" s="150">
        <v>94.2</v>
      </c>
      <c r="U180" s="150">
        <v>25352.147000000001</v>
      </c>
      <c r="W180" s="4" t="s">
        <v>37</v>
      </c>
      <c r="X180" s="166">
        <v>1.042E-3</v>
      </c>
      <c r="Y180" s="166">
        <v>3.0423129229077701E-2</v>
      </c>
      <c r="Z180" s="166">
        <v>1.37837845421107E-2</v>
      </c>
    </row>
    <row r="181" spans="1:26">
      <c r="A181" s="4" t="s">
        <v>256</v>
      </c>
      <c r="B181" s="4">
        <v>7205</v>
      </c>
      <c r="C181" s="4" t="s">
        <v>94</v>
      </c>
      <c r="D181" s="4" t="s">
        <v>111</v>
      </c>
      <c r="E181" s="4" t="s">
        <v>112</v>
      </c>
      <c r="F181" s="4" t="s">
        <v>97</v>
      </c>
      <c r="G181" s="4" t="s">
        <v>31</v>
      </c>
      <c r="H181" s="4" t="s">
        <v>31</v>
      </c>
      <c r="I181" s="4" t="s">
        <v>32</v>
      </c>
      <c r="J181" s="4" t="s">
        <v>33</v>
      </c>
      <c r="K181" s="4" t="s">
        <v>34</v>
      </c>
      <c r="L181" s="4" t="s">
        <v>35</v>
      </c>
      <c r="M181" s="150">
        <v>8.7520000000000007</v>
      </c>
      <c r="N181" s="4" t="s">
        <v>113</v>
      </c>
      <c r="O181" s="165">
        <v>0.04</v>
      </c>
      <c r="P181" s="166">
        <v>5.0720000000000001E-2</v>
      </c>
      <c r="R181" s="150">
        <v>4900000</v>
      </c>
      <c r="S181" s="150">
        <v>1</v>
      </c>
      <c r="T181" s="150">
        <v>92.5</v>
      </c>
      <c r="U181" s="150">
        <v>4532.5</v>
      </c>
      <c r="W181" s="4" t="s">
        <v>37</v>
      </c>
      <c r="X181" s="166">
        <v>4.4099999999999999E-4</v>
      </c>
      <c r="Y181" s="166">
        <v>5.4390988799192796E-3</v>
      </c>
      <c r="Z181" s="166">
        <v>2.4642884858927299E-3</v>
      </c>
    </row>
    <row r="182" spans="1:26">
      <c r="A182" s="4" t="s">
        <v>256</v>
      </c>
      <c r="B182" s="4">
        <v>7205</v>
      </c>
      <c r="C182" s="4" t="s">
        <v>94</v>
      </c>
      <c r="D182" s="4" t="s">
        <v>114</v>
      </c>
      <c r="E182" s="4" t="s">
        <v>115</v>
      </c>
      <c r="F182" s="4" t="s">
        <v>97</v>
      </c>
      <c r="G182" s="4" t="s">
        <v>31</v>
      </c>
      <c r="H182" s="4" t="s">
        <v>31</v>
      </c>
      <c r="I182" s="4" t="s">
        <v>32</v>
      </c>
      <c r="J182" s="4" t="s">
        <v>33</v>
      </c>
      <c r="K182" s="4" t="s">
        <v>34</v>
      </c>
      <c r="L182" s="4" t="s">
        <v>35</v>
      </c>
      <c r="M182" s="150">
        <v>14.472</v>
      </c>
      <c r="N182" s="4" t="s">
        <v>116</v>
      </c>
      <c r="O182" s="165">
        <v>3.7499999999999999E-2</v>
      </c>
      <c r="P182" s="166">
        <v>5.4850000000000003E-2</v>
      </c>
      <c r="R182" s="150">
        <v>12212477</v>
      </c>
      <c r="S182" s="150">
        <v>1</v>
      </c>
      <c r="T182" s="150">
        <v>78.790000000000006</v>
      </c>
      <c r="U182" s="150">
        <v>9622.2109999999993</v>
      </c>
      <c r="W182" s="4" t="s">
        <v>37</v>
      </c>
      <c r="X182" s="166">
        <v>4.6500000000000003E-4</v>
      </c>
      <c r="Y182" s="166">
        <v>1.15468626697703E-2</v>
      </c>
      <c r="Z182" s="166">
        <v>5.2315284854173999E-3</v>
      </c>
    </row>
    <row r="183" spans="1:26">
      <c r="A183" s="4" t="s">
        <v>256</v>
      </c>
      <c r="B183" s="4">
        <v>7205</v>
      </c>
      <c r="C183" s="4" t="s">
        <v>94</v>
      </c>
      <c r="D183" s="4" t="s">
        <v>117</v>
      </c>
      <c r="E183" s="4" t="s">
        <v>118</v>
      </c>
      <c r="F183" s="4" t="s">
        <v>97</v>
      </c>
      <c r="G183" s="4" t="s">
        <v>31</v>
      </c>
      <c r="H183" s="4" t="s">
        <v>31</v>
      </c>
      <c r="I183" s="4" t="s">
        <v>32</v>
      </c>
      <c r="J183" s="4" t="s">
        <v>33</v>
      </c>
      <c r="K183" s="4" t="s">
        <v>34</v>
      </c>
      <c r="L183" s="4" t="s">
        <v>35</v>
      </c>
      <c r="M183" s="150">
        <v>1.147</v>
      </c>
      <c r="N183" s="4" t="s">
        <v>119</v>
      </c>
      <c r="O183" s="165">
        <v>1.7500000000000002E-2</v>
      </c>
      <c r="P183" s="166">
        <v>4.3049999999999998E-2</v>
      </c>
      <c r="R183" s="150">
        <v>24898507</v>
      </c>
      <c r="S183" s="150">
        <v>1</v>
      </c>
      <c r="T183" s="150">
        <v>98.7</v>
      </c>
      <c r="U183" s="150">
        <v>24574.826000000001</v>
      </c>
      <c r="W183" s="4" t="s">
        <v>37</v>
      </c>
      <c r="X183" s="166">
        <v>1.047E-3</v>
      </c>
      <c r="Y183" s="166">
        <v>2.94903278092449E-2</v>
      </c>
      <c r="Z183" s="166">
        <v>1.3361160896307E-2</v>
      </c>
    </row>
    <row r="184" spans="1:26">
      <c r="A184" s="4" t="s">
        <v>256</v>
      </c>
      <c r="B184" s="4">
        <v>7205</v>
      </c>
      <c r="C184" s="4" t="s">
        <v>94</v>
      </c>
      <c r="D184" s="4" t="s">
        <v>120</v>
      </c>
      <c r="E184" s="4" t="s">
        <v>121</v>
      </c>
      <c r="F184" s="4" t="s">
        <v>97</v>
      </c>
      <c r="G184" s="4" t="s">
        <v>31</v>
      </c>
      <c r="H184" s="4" t="s">
        <v>31</v>
      </c>
      <c r="I184" s="4" t="s">
        <v>32</v>
      </c>
      <c r="J184" s="4" t="s">
        <v>33</v>
      </c>
      <c r="K184" s="4" t="s">
        <v>34</v>
      </c>
      <c r="L184" s="4" t="s">
        <v>35</v>
      </c>
      <c r="M184" s="150">
        <v>16.815999999999999</v>
      </c>
      <c r="N184" s="4" t="s">
        <v>122</v>
      </c>
      <c r="O184" s="165">
        <v>2.8000000000000001E-2</v>
      </c>
      <c r="P184" s="166">
        <v>5.57E-2</v>
      </c>
      <c r="R184" s="150">
        <v>2479966</v>
      </c>
      <c r="S184" s="150">
        <v>1</v>
      </c>
      <c r="T184" s="150">
        <v>62.6</v>
      </c>
      <c r="U184" s="150">
        <v>1552.4590000000001</v>
      </c>
      <c r="W184" s="4" t="s">
        <v>37</v>
      </c>
      <c r="X184" s="166">
        <v>1.4899999999999999E-4</v>
      </c>
      <c r="Y184" s="166">
        <v>1.8629843272623299E-3</v>
      </c>
      <c r="Z184" s="166">
        <v>8.4406092413957302E-4</v>
      </c>
    </row>
    <row r="185" spans="1:26">
      <c r="A185" s="4" t="s">
        <v>256</v>
      </c>
      <c r="B185" s="4">
        <v>7205</v>
      </c>
      <c r="C185" s="4" t="s">
        <v>257</v>
      </c>
      <c r="D185" s="4" t="s">
        <v>258</v>
      </c>
      <c r="E185" s="4" t="s">
        <v>259</v>
      </c>
      <c r="F185" s="4" t="s">
        <v>260</v>
      </c>
      <c r="G185" s="4" t="s">
        <v>31</v>
      </c>
      <c r="H185" s="4" t="s">
        <v>31</v>
      </c>
      <c r="I185" s="4" t="s">
        <v>32</v>
      </c>
      <c r="J185" s="4" t="s">
        <v>33</v>
      </c>
      <c r="K185" s="4" t="s">
        <v>34</v>
      </c>
      <c r="L185" s="4" t="s">
        <v>35</v>
      </c>
      <c r="M185" s="150">
        <v>5.6040000000000001</v>
      </c>
      <c r="N185" s="4" t="s">
        <v>261</v>
      </c>
      <c r="O185" s="165">
        <v>4.3200000000000002E-2</v>
      </c>
      <c r="P185" s="166">
        <v>4.9509999999999998E-2</v>
      </c>
      <c r="R185" s="150">
        <v>592500</v>
      </c>
      <c r="S185" s="150">
        <v>1</v>
      </c>
      <c r="T185" s="150">
        <v>97.22</v>
      </c>
      <c r="U185" s="150">
        <v>576.029</v>
      </c>
      <c r="W185" s="4" t="s">
        <v>37</v>
      </c>
      <c r="X185" s="166">
        <v>1.9000000000000001E-5</v>
      </c>
      <c r="Y185" s="166">
        <v>6.9124676649786698E-4</v>
      </c>
      <c r="Z185" s="166">
        <v>3.1318265859813801E-4</v>
      </c>
    </row>
    <row r="186" spans="1:26">
      <c r="A186" s="4" t="s">
        <v>256</v>
      </c>
      <c r="B186" s="4">
        <v>7205</v>
      </c>
      <c r="C186" s="4" t="s">
        <v>41</v>
      </c>
      <c r="D186" s="4" t="s">
        <v>290</v>
      </c>
      <c r="E186" s="4" t="s">
        <v>291</v>
      </c>
      <c r="F186" s="4" t="s">
        <v>44</v>
      </c>
      <c r="G186" s="4" t="s">
        <v>31</v>
      </c>
      <c r="H186" s="4" t="s">
        <v>31</v>
      </c>
      <c r="I186" s="4" t="s">
        <v>32</v>
      </c>
      <c r="J186" s="4" t="s">
        <v>33</v>
      </c>
      <c r="K186" s="4" t="s">
        <v>34</v>
      </c>
      <c r="L186" s="4" t="s">
        <v>35</v>
      </c>
      <c r="M186" s="150">
        <v>13.718</v>
      </c>
      <c r="N186" s="4" t="s">
        <v>292</v>
      </c>
      <c r="O186" s="165">
        <v>2.75E-2</v>
      </c>
      <c r="P186" s="166">
        <v>2.3609999999999999E-2</v>
      </c>
      <c r="R186" s="150">
        <v>4355080</v>
      </c>
      <c r="S186" s="150">
        <v>1</v>
      </c>
      <c r="T186" s="150">
        <v>131.08000000000001</v>
      </c>
      <c r="U186" s="150">
        <v>5708.6390000000001</v>
      </c>
      <c r="W186" s="4" t="s">
        <v>37</v>
      </c>
      <c r="X186" s="166">
        <v>2.2900000000000001E-4</v>
      </c>
      <c r="Y186" s="166">
        <v>6.8504911750791103E-3</v>
      </c>
      <c r="Z186" s="166">
        <v>3.1037469437782601E-3</v>
      </c>
    </row>
    <row r="187" spans="1:26">
      <c r="A187" s="4" t="s">
        <v>256</v>
      </c>
      <c r="B187" s="4">
        <v>7205</v>
      </c>
      <c r="C187" s="4" t="s">
        <v>41</v>
      </c>
      <c r="D187" s="4" t="s">
        <v>262</v>
      </c>
      <c r="E187" s="4" t="s">
        <v>263</v>
      </c>
      <c r="F187" s="4" t="s">
        <v>44</v>
      </c>
      <c r="G187" s="4" t="s">
        <v>31</v>
      </c>
      <c r="H187" s="4" t="s">
        <v>31</v>
      </c>
      <c r="I187" s="4" t="s">
        <v>32</v>
      </c>
      <c r="J187" s="4" t="s">
        <v>33</v>
      </c>
      <c r="K187" s="4" t="s">
        <v>34</v>
      </c>
      <c r="L187" s="4" t="s">
        <v>35</v>
      </c>
      <c r="M187" s="150">
        <v>9.8770000000000007</v>
      </c>
      <c r="N187" s="4" t="s">
        <v>264</v>
      </c>
      <c r="O187" s="165">
        <v>0.04</v>
      </c>
      <c r="P187" s="166">
        <v>2.3189999999999999E-2</v>
      </c>
      <c r="R187" s="150">
        <v>5221607</v>
      </c>
      <c r="S187" s="150">
        <v>1</v>
      </c>
      <c r="T187" s="150">
        <v>159.08000000000001</v>
      </c>
      <c r="U187" s="150">
        <v>8306.5319999999992</v>
      </c>
      <c r="W187" s="4" t="s">
        <v>37</v>
      </c>
      <c r="X187" s="166">
        <v>3.28E-4</v>
      </c>
      <c r="Y187" s="166">
        <v>9.9680201120139304E-3</v>
      </c>
      <c r="Z187" s="166">
        <v>4.5162034615461302E-3</v>
      </c>
    </row>
    <row r="188" spans="1:26">
      <c r="A188" s="4" t="s">
        <v>256</v>
      </c>
      <c r="B188" s="4">
        <v>7205</v>
      </c>
      <c r="C188" s="4" t="s">
        <v>94</v>
      </c>
      <c r="D188" s="4" t="s">
        <v>123</v>
      </c>
      <c r="E188" s="4" t="s">
        <v>124</v>
      </c>
      <c r="F188" s="4" t="s">
        <v>97</v>
      </c>
      <c r="G188" s="4" t="s">
        <v>31</v>
      </c>
      <c r="H188" s="4" t="s">
        <v>31</v>
      </c>
      <c r="I188" s="4" t="s">
        <v>32</v>
      </c>
      <c r="J188" s="4" t="s">
        <v>33</v>
      </c>
      <c r="K188" s="4" t="s">
        <v>34</v>
      </c>
      <c r="L188" s="4" t="s">
        <v>35</v>
      </c>
      <c r="M188" s="150">
        <v>11.5</v>
      </c>
      <c r="N188" s="4" t="s">
        <v>125</v>
      </c>
      <c r="O188" s="165">
        <v>5.5E-2</v>
      </c>
      <c r="P188" s="166">
        <v>5.3670000000000002E-2</v>
      </c>
      <c r="R188" s="150">
        <v>1157934</v>
      </c>
      <c r="S188" s="150">
        <v>1</v>
      </c>
      <c r="T188" s="150">
        <v>104.09</v>
      </c>
      <c r="U188" s="150">
        <v>1205.2940000000001</v>
      </c>
      <c r="W188" s="4" t="s">
        <v>37</v>
      </c>
      <c r="X188" s="166">
        <v>6.0000000000000002E-5</v>
      </c>
      <c r="Y188" s="166">
        <v>1.4463784951103001E-3</v>
      </c>
      <c r="Z188" s="166">
        <v>6.5530962948702096E-4</v>
      </c>
    </row>
    <row r="189" spans="1:26">
      <c r="A189" s="4" t="s">
        <v>256</v>
      </c>
      <c r="B189" s="4">
        <v>7205</v>
      </c>
      <c r="C189" s="4" t="s">
        <v>257</v>
      </c>
      <c r="D189" s="4" t="s">
        <v>265</v>
      </c>
      <c r="E189" s="4" t="s">
        <v>266</v>
      </c>
      <c r="F189" s="4" t="s">
        <v>260</v>
      </c>
      <c r="G189" s="4" t="s">
        <v>31</v>
      </c>
      <c r="H189" s="4" t="s">
        <v>31</v>
      </c>
      <c r="I189" s="4" t="s">
        <v>32</v>
      </c>
      <c r="J189" s="4" t="s">
        <v>33</v>
      </c>
      <c r="K189" s="4" t="s">
        <v>34</v>
      </c>
      <c r="L189" s="4" t="s">
        <v>35</v>
      </c>
      <c r="M189" s="150">
        <v>1.839</v>
      </c>
      <c r="N189" s="4" t="s">
        <v>267</v>
      </c>
      <c r="O189" s="165">
        <v>4.3200000000000002E-2</v>
      </c>
      <c r="P189" s="166">
        <v>4.6899999999999997E-2</v>
      </c>
      <c r="R189" s="150">
        <v>840000</v>
      </c>
      <c r="S189" s="150">
        <v>1</v>
      </c>
      <c r="T189" s="150">
        <v>99.64</v>
      </c>
      <c r="U189" s="150">
        <v>836.976</v>
      </c>
      <c r="W189" s="4" t="s">
        <v>37</v>
      </c>
      <c r="X189" s="166">
        <v>4.0000000000000003E-5</v>
      </c>
      <c r="Y189" s="166">
        <v>1.00438945926516E-3</v>
      </c>
      <c r="Z189" s="166">
        <v>4.5505798560806497E-4</v>
      </c>
    </row>
    <row r="190" spans="1:26">
      <c r="A190" s="4" t="s">
        <v>256</v>
      </c>
      <c r="B190" s="4">
        <v>7205</v>
      </c>
      <c r="C190" s="4" t="s">
        <v>41</v>
      </c>
      <c r="D190" s="4" t="s">
        <v>126</v>
      </c>
      <c r="E190" s="4" t="s">
        <v>127</v>
      </c>
      <c r="F190" s="4" t="s">
        <v>44</v>
      </c>
      <c r="G190" s="4" t="s">
        <v>31</v>
      </c>
      <c r="H190" s="4" t="s">
        <v>31</v>
      </c>
      <c r="I190" s="4" t="s">
        <v>32</v>
      </c>
      <c r="J190" s="4" t="s">
        <v>33</v>
      </c>
      <c r="K190" s="4" t="s">
        <v>34</v>
      </c>
      <c r="L190" s="4" t="s">
        <v>35</v>
      </c>
      <c r="M190" s="150">
        <v>4.8630000000000004</v>
      </c>
      <c r="N190" s="4" t="s">
        <v>128</v>
      </c>
      <c r="O190" s="165">
        <v>5.0000000000000001E-3</v>
      </c>
      <c r="P190" s="166">
        <v>1.9820000000000001E-2</v>
      </c>
      <c r="R190" s="150">
        <v>16621011</v>
      </c>
      <c r="S190" s="150">
        <v>1</v>
      </c>
      <c r="T190" s="150">
        <v>105.85</v>
      </c>
      <c r="U190" s="150">
        <v>17593.34</v>
      </c>
      <c r="W190" s="4" t="s">
        <v>37</v>
      </c>
      <c r="X190" s="166">
        <v>6.9099999999999999E-4</v>
      </c>
      <c r="Y190" s="166">
        <v>2.1112391984235999E-2</v>
      </c>
      <c r="Z190" s="166">
        <v>9.5653757405452702E-3</v>
      </c>
    </row>
    <row r="191" spans="1:26">
      <c r="A191" s="4" t="s">
        <v>256</v>
      </c>
      <c r="B191" s="4">
        <v>7205</v>
      </c>
      <c r="C191" s="4" t="s">
        <v>41</v>
      </c>
      <c r="D191" s="4" t="s">
        <v>129</v>
      </c>
      <c r="E191" s="4" t="s">
        <v>130</v>
      </c>
      <c r="F191" s="4" t="s">
        <v>44</v>
      </c>
      <c r="G191" s="4" t="s">
        <v>31</v>
      </c>
      <c r="H191" s="4" t="s">
        <v>31</v>
      </c>
      <c r="I191" s="4" t="s">
        <v>32</v>
      </c>
      <c r="J191" s="4" t="s">
        <v>33</v>
      </c>
      <c r="K191" s="4" t="s">
        <v>34</v>
      </c>
      <c r="L191" s="4" t="s">
        <v>35</v>
      </c>
      <c r="M191" s="150">
        <v>2.0760000000000001</v>
      </c>
      <c r="N191" s="4" t="s">
        <v>131</v>
      </c>
      <c r="O191" s="165">
        <v>1E-3</v>
      </c>
      <c r="P191" s="166">
        <v>1.618E-2</v>
      </c>
      <c r="R191" s="150">
        <v>29647425</v>
      </c>
      <c r="S191" s="150">
        <v>1</v>
      </c>
      <c r="T191" s="150">
        <v>110.2</v>
      </c>
      <c r="U191" s="150">
        <v>32671.462</v>
      </c>
      <c r="W191" s="4" t="s">
        <v>37</v>
      </c>
      <c r="X191" s="166">
        <v>1.4679999999999999E-3</v>
      </c>
      <c r="Y191" s="166">
        <v>3.9206467572688301E-2</v>
      </c>
      <c r="Z191" s="166">
        <v>1.7763245115583599E-2</v>
      </c>
    </row>
    <row r="192" spans="1:26">
      <c r="A192" s="4" t="s">
        <v>256</v>
      </c>
      <c r="B192" s="4">
        <v>7205</v>
      </c>
      <c r="C192" s="4" t="s">
        <v>41</v>
      </c>
      <c r="D192" s="4" t="s">
        <v>132</v>
      </c>
      <c r="E192" s="4" t="s">
        <v>133</v>
      </c>
      <c r="F192" s="4" t="s">
        <v>44</v>
      </c>
      <c r="G192" s="4" t="s">
        <v>31</v>
      </c>
      <c r="H192" s="4" t="s">
        <v>31</v>
      </c>
      <c r="I192" s="4" t="s">
        <v>32</v>
      </c>
      <c r="J192" s="4" t="s">
        <v>33</v>
      </c>
      <c r="K192" s="4" t="s">
        <v>34</v>
      </c>
      <c r="L192" s="4" t="s">
        <v>35</v>
      </c>
      <c r="M192" s="150">
        <v>4.2240000000000002</v>
      </c>
      <c r="N192" s="4" t="s">
        <v>134</v>
      </c>
      <c r="O192" s="165">
        <v>1.0999999999999999E-2</v>
      </c>
      <c r="P192" s="166">
        <v>1.9290000000000002E-2</v>
      </c>
      <c r="R192" s="150">
        <v>23778952</v>
      </c>
      <c r="S192" s="150">
        <v>1</v>
      </c>
      <c r="T192" s="150">
        <v>99.98</v>
      </c>
      <c r="U192" s="150">
        <v>23774.196</v>
      </c>
      <c r="W192" s="4" t="s">
        <v>37</v>
      </c>
      <c r="X192" s="166">
        <v>1.513E-3</v>
      </c>
      <c r="Y192" s="166">
        <v>2.85295541036109E-2</v>
      </c>
      <c r="Z192" s="166">
        <v>1.2925863867771E-2</v>
      </c>
    </row>
    <row r="193" spans="1:26">
      <c r="A193" s="4" t="s">
        <v>256</v>
      </c>
      <c r="B193" s="4">
        <v>7205</v>
      </c>
      <c r="C193" s="4" t="s">
        <v>41</v>
      </c>
      <c r="D193" s="4" t="s">
        <v>135</v>
      </c>
      <c r="E193" s="4" t="s">
        <v>136</v>
      </c>
      <c r="F193" s="4" t="s">
        <v>44</v>
      </c>
      <c r="G193" s="4" t="s">
        <v>31</v>
      </c>
      <c r="H193" s="4" t="s">
        <v>31</v>
      </c>
      <c r="I193" s="4" t="s">
        <v>50</v>
      </c>
      <c r="J193" s="4" t="s">
        <v>33</v>
      </c>
      <c r="K193" s="4" t="s">
        <v>34</v>
      </c>
      <c r="L193" s="4" t="s">
        <v>35</v>
      </c>
      <c r="M193" s="150">
        <v>8.6769999999999996</v>
      </c>
      <c r="N193" s="4" t="s">
        <v>137</v>
      </c>
      <c r="O193" s="165">
        <v>1.6E-2</v>
      </c>
      <c r="P193" s="166">
        <v>2.307E-2</v>
      </c>
      <c r="R193" s="150">
        <v>2400000</v>
      </c>
      <c r="S193" s="150">
        <v>1</v>
      </c>
      <c r="T193" s="150">
        <v>96.6</v>
      </c>
      <c r="U193" s="150">
        <v>2318.4</v>
      </c>
      <c r="W193" s="4" t="s">
        <v>37</v>
      </c>
      <c r="X193" s="166">
        <v>4.1100000000000002E-4</v>
      </c>
      <c r="Y193" s="166">
        <v>2.7821305776513702E-3</v>
      </c>
      <c r="Z193" s="166">
        <v>1.2604978324751699E-3</v>
      </c>
    </row>
    <row r="194" spans="1:26">
      <c r="A194" s="4" t="s">
        <v>256</v>
      </c>
      <c r="B194" s="4">
        <v>7205</v>
      </c>
      <c r="C194" s="4" t="s">
        <v>27</v>
      </c>
      <c r="D194" s="4" t="s">
        <v>138</v>
      </c>
      <c r="E194" s="4" t="s">
        <v>139</v>
      </c>
      <c r="F194" s="4" t="s">
        <v>30</v>
      </c>
      <c r="G194" s="4" t="s">
        <v>31</v>
      </c>
      <c r="H194" s="4" t="s">
        <v>31</v>
      </c>
      <c r="I194" s="4" t="s">
        <v>50</v>
      </c>
      <c r="J194" s="4" t="s">
        <v>33</v>
      </c>
      <c r="K194" s="4" t="s">
        <v>34</v>
      </c>
      <c r="L194" s="4" t="s">
        <v>35</v>
      </c>
      <c r="M194" s="150">
        <v>0.66</v>
      </c>
      <c r="N194" s="4" t="s">
        <v>140</v>
      </c>
      <c r="O194" s="165">
        <v>0</v>
      </c>
      <c r="P194" s="166">
        <v>4.428E-2</v>
      </c>
      <c r="R194" s="150">
        <v>36274384</v>
      </c>
      <c r="S194" s="150">
        <v>1</v>
      </c>
      <c r="T194" s="150">
        <v>97.14</v>
      </c>
      <c r="U194" s="150">
        <v>35236.936999999998</v>
      </c>
      <c r="W194" s="4" t="s">
        <v>37</v>
      </c>
      <c r="X194" s="166">
        <v>4.5230000000000001E-3</v>
      </c>
      <c r="Y194" s="166">
        <v>4.2285092661571898E-2</v>
      </c>
      <c r="Z194" s="166">
        <v>1.91580754958375E-2</v>
      </c>
    </row>
    <row r="195" spans="1:26">
      <c r="A195" s="4" t="s">
        <v>256</v>
      </c>
      <c r="B195" s="4">
        <v>7205</v>
      </c>
      <c r="C195" s="4" t="s">
        <v>94</v>
      </c>
      <c r="D195" s="4" t="s">
        <v>141</v>
      </c>
      <c r="E195" s="4" t="s">
        <v>142</v>
      </c>
      <c r="F195" s="4" t="s">
        <v>97</v>
      </c>
      <c r="G195" s="4" t="s">
        <v>31</v>
      </c>
      <c r="H195" s="4" t="s">
        <v>31</v>
      </c>
      <c r="I195" s="4" t="s">
        <v>32</v>
      </c>
      <c r="J195" s="4" t="s">
        <v>33</v>
      </c>
      <c r="K195" s="4" t="s">
        <v>34</v>
      </c>
      <c r="L195" s="4" t="s">
        <v>35</v>
      </c>
      <c r="M195" s="150">
        <v>0.82699999999999996</v>
      </c>
      <c r="N195" s="4" t="s">
        <v>143</v>
      </c>
      <c r="O195" s="165">
        <v>5.0000000000000001E-3</v>
      </c>
      <c r="P195" s="166">
        <v>3.8719999999999997E-2</v>
      </c>
      <c r="R195" s="150">
        <v>35200815</v>
      </c>
      <c r="S195" s="150">
        <v>1</v>
      </c>
      <c r="T195" s="150">
        <v>97.25</v>
      </c>
      <c r="U195" s="150">
        <v>34232.792999999998</v>
      </c>
      <c r="W195" s="4" t="s">
        <v>37</v>
      </c>
      <c r="X195" s="166">
        <v>1.5E-3</v>
      </c>
      <c r="Y195" s="166">
        <v>4.1080097919289599E-2</v>
      </c>
      <c r="Z195" s="166">
        <v>1.8612129423790501E-2</v>
      </c>
    </row>
    <row r="196" spans="1:26">
      <c r="A196" s="4" t="s">
        <v>256</v>
      </c>
      <c r="B196" s="4">
        <v>7205</v>
      </c>
      <c r="C196" s="4" t="s">
        <v>94</v>
      </c>
      <c r="D196" s="4" t="s">
        <v>144</v>
      </c>
      <c r="E196" s="4" t="s">
        <v>145</v>
      </c>
      <c r="F196" s="4" t="s">
        <v>97</v>
      </c>
      <c r="G196" s="4" t="s">
        <v>31</v>
      </c>
      <c r="H196" s="4" t="s">
        <v>31</v>
      </c>
      <c r="I196" s="4" t="s">
        <v>32</v>
      </c>
      <c r="J196" s="4" t="s">
        <v>33</v>
      </c>
      <c r="K196" s="4" t="s">
        <v>34</v>
      </c>
      <c r="L196" s="4" t="s">
        <v>35</v>
      </c>
      <c r="M196" s="150">
        <v>11.494</v>
      </c>
      <c r="N196" s="4" t="s">
        <v>146</v>
      </c>
      <c r="O196" s="165">
        <v>1.4999999999999999E-2</v>
      </c>
      <c r="P196" s="166">
        <v>5.2260000000000001E-2</v>
      </c>
      <c r="R196" s="150">
        <v>30100337</v>
      </c>
      <c r="S196" s="150">
        <v>1</v>
      </c>
      <c r="T196" s="150">
        <v>65.83</v>
      </c>
      <c r="U196" s="150">
        <v>19815.052</v>
      </c>
      <c r="W196" s="4" t="s">
        <v>37</v>
      </c>
      <c r="X196" s="166">
        <v>9.5299999999999996E-4</v>
      </c>
      <c r="Y196" s="166">
        <v>2.3778494496879E-2</v>
      </c>
      <c r="Z196" s="166">
        <v>1.07733048238667E-2</v>
      </c>
    </row>
    <row r="197" spans="1:26">
      <c r="A197" s="4" t="s">
        <v>256</v>
      </c>
      <c r="B197" s="4">
        <v>7205</v>
      </c>
      <c r="C197" s="4" t="s">
        <v>94</v>
      </c>
      <c r="D197" s="4" t="s">
        <v>147</v>
      </c>
      <c r="E197" s="4" t="s">
        <v>148</v>
      </c>
      <c r="F197" s="4" t="s">
        <v>97</v>
      </c>
      <c r="G197" s="4" t="s">
        <v>31</v>
      </c>
      <c r="H197" s="4" t="s">
        <v>31</v>
      </c>
      <c r="I197" s="4" t="s">
        <v>32</v>
      </c>
      <c r="J197" s="4" t="s">
        <v>33</v>
      </c>
      <c r="K197" s="4" t="s">
        <v>34</v>
      </c>
      <c r="L197" s="4" t="s">
        <v>35</v>
      </c>
      <c r="M197" s="150">
        <v>5.5810000000000004</v>
      </c>
      <c r="N197" s="4" t="s">
        <v>149</v>
      </c>
      <c r="O197" s="165">
        <v>0.01</v>
      </c>
      <c r="P197" s="166">
        <v>4.777E-2</v>
      </c>
      <c r="R197" s="150">
        <v>1297869</v>
      </c>
      <c r="S197" s="150">
        <v>1</v>
      </c>
      <c r="T197" s="150">
        <v>81.73</v>
      </c>
      <c r="U197" s="150">
        <v>1060.748</v>
      </c>
      <c r="W197" s="4" t="s">
        <v>37</v>
      </c>
      <c r="X197" s="166">
        <v>3.4E-5</v>
      </c>
      <c r="Y197" s="166">
        <v>1.27292114146804E-3</v>
      </c>
      <c r="Z197" s="166">
        <v>5.7672143522709599E-4</v>
      </c>
    </row>
    <row r="198" spans="1:26">
      <c r="A198" s="4" t="s">
        <v>256</v>
      </c>
      <c r="B198" s="4">
        <v>7205</v>
      </c>
      <c r="C198" s="4" t="s">
        <v>94</v>
      </c>
      <c r="D198" s="4" t="s">
        <v>268</v>
      </c>
      <c r="E198" s="4" t="s">
        <v>269</v>
      </c>
      <c r="F198" s="4" t="s">
        <v>97</v>
      </c>
      <c r="G198" s="4" t="s">
        <v>31</v>
      </c>
      <c r="H198" s="4" t="s">
        <v>31</v>
      </c>
      <c r="I198" s="4" t="s">
        <v>32</v>
      </c>
      <c r="J198" s="4" t="s">
        <v>33</v>
      </c>
      <c r="K198" s="4" t="s">
        <v>34</v>
      </c>
      <c r="L198" s="4" t="s">
        <v>35</v>
      </c>
      <c r="M198" s="150">
        <v>7.4189999999999996</v>
      </c>
      <c r="N198" s="4" t="s">
        <v>270</v>
      </c>
      <c r="O198" s="165">
        <v>1.2999999999999999E-2</v>
      </c>
      <c r="P198" s="166">
        <v>4.9180000000000001E-2</v>
      </c>
      <c r="R198" s="150">
        <v>960000</v>
      </c>
      <c r="S198" s="150">
        <v>1</v>
      </c>
      <c r="T198" s="150">
        <v>77.260000000000005</v>
      </c>
      <c r="U198" s="150">
        <v>741.69600000000003</v>
      </c>
      <c r="W198" s="4" t="s">
        <v>37</v>
      </c>
      <c r="X198" s="166">
        <v>3.1999999999999999E-5</v>
      </c>
      <c r="Y198" s="166">
        <v>8.9005138065981399E-4</v>
      </c>
      <c r="Z198" s="166">
        <v>4.0325491733760499E-4</v>
      </c>
    </row>
    <row r="199" spans="1:26">
      <c r="A199" s="4" t="s">
        <v>256</v>
      </c>
      <c r="B199" s="4">
        <v>7205</v>
      </c>
      <c r="C199" s="4" t="s">
        <v>41</v>
      </c>
      <c r="D199" s="4" t="s">
        <v>42</v>
      </c>
      <c r="E199" s="4" t="s">
        <v>43</v>
      </c>
      <c r="F199" s="4" t="s">
        <v>44</v>
      </c>
      <c r="G199" s="4" t="s">
        <v>31</v>
      </c>
      <c r="H199" s="4" t="s">
        <v>31</v>
      </c>
      <c r="I199" s="4" t="s">
        <v>32</v>
      </c>
      <c r="J199" s="4" t="s">
        <v>33</v>
      </c>
      <c r="K199" s="4" t="s">
        <v>34</v>
      </c>
      <c r="L199" s="4" t="s">
        <v>35</v>
      </c>
      <c r="M199" s="150">
        <v>7.9000000000000001E-2</v>
      </c>
      <c r="N199" s="4" t="s">
        <v>45</v>
      </c>
      <c r="O199" s="165">
        <v>0.04</v>
      </c>
      <c r="P199" s="166">
        <v>4.7849999999999997E-2</v>
      </c>
      <c r="R199" s="150">
        <v>13000000</v>
      </c>
      <c r="S199" s="150">
        <v>1</v>
      </c>
      <c r="T199" s="150">
        <v>145.32</v>
      </c>
      <c r="U199" s="150">
        <v>18891.599999999999</v>
      </c>
      <c r="W199" s="4" t="s">
        <v>37</v>
      </c>
      <c r="X199" s="166">
        <v>3.4940000000000001E-3</v>
      </c>
      <c r="Y199" s="166">
        <v>2.26703321345578E-2</v>
      </c>
      <c r="Z199" s="166">
        <v>1.02712305262198E-2</v>
      </c>
    </row>
    <row r="200" spans="1:26">
      <c r="A200" s="4" t="s">
        <v>256</v>
      </c>
      <c r="B200" s="4">
        <v>7205</v>
      </c>
      <c r="C200" s="4" t="s">
        <v>46</v>
      </c>
      <c r="D200" s="4" t="s">
        <v>61</v>
      </c>
      <c r="E200" s="4" t="s">
        <v>62</v>
      </c>
      <c r="F200" s="4" t="s">
        <v>49</v>
      </c>
      <c r="G200" s="4" t="s">
        <v>31</v>
      </c>
      <c r="H200" s="4" t="s">
        <v>31</v>
      </c>
      <c r="I200" s="4" t="s">
        <v>32</v>
      </c>
      <c r="J200" s="4" t="s">
        <v>33</v>
      </c>
      <c r="K200" s="4" t="s">
        <v>34</v>
      </c>
      <c r="L200" s="4" t="s">
        <v>35</v>
      </c>
      <c r="M200" s="150">
        <v>0.42499999999999999</v>
      </c>
      <c r="N200" s="4" t="s">
        <v>63</v>
      </c>
      <c r="O200" s="165">
        <v>0</v>
      </c>
      <c r="P200" s="166">
        <v>4.3450000000000003E-2</v>
      </c>
      <c r="R200" s="150">
        <v>7350000</v>
      </c>
      <c r="S200" s="150">
        <v>1</v>
      </c>
      <c r="T200" s="150">
        <v>98.21</v>
      </c>
      <c r="U200" s="150">
        <v>7218.4350000000004</v>
      </c>
      <c r="W200" s="4" t="s">
        <v>37</v>
      </c>
      <c r="X200" s="166">
        <v>5.2499999999999997E-4</v>
      </c>
      <c r="Y200" s="166">
        <v>8.6622794756249597E-3</v>
      </c>
      <c r="Z200" s="166">
        <v>3.9246125221544604E-3</v>
      </c>
    </row>
    <row r="201" spans="1:26">
      <c r="A201" s="4" t="s">
        <v>256</v>
      </c>
      <c r="B201" s="4">
        <v>7205</v>
      </c>
      <c r="C201" s="4" t="s">
        <v>46</v>
      </c>
      <c r="D201" s="4" t="s">
        <v>76</v>
      </c>
      <c r="E201" s="4" t="s">
        <v>77</v>
      </c>
      <c r="F201" s="4" t="s">
        <v>49</v>
      </c>
      <c r="G201" s="4" t="s">
        <v>31</v>
      </c>
      <c r="H201" s="4" t="s">
        <v>31</v>
      </c>
      <c r="I201" s="4" t="s">
        <v>32</v>
      </c>
      <c r="J201" s="4" t="s">
        <v>33</v>
      </c>
      <c r="K201" s="4" t="s">
        <v>34</v>
      </c>
      <c r="L201" s="4" t="s">
        <v>35</v>
      </c>
      <c r="M201" s="150">
        <v>3.0000000000000001E-3</v>
      </c>
      <c r="N201" s="4" t="s">
        <v>78</v>
      </c>
      <c r="O201" s="165">
        <v>0</v>
      </c>
      <c r="P201" s="166">
        <v>0.11574</v>
      </c>
      <c r="R201" s="150">
        <v>5065000</v>
      </c>
      <c r="S201" s="150">
        <v>1</v>
      </c>
      <c r="T201" s="150">
        <v>99.97</v>
      </c>
      <c r="U201" s="150">
        <v>5063.4799999999996</v>
      </c>
      <c r="W201" s="4" t="s">
        <v>37</v>
      </c>
      <c r="X201" s="166">
        <v>1.15E-4</v>
      </c>
      <c r="Y201" s="166">
        <v>6.0762870636609199E-3</v>
      </c>
      <c r="Z201" s="166">
        <v>2.7529788625906999E-3</v>
      </c>
    </row>
    <row r="202" spans="1:26">
      <c r="A202" s="4" t="s">
        <v>256</v>
      </c>
      <c r="B202" s="4">
        <v>7205</v>
      </c>
      <c r="C202" s="4" t="s">
        <v>46</v>
      </c>
      <c r="D202" s="4" t="s">
        <v>82</v>
      </c>
      <c r="E202" s="4" t="s">
        <v>83</v>
      </c>
      <c r="F202" s="4" t="s">
        <v>49</v>
      </c>
      <c r="G202" s="4" t="s">
        <v>31</v>
      </c>
      <c r="H202" s="4" t="s">
        <v>31</v>
      </c>
      <c r="I202" s="4" t="s">
        <v>32</v>
      </c>
      <c r="J202" s="4" t="s">
        <v>33</v>
      </c>
      <c r="K202" s="4" t="s">
        <v>34</v>
      </c>
      <c r="L202" s="4" t="s">
        <v>35</v>
      </c>
      <c r="M202" s="150">
        <v>0.17499999999999999</v>
      </c>
      <c r="N202" s="4" t="s">
        <v>84</v>
      </c>
      <c r="O202" s="165">
        <v>0</v>
      </c>
      <c r="P202" s="166">
        <v>4.3270000000000003E-2</v>
      </c>
      <c r="R202" s="150">
        <v>1709400</v>
      </c>
      <c r="S202" s="150">
        <v>1</v>
      </c>
      <c r="T202" s="150">
        <v>99.26</v>
      </c>
      <c r="U202" s="150">
        <v>1696.75</v>
      </c>
      <c r="W202" s="4" t="s">
        <v>37</v>
      </c>
      <c r="X202" s="166">
        <v>3.8999999999999999E-5</v>
      </c>
      <c r="Y202" s="166">
        <v>2.0361375438955401E-3</v>
      </c>
      <c r="Z202" s="166">
        <v>9.2251132327091599E-4</v>
      </c>
    </row>
    <row r="203" spans="1:26">
      <c r="A203" s="4" t="s">
        <v>256</v>
      </c>
      <c r="B203" s="4">
        <v>7205</v>
      </c>
      <c r="C203" s="4" t="s">
        <v>41</v>
      </c>
      <c r="D203" s="4" t="s">
        <v>85</v>
      </c>
      <c r="E203" s="4" t="s">
        <v>86</v>
      </c>
      <c r="F203" s="4" t="s">
        <v>44</v>
      </c>
      <c r="G203" s="4" t="s">
        <v>31</v>
      </c>
      <c r="H203" s="4" t="s">
        <v>31</v>
      </c>
      <c r="I203" s="4" t="s">
        <v>32</v>
      </c>
      <c r="J203" s="4" t="s">
        <v>33</v>
      </c>
      <c r="K203" s="4" t="s">
        <v>34</v>
      </c>
      <c r="L203" s="4" t="s">
        <v>35</v>
      </c>
      <c r="M203" s="150">
        <v>2.89</v>
      </c>
      <c r="N203" s="4" t="s">
        <v>87</v>
      </c>
      <c r="O203" s="165">
        <v>7.4999999999999997E-3</v>
      </c>
      <c r="P203" s="166">
        <v>1.7010000000000001E-2</v>
      </c>
      <c r="R203" s="150">
        <v>30000000</v>
      </c>
      <c r="S203" s="150">
        <v>1</v>
      </c>
      <c r="T203" s="150">
        <v>111.66</v>
      </c>
      <c r="U203" s="150">
        <v>33498</v>
      </c>
      <c r="W203" s="4" t="s">
        <v>37</v>
      </c>
      <c r="X203" s="166">
        <v>1.346E-3</v>
      </c>
      <c r="Y203" s="166">
        <v>4.0198330784233002E-2</v>
      </c>
      <c r="Z203" s="166">
        <v>1.82126278434495E-2</v>
      </c>
    </row>
    <row r="204" spans="1:26">
      <c r="A204" s="4" t="s">
        <v>256</v>
      </c>
      <c r="B204" s="4">
        <v>7205</v>
      </c>
      <c r="C204" s="4" t="s">
        <v>41</v>
      </c>
      <c r="D204" s="4" t="s">
        <v>88</v>
      </c>
      <c r="E204" s="4" t="s">
        <v>89</v>
      </c>
      <c r="F204" s="4" t="s">
        <v>44</v>
      </c>
      <c r="G204" s="4" t="s">
        <v>31</v>
      </c>
      <c r="H204" s="4" t="s">
        <v>31</v>
      </c>
      <c r="I204" s="4" t="s">
        <v>32</v>
      </c>
      <c r="J204" s="4" t="s">
        <v>33</v>
      </c>
      <c r="K204" s="4" t="s">
        <v>34</v>
      </c>
      <c r="L204" s="4" t="s">
        <v>35</v>
      </c>
      <c r="M204" s="150">
        <v>1.3240000000000001</v>
      </c>
      <c r="N204" s="4" t="s">
        <v>90</v>
      </c>
      <c r="O204" s="165">
        <v>7.4999999999999997E-3</v>
      </c>
      <c r="P204" s="166">
        <v>1.508E-2</v>
      </c>
      <c r="R204" s="150">
        <v>14000000</v>
      </c>
      <c r="S204" s="150">
        <v>1</v>
      </c>
      <c r="T204" s="150">
        <v>113.49</v>
      </c>
      <c r="U204" s="150">
        <v>15888.6</v>
      </c>
      <c r="W204" s="4" t="s">
        <v>37</v>
      </c>
      <c r="X204" s="166">
        <v>6.4499999999999996E-4</v>
      </c>
      <c r="Y204" s="166">
        <v>1.9066666621839E-2</v>
      </c>
      <c r="Z204" s="166">
        <v>8.6385204714738602E-3</v>
      </c>
    </row>
    <row r="205" spans="1:26">
      <c r="A205" s="4" t="s">
        <v>256</v>
      </c>
      <c r="B205" s="4">
        <v>7205</v>
      </c>
      <c r="C205" s="4" t="s">
        <v>94</v>
      </c>
      <c r="D205" s="4" t="s">
        <v>95</v>
      </c>
      <c r="E205" s="4" t="s">
        <v>96</v>
      </c>
      <c r="F205" s="4" t="s">
        <v>97</v>
      </c>
      <c r="G205" s="4" t="s">
        <v>31</v>
      </c>
      <c r="H205" s="4" t="s">
        <v>31</v>
      </c>
      <c r="I205" s="4" t="s">
        <v>32</v>
      </c>
      <c r="J205" s="4" t="s">
        <v>33</v>
      </c>
      <c r="K205" s="4" t="s">
        <v>34</v>
      </c>
      <c r="L205" s="4" t="s">
        <v>35</v>
      </c>
      <c r="M205" s="150">
        <v>4.0140000000000002</v>
      </c>
      <c r="N205" s="4" t="s">
        <v>98</v>
      </c>
      <c r="O205" s="165">
        <v>2.2499999999999999E-2</v>
      </c>
      <c r="P205" s="166">
        <v>4.6309999999999997E-2</v>
      </c>
      <c r="R205" s="150">
        <v>13000000</v>
      </c>
      <c r="S205" s="150">
        <v>1</v>
      </c>
      <c r="T205" s="150">
        <v>92.73</v>
      </c>
      <c r="U205" s="150">
        <v>12054.9</v>
      </c>
      <c r="W205" s="4" t="s">
        <v>37</v>
      </c>
      <c r="X205" s="166">
        <v>4.26E-4</v>
      </c>
      <c r="Y205" s="166">
        <v>1.4466142986770901E-2</v>
      </c>
      <c r="Z205" s="166">
        <v>6.5541646483371803E-3</v>
      </c>
    </row>
    <row r="206" spans="1:26">
      <c r="A206" s="4" t="s">
        <v>256</v>
      </c>
      <c r="B206" s="4">
        <v>7205</v>
      </c>
      <c r="C206" s="4" t="s">
        <v>94</v>
      </c>
      <c r="D206" s="4" t="s">
        <v>108</v>
      </c>
      <c r="E206" s="4" t="s">
        <v>109</v>
      </c>
      <c r="F206" s="4" t="s">
        <v>97</v>
      </c>
      <c r="G206" s="4" t="s">
        <v>31</v>
      </c>
      <c r="H206" s="4" t="s">
        <v>31</v>
      </c>
      <c r="I206" s="4" t="s">
        <v>32</v>
      </c>
      <c r="J206" s="4" t="s">
        <v>33</v>
      </c>
      <c r="K206" s="4" t="s">
        <v>34</v>
      </c>
      <c r="L206" s="4" t="s">
        <v>35</v>
      </c>
      <c r="M206" s="150">
        <v>2.6840000000000002</v>
      </c>
      <c r="N206" s="4" t="s">
        <v>110</v>
      </c>
      <c r="O206" s="165">
        <v>0.02</v>
      </c>
      <c r="P206" s="166">
        <v>4.487E-2</v>
      </c>
      <c r="R206" s="150">
        <v>19600000</v>
      </c>
      <c r="S206" s="150">
        <v>1</v>
      </c>
      <c r="T206" s="150">
        <v>94.2</v>
      </c>
      <c r="U206" s="150">
        <v>18463.2</v>
      </c>
      <c r="W206" s="4" t="s">
        <v>37</v>
      </c>
      <c r="X206" s="166">
        <v>7.5900000000000002E-4</v>
      </c>
      <c r="Y206" s="166">
        <v>2.21562427886874E-2</v>
      </c>
      <c r="Z206" s="166">
        <v>1.0038312448479801E-2</v>
      </c>
    </row>
    <row r="207" spans="1:26">
      <c r="A207" s="4" t="s">
        <v>256</v>
      </c>
      <c r="B207" s="4">
        <v>7205</v>
      </c>
      <c r="C207" s="4" t="s">
        <v>41</v>
      </c>
      <c r="D207" s="4" t="s">
        <v>262</v>
      </c>
      <c r="E207" s="4" t="s">
        <v>263</v>
      </c>
      <c r="F207" s="4" t="s">
        <v>44</v>
      </c>
      <c r="G207" s="4" t="s">
        <v>31</v>
      </c>
      <c r="H207" s="4" t="s">
        <v>31</v>
      </c>
      <c r="I207" s="4" t="s">
        <v>32</v>
      </c>
      <c r="J207" s="4" t="s">
        <v>33</v>
      </c>
      <c r="K207" s="4" t="s">
        <v>34</v>
      </c>
      <c r="L207" s="4" t="s">
        <v>35</v>
      </c>
      <c r="M207" s="150">
        <v>9.8770000000000007</v>
      </c>
      <c r="N207" s="4" t="s">
        <v>264</v>
      </c>
      <c r="O207" s="165">
        <v>0.04</v>
      </c>
      <c r="P207" s="166">
        <v>2.3189999999999999E-2</v>
      </c>
      <c r="R207" s="150">
        <v>5000000</v>
      </c>
      <c r="S207" s="150">
        <v>1</v>
      </c>
      <c r="T207" s="150">
        <v>159.08000000000001</v>
      </c>
      <c r="U207" s="150">
        <v>7954</v>
      </c>
      <c r="W207" s="4" t="s">
        <v>37</v>
      </c>
      <c r="X207" s="166">
        <v>3.1399999999999999E-4</v>
      </c>
      <c r="Y207" s="166">
        <v>9.5449735225323594E-3</v>
      </c>
      <c r="Z207" s="166">
        <v>4.3245340577585901E-3</v>
      </c>
    </row>
    <row r="208" spans="1:26">
      <c r="A208" s="4" t="s">
        <v>256</v>
      </c>
      <c r="B208" s="4">
        <v>7205</v>
      </c>
      <c r="C208" s="4" t="s">
        <v>94</v>
      </c>
      <c r="D208" s="4" t="s">
        <v>141</v>
      </c>
      <c r="E208" s="4" t="s">
        <v>142</v>
      </c>
      <c r="F208" s="4" t="s">
        <v>97</v>
      </c>
      <c r="G208" s="4" t="s">
        <v>31</v>
      </c>
      <c r="H208" s="4" t="s">
        <v>31</v>
      </c>
      <c r="I208" s="4" t="s">
        <v>32</v>
      </c>
      <c r="J208" s="4" t="s">
        <v>33</v>
      </c>
      <c r="K208" s="4" t="s">
        <v>34</v>
      </c>
      <c r="L208" s="4" t="s">
        <v>35</v>
      </c>
      <c r="M208" s="150">
        <v>0.82699999999999996</v>
      </c>
      <c r="N208" s="4" t="s">
        <v>143</v>
      </c>
      <c r="O208" s="165">
        <v>5.0000000000000001E-3</v>
      </c>
      <c r="P208" s="166">
        <v>3.8719999999999997E-2</v>
      </c>
      <c r="R208" s="150">
        <v>14980000</v>
      </c>
      <c r="S208" s="150">
        <v>1</v>
      </c>
      <c r="T208" s="150">
        <v>97.25</v>
      </c>
      <c r="U208" s="150">
        <v>14568.05</v>
      </c>
      <c r="W208" s="4" t="s">
        <v>37</v>
      </c>
      <c r="X208" s="166">
        <v>6.38E-4</v>
      </c>
      <c r="Y208" s="166">
        <v>1.7481977813040901E-2</v>
      </c>
      <c r="Z208" s="166">
        <v>7.9205466909894294E-3</v>
      </c>
    </row>
    <row r="209" spans="1:26">
      <c r="A209" s="4" t="s">
        <v>256</v>
      </c>
      <c r="B209" s="4">
        <v>7205</v>
      </c>
      <c r="C209" s="4" t="s">
        <v>150</v>
      </c>
      <c r="D209" s="4" t="s">
        <v>151</v>
      </c>
      <c r="E209" s="4" t="s">
        <v>152</v>
      </c>
      <c r="F209" s="4" t="s">
        <v>153</v>
      </c>
      <c r="G209" s="4" t="s">
        <v>154</v>
      </c>
      <c r="H209" s="4" t="s">
        <v>155</v>
      </c>
      <c r="I209" s="4" t="s">
        <v>156</v>
      </c>
      <c r="J209" s="4" t="s">
        <v>157</v>
      </c>
      <c r="K209" s="4" t="s">
        <v>158</v>
      </c>
      <c r="L209" s="4" t="s">
        <v>159</v>
      </c>
      <c r="M209" s="150">
        <v>0</v>
      </c>
      <c r="N209" s="4" t="s">
        <v>160</v>
      </c>
      <c r="O209" s="165">
        <v>0</v>
      </c>
      <c r="P209" s="166">
        <v>0</v>
      </c>
      <c r="R209" s="150">
        <v>770000</v>
      </c>
      <c r="S209" s="150">
        <v>3.7589999999999999</v>
      </c>
      <c r="T209" s="150">
        <v>97.775000000000006</v>
      </c>
      <c r="U209" s="150">
        <v>2830.0230000000001</v>
      </c>
      <c r="W209" s="4" t="s">
        <v>37</v>
      </c>
      <c r="X209" s="166">
        <v>1.1E-5</v>
      </c>
      <c r="Y209" s="166">
        <v>3.39608951146563E-3</v>
      </c>
      <c r="Z209" s="166">
        <v>1.5386637501780499E-3</v>
      </c>
    </row>
    <row r="210" spans="1:26">
      <c r="A210" s="4" t="s">
        <v>256</v>
      </c>
      <c r="B210" s="4">
        <v>7205</v>
      </c>
      <c r="C210" s="4" t="s">
        <v>150</v>
      </c>
      <c r="D210" s="4" t="s">
        <v>161</v>
      </c>
      <c r="E210" s="4" t="s">
        <v>162</v>
      </c>
      <c r="F210" s="4" t="s">
        <v>153</v>
      </c>
      <c r="G210" s="4" t="s">
        <v>154</v>
      </c>
      <c r="H210" s="4" t="s">
        <v>155</v>
      </c>
      <c r="I210" s="4" t="s">
        <v>163</v>
      </c>
      <c r="J210" s="4" t="s">
        <v>157</v>
      </c>
      <c r="K210" s="4" t="s">
        <v>158</v>
      </c>
      <c r="L210" s="4" t="s">
        <v>159</v>
      </c>
      <c r="M210" s="150">
        <v>0</v>
      </c>
      <c r="N210" s="4" t="s">
        <v>164</v>
      </c>
      <c r="O210" s="165">
        <v>0</v>
      </c>
      <c r="P210" s="166">
        <v>0</v>
      </c>
      <c r="R210" s="150">
        <v>760000</v>
      </c>
      <c r="S210" s="150">
        <v>3.7589999999999999</v>
      </c>
      <c r="T210" s="150">
        <v>97.585999999999999</v>
      </c>
      <c r="U210" s="150">
        <v>2787.87</v>
      </c>
      <c r="W210" s="4" t="s">
        <v>37</v>
      </c>
      <c r="X210" s="166">
        <v>1.1E-5</v>
      </c>
      <c r="Y210" s="166">
        <v>3.3455050219625602E-3</v>
      </c>
      <c r="Z210" s="166">
        <v>1.5157454731253199E-3</v>
      </c>
    </row>
    <row r="211" spans="1:26">
      <c r="A211" s="4" t="s">
        <v>256</v>
      </c>
      <c r="B211" s="4">
        <v>7205</v>
      </c>
      <c r="C211" s="4" t="s">
        <v>171</v>
      </c>
      <c r="D211" s="4" t="s">
        <v>271</v>
      </c>
      <c r="E211" s="4" t="s">
        <v>272</v>
      </c>
      <c r="F211" s="4" t="s">
        <v>153</v>
      </c>
      <c r="G211" s="4" t="s">
        <v>154</v>
      </c>
      <c r="H211" s="4" t="s">
        <v>31</v>
      </c>
      <c r="I211" s="4" t="s">
        <v>156</v>
      </c>
      <c r="J211" s="4" t="s">
        <v>168</v>
      </c>
      <c r="K211" s="4" t="s">
        <v>158</v>
      </c>
      <c r="L211" s="4" t="s">
        <v>159</v>
      </c>
      <c r="M211" s="150">
        <v>4.96</v>
      </c>
      <c r="N211" s="4" t="s">
        <v>273</v>
      </c>
      <c r="O211" s="165">
        <v>3.2500000000000001E-2</v>
      </c>
      <c r="P211" s="166">
        <v>3.3739999999999999E-2</v>
      </c>
      <c r="R211" s="150">
        <v>2100000</v>
      </c>
      <c r="S211" s="150">
        <v>3.7589999999999999</v>
      </c>
      <c r="T211" s="150">
        <v>93.296999999999997</v>
      </c>
      <c r="U211" s="150">
        <v>7364.7370000000001</v>
      </c>
      <c r="W211" s="4" t="s">
        <v>37</v>
      </c>
      <c r="X211" s="166">
        <v>2.0999999999999999E-3</v>
      </c>
      <c r="Y211" s="166">
        <v>8.8378448262598393E-3</v>
      </c>
      <c r="Z211" s="166">
        <v>4.0041557850446696E-3</v>
      </c>
    </row>
    <row r="212" spans="1:26">
      <c r="A212" s="4" t="s">
        <v>256</v>
      </c>
      <c r="B212" s="4">
        <v>7205</v>
      </c>
      <c r="C212" s="4" t="s">
        <v>165</v>
      </c>
      <c r="D212" s="4" t="s">
        <v>166</v>
      </c>
      <c r="E212" s="4" t="s">
        <v>167</v>
      </c>
      <c r="F212" s="4" t="s">
        <v>153</v>
      </c>
      <c r="G212" s="4" t="s">
        <v>154</v>
      </c>
      <c r="H212" s="4" t="s">
        <v>31</v>
      </c>
      <c r="I212" s="4" t="s">
        <v>163</v>
      </c>
      <c r="J212" s="4" t="s">
        <v>168</v>
      </c>
      <c r="K212" s="4" t="s">
        <v>158</v>
      </c>
      <c r="L212" s="4" t="s">
        <v>169</v>
      </c>
      <c r="M212" s="150">
        <v>0</v>
      </c>
      <c r="N212" s="4" t="s">
        <v>170</v>
      </c>
      <c r="O212" s="165">
        <v>0.05</v>
      </c>
      <c r="P212" s="166">
        <v>0</v>
      </c>
      <c r="R212" s="150">
        <v>550000</v>
      </c>
      <c r="S212" s="150">
        <v>4.0199999999999996</v>
      </c>
      <c r="T212" s="150">
        <v>104.837</v>
      </c>
      <c r="U212" s="150">
        <v>2318.0520000000001</v>
      </c>
      <c r="W212" s="4" t="s">
        <v>37</v>
      </c>
      <c r="X212" s="166">
        <v>0</v>
      </c>
      <c r="Y212" s="166">
        <v>2.7817123895906501E-3</v>
      </c>
      <c r="Z212" s="166">
        <v>1.26030836432139E-3</v>
      </c>
    </row>
    <row r="213" spans="1:26">
      <c r="A213" s="4" t="s">
        <v>256</v>
      </c>
      <c r="B213" s="4">
        <v>7205</v>
      </c>
      <c r="C213" s="4" t="s">
        <v>171</v>
      </c>
      <c r="D213" s="4" t="s">
        <v>172</v>
      </c>
      <c r="E213" s="4" t="s">
        <v>173</v>
      </c>
      <c r="F213" s="4" t="s">
        <v>153</v>
      </c>
      <c r="G213" s="4" t="s">
        <v>154</v>
      </c>
      <c r="H213" s="4" t="s">
        <v>31</v>
      </c>
      <c r="I213" s="4" t="s">
        <v>156</v>
      </c>
      <c r="J213" s="4" t="s">
        <v>168</v>
      </c>
      <c r="K213" s="4" t="s">
        <v>158</v>
      </c>
      <c r="L213" s="4" t="s">
        <v>159</v>
      </c>
      <c r="M213" s="150">
        <v>0</v>
      </c>
      <c r="N213" s="4" t="s">
        <v>175</v>
      </c>
      <c r="O213" s="165">
        <v>5.3749999999999999E-2</v>
      </c>
      <c r="P213" s="166">
        <v>0</v>
      </c>
      <c r="R213" s="150">
        <v>455000</v>
      </c>
      <c r="S213" s="150">
        <v>3.7589999999999999</v>
      </c>
      <c r="T213" s="150">
        <v>99.781000000000006</v>
      </c>
      <c r="U213" s="150">
        <v>1706.5909999999999</v>
      </c>
      <c r="W213" s="4" t="s">
        <v>37</v>
      </c>
      <c r="X213" s="166">
        <v>2.2800000000000001E-4</v>
      </c>
      <c r="Y213" s="166">
        <v>2.0479461818402899E-3</v>
      </c>
      <c r="Z213" s="166">
        <v>9.2786145408555202E-4</v>
      </c>
    </row>
    <row r="214" spans="1:26">
      <c r="A214" s="4" t="s">
        <v>256</v>
      </c>
      <c r="B214" s="4">
        <v>7205</v>
      </c>
      <c r="C214" s="4" t="s">
        <v>171</v>
      </c>
      <c r="D214" s="4" t="s">
        <v>176</v>
      </c>
      <c r="E214" s="4" t="s">
        <v>177</v>
      </c>
      <c r="F214" s="4" t="s">
        <v>153</v>
      </c>
      <c r="G214" s="4" t="s">
        <v>154</v>
      </c>
      <c r="H214" s="4" t="s">
        <v>31</v>
      </c>
      <c r="I214" s="4" t="s">
        <v>163</v>
      </c>
      <c r="J214" s="4" t="s">
        <v>168</v>
      </c>
      <c r="K214" s="4" t="s">
        <v>158</v>
      </c>
      <c r="L214" s="4" t="s">
        <v>159</v>
      </c>
      <c r="M214" s="150">
        <v>7.49</v>
      </c>
      <c r="N214" s="4" t="s">
        <v>178</v>
      </c>
      <c r="O214" s="165">
        <v>5.5E-2</v>
      </c>
      <c r="P214" s="166">
        <v>5.8720000000000001E-2</v>
      </c>
      <c r="R214" s="150">
        <v>819000</v>
      </c>
      <c r="S214" s="150">
        <v>3.7589999999999999</v>
      </c>
      <c r="T214" s="150">
        <v>97.03</v>
      </c>
      <c r="U214" s="150">
        <v>2987.1860000000001</v>
      </c>
      <c r="W214" s="4" t="s">
        <v>37</v>
      </c>
      <c r="X214" s="166">
        <v>2.7300000000000002E-4</v>
      </c>
      <c r="Y214" s="166">
        <v>3.5846883152833801E-3</v>
      </c>
      <c r="Z214" s="166">
        <v>1.6241120700122599E-3</v>
      </c>
    </row>
    <row r="215" spans="1:26">
      <c r="A215" s="4" t="s">
        <v>256</v>
      </c>
      <c r="B215" s="4">
        <v>7205</v>
      </c>
      <c r="C215" s="4" t="s">
        <v>171</v>
      </c>
      <c r="D215" s="4" t="s">
        <v>179</v>
      </c>
      <c r="E215" s="4" t="s">
        <v>180</v>
      </c>
      <c r="F215" s="4" t="s">
        <v>153</v>
      </c>
      <c r="G215" s="4" t="s">
        <v>154</v>
      </c>
      <c r="H215" s="4" t="s">
        <v>31</v>
      </c>
      <c r="I215" s="4" t="s">
        <v>163</v>
      </c>
      <c r="J215" s="4" t="s">
        <v>168</v>
      </c>
      <c r="K215" s="4" t="s">
        <v>158</v>
      </c>
      <c r="L215" s="4" t="s">
        <v>159</v>
      </c>
      <c r="M215" s="150">
        <v>0</v>
      </c>
      <c r="N215" s="4" t="s">
        <v>181</v>
      </c>
      <c r="O215" s="165">
        <v>5.7500000000000002E-2</v>
      </c>
      <c r="P215" s="166">
        <v>0</v>
      </c>
      <c r="R215" s="150">
        <v>610000</v>
      </c>
      <c r="S215" s="150">
        <v>3.7589999999999999</v>
      </c>
      <c r="T215" s="150">
        <v>91.872</v>
      </c>
      <c r="U215" s="150">
        <v>2106.616</v>
      </c>
      <c r="W215" s="4" t="s">
        <v>37</v>
      </c>
      <c r="X215" s="166">
        <v>2.03E-4</v>
      </c>
      <c r="Y215" s="166">
        <v>2.5279848847780998E-3</v>
      </c>
      <c r="Z215" s="166">
        <v>1.1453522323466199E-3</v>
      </c>
    </row>
    <row r="216" spans="1:26">
      <c r="A216" s="4" t="s">
        <v>256</v>
      </c>
      <c r="B216" s="4">
        <v>7205</v>
      </c>
      <c r="C216" s="4" t="s">
        <v>171</v>
      </c>
      <c r="D216" s="4" t="s">
        <v>182</v>
      </c>
      <c r="E216" s="4" t="s">
        <v>183</v>
      </c>
      <c r="F216" s="4" t="s">
        <v>153</v>
      </c>
      <c r="G216" s="4" t="s">
        <v>154</v>
      </c>
      <c r="H216" s="4" t="s">
        <v>31</v>
      </c>
      <c r="I216" s="4" t="s">
        <v>163</v>
      </c>
      <c r="J216" s="4" t="s">
        <v>168</v>
      </c>
      <c r="K216" s="4" t="s">
        <v>158</v>
      </c>
      <c r="L216" s="4" t="s">
        <v>169</v>
      </c>
      <c r="M216" s="150">
        <v>0</v>
      </c>
      <c r="N216" s="4" t="s">
        <v>184</v>
      </c>
      <c r="O216" s="165">
        <v>1.4999999999999999E-2</v>
      </c>
      <c r="P216" s="166">
        <v>0</v>
      </c>
      <c r="R216" s="150">
        <v>1940000</v>
      </c>
      <c r="S216" s="150">
        <v>4.0199999999999996</v>
      </c>
      <c r="T216" s="150">
        <v>93.265000000000001</v>
      </c>
      <c r="U216" s="150">
        <v>7273.9229999999998</v>
      </c>
      <c r="W216" s="4" t="s">
        <v>37</v>
      </c>
      <c r="X216" s="166">
        <v>6.8300000000000001E-4</v>
      </c>
      <c r="Y216" s="166">
        <v>8.7288661862897007E-3</v>
      </c>
      <c r="Z216" s="166">
        <v>3.9547809136522604E-3</v>
      </c>
    </row>
    <row r="217" spans="1:26">
      <c r="A217" s="4" t="s">
        <v>256</v>
      </c>
      <c r="B217" s="4">
        <v>7205</v>
      </c>
      <c r="C217" s="4" t="s">
        <v>185</v>
      </c>
      <c r="D217" s="4" t="s">
        <v>274</v>
      </c>
      <c r="E217" s="4" t="s">
        <v>275</v>
      </c>
      <c r="F217" s="4" t="s">
        <v>153</v>
      </c>
      <c r="G217" s="4" t="s">
        <v>154</v>
      </c>
      <c r="H217" s="4" t="s">
        <v>155</v>
      </c>
      <c r="I217" s="4" t="s">
        <v>163</v>
      </c>
      <c r="J217" s="4" t="s">
        <v>157</v>
      </c>
      <c r="K217" s="4" t="s">
        <v>158</v>
      </c>
      <c r="L217" s="4" t="s">
        <v>159</v>
      </c>
      <c r="M217" s="150">
        <v>0.52</v>
      </c>
      <c r="N217" s="4" t="s">
        <v>276</v>
      </c>
      <c r="O217" s="165">
        <v>0.01</v>
      </c>
      <c r="P217" s="166">
        <v>5.3030000000000001E-2</v>
      </c>
      <c r="R217" s="150">
        <v>455000</v>
      </c>
      <c r="S217" s="150">
        <v>3.7589999999999999</v>
      </c>
      <c r="T217" s="150">
        <v>98.132999999999996</v>
      </c>
      <c r="U217" s="150">
        <v>1678.4090000000001</v>
      </c>
      <c r="W217" s="4" t="s">
        <v>37</v>
      </c>
      <c r="X217" s="166">
        <v>7.3429999999999997E-3</v>
      </c>
      <c r="Y217" s="166">
        <v>2.0141276050528998E-3</v>
      </c>
      <c r="Z217" s="166">
        <v>9.1253929664250404E-4</v>
      </c>
    </row>
    <row r="218" spans="1:26">
      <c r="A218" s="4" t="s">
        <v>256</v>
      </c>
      <c r="B218" s="4">
        <v>7205</v>
      </c>
      <c r="C218" s="4" t="s">
        <v>185</v>
      </c>
      <c r="D218" s="4" t="s">
        <v>186</v>
      </c>
      <c r="E218" s="4" t="s">
        <v>187</v>
      </c>
      <c r="F218" s="4" t="s">
        <v>153</v>
      </c>
      <c r="G218" s="4" t="s">
        <v>154</v>
      </c>
      <c r="H218" s="4" t="s">
        <v>155</v>
      </c>
      <c r="I218" s="4" t="s">
        <v>163</v>
      </c>
      <c r="J218" s="4" t="s">
        <v>157</v>
      </c>
      <c r="K218" s="4" t="s">
        <v>158</v>
      </c>
      <c r="L218" s="4" t="s">
        <v>159</v>
      </c>
      <c r="M218" s="150">
        <v>13.79</v>
      </c>
      <c r="N218" s="4" t="s">
        <v>188</v>
      </c>
      <c r="O218" s="165">
        <v>1.125E-2</v>
      </c>
      <c r="P218" s="166">
        <v>4.761E-2</v>
      </c>
      <c r="R218" s="150">
        <v>1270000</v>
      </c>
      <c r="S218" s="150">
        <v>3.7589999999999999</v>
      </c>
      <c r="T218" s="150">
        <v>61.451000000000001</v>
      </c>
      <c r="U218" s="150">
        <v>2933.6190000000001</v>
      </c>
      <c r="W218" s="4" t="s">
        <v>37</v>
      </c>
      <c r="X218" s="166">
        <v>2.0999999999999999E-5</v>
      </c>
      <c r="Y218" s="166">
        <v>3.5204069376480302E-3</v>
      </c>
      <c r="Z218" s="166">
        <v>1.5949881540362201E-3</v>
      </c>
    </row>
    <row r="219" spans="1:26">
      <c r="A219" s="4" t="s">
        <v>256</v>
      </c>
      <c r="B219" s="4">
        <v>7205</v>
      </c>
      <c r="C219" s="4" t="s">
        <v>185</v>
      </c>
      <c r="D219" s="4" t="s">
        <v>189</v>
      </c>
      <c r="E219" s="4" t="s">
        <v>190</v>
      </c>
      <c r="F219" s="4" t="s">
        <v>153</v>
      </c>
      <c r="G219" s="4" t="s">
        <v>154</v>
      </c>
      <c r="H219" s="4" t="s">
        <v>155</v>
      </c>
      <c r="I219" s="4" t="s">
        <v>163</v>
      </c>
      <c r="J219" s="4" t="s">
        <v>157</v>
      </c>
      <c r="K219" s="4" t="s">
        <v>158</v>
      </c>
      <c r="L219" s="4" t="s">
        <v>159</v>
      </c>
      <c r="M219" s="150">
        <v>13.91</v>
      </c>
      <c r="N219" s="4" t="s">
        <v>191</v>
      </c>
      <c r="O219" s="165">
        <v>1.125E-2</v>
      </c>
      <c r="P219" s="166">
        <v>4.777E-2</v>
      </c>
      <c r="R219" s="150">
        <v>2172000</v>
      </c>
      <c r="S219" s="150">
        <v>3.7589999999999999</v>
      </c>
      <c r="T219" s="150">
        <v>61.134</v>
      </c>
      <c r="U219" s="150">
        <v>4991.2910000000002</v>
      </c>
      <c r="W219" s="4" t="s">
        <v>37</v>
      </c>
      <c r="X219" s="166">
        <v>0</v>
      </c>
      <c r="Y219" s="166">
        <v>5.9896581088185203E-3</v>
      </c>
      <c r="Z219" s="166">
        <v>2.7137299464235101E-3</v>
      </c>
    </row>
    <row r="220" spans="1:26">
      <c r="A220" s="4" t="s">
        <v>256</v>
      </c>
      <c r="B220" s="4">
        <v>7205</v>
      </c>
      <c r="C220" s="4" t="s">
        <v>185</v>
      </c>
      <c r="D220" s="4" t="s">
        <v>192</v>
      </c>
      <c r="E220" s="4" t="s">
        <v>193</v>
      </c>
      <c r="F220" s="4" t="s">
        <v>153</v>
      </c>
      <c r="G220" s="4" t="s">
        <v>154</v>
      </c>
      <c r="H220" s="4" t="s">
        <v>155</v>
      </c>
      <c r="I220" s="4" t="s">
        <v>163</v>
      </c>
      <c r="J220" s="4" t="s">
        <v>157</v>
      </c>
      <c r="K220" s="4" t="s">
        <v>158</v>
      </c>
      <c r="L220" s="4" t="s">
        <v>159</v>
      </c>
      <c r="M220" s="150">
        <v>6.28</v>
      </c>
      <c r="N220" s="4" t="s">
        <v>194</v>
      </c>
      <c r="O220" s="165">
        <v>1.125E-2</v>
      </c>
      <c r="P220" s="166">
        <v>4.5710000000000001E-2</v>
      </c>
      <c r="R220" s="150">
        <v>950000</v>
      </c>
      <c r="S220" s="150">
        <v>3.7589999999999999</v>
      </c>
      <c r="T220" s="150">
        <v>82.048000000000002</v>
      </c>
      <c r="U220" s="150">
        <v>2929.9670000000001</v>
      </c>
      <c r="W220" s="4" t="s">
        <v>37</v>
      </c>
      <c r="X220" s="166">
        <v>0</v>
      </c>
      <c r="Y220" s="166">
        <v>3.5160241461969399E-3</v>
      </c>
      <c r="Z220" s="166">
        <v>1.5930024459718101E-3</v>
      </c>
    </row>
    <row r="221" spans="1:26">
      <c r="A221" s="4" t="s">
        <v>256</v>
      </c>
      <c r="B221" s="4">
        <v>7205</v>
      </c>
      <c r="C221" s="4" t="s">
        <v>185</v>
      </c>
      <c r="D221" s="4" t="s">
        <v>277</v>
      </c>
      <c r="E221" s="4" t="s">
        <v>278</v>
      </c>
      <c r="F221" s="4" t="s">
        <v>153</v>
      </c>
      <c r="G221" s="4" t="s">
        <v>154</v>
      </c>
      <c r="H221" s="4" t="s">
        <v>155</v>
      </c>
      <c r="I221" s="4" t="s">
        <v>163</v>
      </c>
      <c r="J221" s="4" t="s">
        <v>157</v>
      </c>
      <c r="K221" s="4" t="s">
        <v>158</v>
      </c>
      <c r="L221" s="4" t="s">
        <v>159</v>
      </c>
      <c r="M221" s="150">
        <v>0.25</v>
      </c>
      <c r="N221" s="4" t="s">
        <v>279</v>
      </c>
      <c r="O221" s="165">
        <v>1.2500000000000001E-2</v>
      </c>
      <c r="P221" s="166">
        <v>5.3370000000000001E-2</v>
      </c>
      <c r="R221" s="150">
        <v>335000</v>
      </c>
      <c r="S221" s="150">
        <v>3.7589999999999999</v>
      </c>
      <c r="T221" s="150">
        <v>99.718000000000004</v>
      </c>
      <c r="U221" s="150">
        <v>1255.7190000000001</v>
      </c>
      <c r="W221" s="4" t="s">
        <v>37</v>
      </c>
      <c r="X221" s="166">
        <v>0</v>
      </c>
      <c r="Y221" s="166">
        <v>1.50689047997078E-3</v>
      </c>
      <c r="Z221" s="166">
        <v>6.82725749480855E-4</v>
      </c>
    </row>
    <row r="222" spans="1:26">
      <c r="A222" s="4" t="s">
        <v>256</v>
      </c>
      <c r="B222" s="4">
        <v>7205</v>
      </c>
      <c r="C222" s="4" t="s">
        <v>185</v>
      </c>
      <c r="D222" s="4" t="s">
        <v>195</v>
      </c>
      <c r="E222" s="4" t="s">
        <v>196</v>
      </c>
      <c r="F222" s="4" t="s">
        <v>153</v>
      </c>
      <c r="G222" s="4" t="s">
        <v>154</v>
      </c>
      <c r="H222" s="4" t="s">
        <v>155</v>
      </c>
      <c r="I222" s="4" t="s">
        <v>163</v>
      </c>
      <c r="J222" s="4" t="s">
        <v>157</v>
      </c>
      <c r="K222" s="4" t="s">
        <v>158</v>
      </c>
      <c r="L222" s="4" t="s">
        <v>159</v>
      </c>
      <c r="M222" s="150">
        <v>0.41</v>
      </c>
      <c r="N222" s="4" t="s">
        <v>197</v>
      </c>
      <c r="O222" s="165">
        <v>1.4999999999999999E-2</v>
      </c>
      <c r="P222" s="166">
        <v>5.3100000000000001E-2</v>
      </c>
      <c r="R222" s="150">
        <v>810000</v>
      </c>
      <c r="S222" s="150">
        <v>3.7589999999999999</v>
      </c>
      <c r="T222" s="150">
        <v>98.971999999999994</v>
      </c>
      <c r="U222" s="150">
        <v>3013.5039999999999</v>
      </c>
      <c r="W222" s="4" t="s">
        <v>37</v>
      </c>
      <c r="X222" s="166">
        <v>1.8E-5</v>
      </c>
      <c r="Y222" s="166">
        <v>3.6162700796574698E-3</v>
      </c>
      <c r="Z222" s="166">
        <v>1.6384207965181401E-3</v>
      </c>
    </row>
    <row r="223" spans="1:26">
      <c r="A223" s="4" t="s">
        <v>256</v>
      </c>
      <c r="B223" s="4">
        <v>7205</v>
      </c>
      <c r="C223" s="4" t="s">
        <v>185</v>
      </c>
      <c r="D223" s="4" t="s">
        <v>198</v>
      </c>
      <c r="E223" s="4" t="s">
        <v>199</v>
      </c>
      <c r="F223" s="4" t="s">
        <v>153</v>
      </c>
      <c r="G223" s="4" t="s">
        <v>154</v>
      </c>
      <c r="H223" s="4" t="s">
        <v>155</v>
      </c>
      <c r="I223" s="4" t="s">
        <v>163</v>
      </c>
      <c r="J223" s="4" t="s">
        <v>157</v>
      </c>
      <c r="K223" s="4" t="s">
        <v>158</v>
      </c>
      <c r="L223" s="4" t="s">
        <v>159</v>
      </c>
      <c r="M223" s="150">
        <v>6.41</v>
      </c>
      <c r="N223" s="4" t="s">
        <v>200</v>
      </c>
      <c r="O223" s="165">
        <v>1.6250000000000001E-2</v>
      </c>
      <c r="P223" s="166">
        <v>4.598E-2</v>
      </c>
      <c r="R223" s="150">
        <v>458000</v>
      </c>
      <c r="S223" s="150">
        <v>3.7589999999999999</v>
      </c>
      <c r="T223" s="150">
        <v>83.989000000000004</v>
      </c>
      <c r="U223" s="150">
        <v>1445.971</v>
      </c>
      <c r="W223" s="4" t="s">
        <v>37</v>
      </c>
      <c r="X223" s="166">
        <v>0</v>
      </c>
      <c r="Y223" s="166">
        <v>1.7351962730216401E-3</v>
      </c>
      <c r="Z223" s="166">
        <v>7.8616408540722698E-4</v>
      </c>
    </row>
    <row r="224" spans="1:26">
      <c r="A224" s="4" t="s">
        <v>256</v>
      </c>
      <c r="B224" s="4">
        <v>7205</v>
      </c>
      <c r="C224" s="4" t="s">
        <v>185</v>
      </c>
      <c r="D224" s="4" t="s">
        <v>201</v>
      </c>
      <c r="E224" s="4" t="s">
        <v>202</v>
      </c>
      <c r="F224" s="4" t="s">
        <v>153</v>
      </c>
      <c r="G224" s="4" t="s">
        <v>154</v>
      </c>
      <c r="H224" s="4" t="s">
        <v>155</v>
      </c>
      <c r="I224" s="4" t="s">
        <v>163</v>
      </c>
      <c r="J224" s="4" t="s">
        <v>157</v>
      </c>
      <c r="K224" s="4" t="s">
        <v>158</v>
      </c>
      <c r="L224" s="4" t="s">
        <v>159</v>
      </c>
      <c r="M224" s="150">
        <v>13.72</v>
      </c>
      <c r="N224" s="4" t="s">
        <v>203</v>
      </c>
      <c r="O224" s="165">
        <v>0.02</v>
      </c>
      <c r="P224" s="166">
        <v>4.8329999999999998E-2</v>
      </c>
      <c r="R224" s="150">
        <v>4760000</v>
      </c>
      <c r="S224" s="150">
        <v>3.7589999999999999</v>
      </c>
      <c r="T224" s="150">
        <v>68.769000000000005</v>
      </c>
      <c r="U224" s="150">
        <v>12304.788</v>
      </c>
      <c r="W224" s="4" t="s">
        <v>37</v>
      </c>
      <c r="X224" s="166">
        <v>0</v>
      </c>
      <c r="Y224" s="166">
        <v>1.47660143604222E-2</v>
      </c>
      <c r="Z224" s="166">
        <v>6.6900271486616701E-3</v>
      </c>
    </row>
    <row r="225" spans="1:26">
      <c r="A225" s="4" t="s">
        <v>256</v>
      </c>
      <c r="B225" s="4">
        <v>7205</v>
      </c>
      <c r="C225" s="4" t="s">
        <v>185</v>
      </c>
      <c r="D225" s="4" t="s">
        <v>204</v>
      </c>
      <c r="E225" s="4" t="s">
        <v>205</v>
      </c>
      <c r="F225" s="4" t="s">
        <v>153</v>
      </c>
      <c r="G225" s="4" t="s">
        <v>154</v>
      </c>
      <c r="H225" s="4" t="s">
        <v>155</v>
      </c>
      <c r="I225" s="4" t="s">
        <v>163</v>
      </c>
      <c r="J225" s="4" t="s">
        <v>157</v>
      </c>
      <c r="K225" s="4" t="s">
        <v>158</v>
      </c>
      <c r="L225" s="4" t="s">
        <v>159</v>
      </c>
      <c r="M225" s="150">
        <v>0.33</v>
      </c>
      <c r="N225" s="4" t="s">
        <v>206</v>
      </c>
      <c r="O225" s="165">
        <v>2.1250000000000002E-2</v>
      </c>
      <c r="P225" s="166">
        <v>5.314E-2</v>
      </c>
      <c r="R225" s="150">
        <v>380000</v>
      </c>
      <c r="S225" s="150">
        <v>3.7589999999999999</v>
      </c>
      <c r="T225" s="150">
        <v>99.724000000000004</v>
      </c>
      <c r="U225" s="150">
        <v>1424.473</v>
      </c>
      <c r="W225" s="4" t="s">
        <v>37</v>
      </c>
      <c r="X225" s="166">
        <v>0</v>
      </c>
      <c r="Y225" s="166">
        <v>1.7093991947148199E-3</v>
      </c>
      <c r="Z225" s="166">
        <v>7.7447622231728303E-4</v>
      </c>
    </row>
    <row r="226" spans="1:26">
      <c r="A226" s="4" t="s">
        <v>256</v>
      </c>
      <c r="B226" s="4">
        <v>7205</v>
      </c>
      <c r="C226" s="4" t="s">
        <v>185</v>
      </c>
      <c r="D226" s="4" t="s">
        <v>207</v>
      </c>
      <c r="E226" s="4" t="s">
        <v>208</v>
      </c>
      <c r="F226" s="4" t="s">
        <v>153</v>
      </c>
      <c r="G226" s="4" t="s">
        <v>154</v>
      </c>
      <c r="H226" s="4" t="s">
        <v>155</v>
      </c>
      <c r="I226" s="4" t="s">
        <v>163</v>
      </c>
      <c r="J226" s="4" t="s">
        <v>157</v>
      </c>
      <c r="K226" s="4" t="s">
        <v>158</v>
      </c>
      <c r="L226" s="4" t="s">
        <v>159</v>
      </c>
      <c r="M226" s="150">
        <v>0.49</v>
      </c>
      <c r="N226" s="4" t="s">
        <v>209</v>
      </c>
      <c r="O226" s="165">
        <v>2.1250000000000002E-2</v>
      </c>
      <c r="P226" s="166">
        <v>5.3620000000000001E-2</v>
      </c>
      <c r="R226" s="150">
        <v>390000</v>
      </c>
      <c r="S226" s="150">
        <v>3.7589999999999999</v>
      </c>
      <c r="T226" s="150">
        <v>98.905000000000001</v>
      </c>
      <c r="U226" s="150">
        <v>1449.952</v>
      </c>
      <c r="W226" s="4" t="s">
        <v>37</v>
      </c>
      <c r="X226" s="166">
        <v>1.3212E-2</v>
      </c>
      <c r="Y226" s="166">
        <v>1.73997410902415E-3</v>
      </c>
      <c r="Z226" s="166">
        <v>7.8832877601286099E-4</v>
      </c>
    </row>
    <row r="227" spans="1:26">
      <c r="A227" s="4" t="s">
        <v>256</v>
      </c>
      <c r="B227" s="4">
        <v>7205</v>
      </c>
      <c r="C227" s="4" t="s">
        <v>185</v>
      </c>
      <c r="D227" s="4" t="s">
        <v>210</v>
      </c>
      <c r="E227" s="4" t="s">
        <v>211</v>
      </c>
      <c r="F227" s="4" t="s">
        <v>153</v>
      </c>
      <c r="G227" s="4" t="s">
        <v>154</v>
      </c>
      <c r="H227" s="4" t="s">
        <v>155</v>
      </c>
      <c r="I227" s="4" t="s">
        <v>163</v>
      </c>
      <c r="J227" s="4" t="s">
        <v>157</v>
      </c>
      <c r="K227" s="4" t="s">
        <v>158</v>
      </c>
      <c r="L227" s="4" t="s">
        <v>159</v>
      </c>
      <c r="M227" s="150">
        <v>13.37</v>
      </c>
      <c r="N227" s="4" t="s">
        <v>212</v>
      </c>
      <c r="O227" s="165">
        <v>2.375E-2</v>
      </c>
      <c r="P227" s="166">
        <v>4.8349999999999997E-2</v>
      </c>
      <c r="R227" s="150">
        <v>560000</v>
      </c>
      <c r="S227" s="150">
        <v>3.7589999999999999</v>
      </c>
      <c r="T227" s="150">
        <v>73.477999999999994</v>
      </c>
      <c r="U227" s="150">
        <v>1546.7329999999999</v>
      </c>
      <c r="W227" s="4" t="s">
        <v>37</v>
      </c>
      <c r="X227" s="166">
        <v>9.0000000000000002E-6</v>
      </c>
      <c r="Y227" s="166">
        <v>1.8561127991075701E-3</v>
      </c>
      <c r="Z227" s="166">
        <v>8.4094764598704997E-4</v>
      </c>
    </row>
    <row r="228" spans="1:26">
      <c r="A228" s="4" t="s">
        <v>256</v>
      </c>
      <c r="B228" s="4">
        <v>7205</v>
      </c>
      <c r="C228" s="4" t="s">
        <v>213</v>
      </c>
      <c r="D228" s="4" t="s">
        <v>214</v>
      </c>
      <c r="E228" s="4" t="s">
        <v>215</v>
      </c>
      <c r="F228" s="4" t="s">
        <v>153</v>
      </c>
      <c r="G228" s="4" t="s">
        <v>154</v>
      </c>
      <c r="H228" s="4" t="s">
        <v>155</v>
      </c>
      <c r="I228" s="4" t="s">
        <v>163</v>
      </c>
      <c r="J228" s="4" t="s">
        <v>157</v>
      </c>
      <c r="K228" s="4" t="s">
        <v>158</v>
      </c>
      <c r="L228" s="4" t="s">
        <v>159</v>
      </c>
      <c r="M228" s="150">
        <v>15.14</v>
      </c>
      <c r="N228" s="4" t="s">
        <v>216</v>
      </c>
      <c r="O228" s="165">
        <v>2.5000000000000001E-2</v>
      </c>
      <c r="P228" s="166">
        <v>4.8439999999999997E-2</v>
      </c>
      <c r="R228" s="150">
        <v>1060000</v>
      </c>
      <c r="S228" s="150">
        <v>3.7589999999999999</v>
      </c>
      <c r="T228" s="150">
        <v>71.188000000000002</v>
      </c>
      <c r="U228" s="150">
        <v>2836.5050000000001</v>
      </c>
      <c r="W228" s="4" t="s">
        <v>37</v>
      </c>
      <c r="X228" s="166">
        <v>2.5999999999999998E-5</v>
      </c>
      <c r="Y228" s="166">
        <v>3.4038676622968199E-3</v>
      </c>
      <c r="Z228" s="166">
        <v>1.54218779119257E-3</v>
      </c>
    </row>
    <row r="229" spans="1:26">
      <c r="A229" s="4" t="s">
        <v>256</v>
      </c>
      <c r="B229" s="4">
        <v>7205</v>
      </c>
      <c r="C229" s="4" t="s">
        <v>185</v>
      </c>
      <c r="D229" s="4" t="s">
        <v>217</v>
      </c>
      <c r="E229" s="4" t="s">
        <v>218</v>
      </c>
      <c r="F229" s="4" t="s">
        <v>153</v>
      </c>
      <c r="G229" s="4" t="s">
        <v>154</v>
      </c>
      <c r="H229" s="4" t="s">
        <v>155</v>
      </c>
      <c r="I229" s="4" t="s">
        <v>163</v>
      </c>
      <c r="J229" s="4" t="s">
        <v>157</v>
      </c>
      <c r="K229" s="4" t="s">
        <v>158</v>
      </c>
      <c r="L229" s="4" t="s">
        <v>159</v>
      </c>
      <c r="M229" s="150">
        <v>4.54</v>
      </c>
      <c r="N229" s="4" t="s">
        <v>219</v>
      </c>
      <c r="O229" s="165">
        <v>3.2500000000000001E-2</v>
      </c>
      <c r="P229" s="166">
        <v>4.6359999999999998E-2</v>
      </c>
      <c r="Q229" s="150">
        <v>12.675000000000001</v>
      </c>
      <c r="R229" s="150">
        <v>780000</v>
      </c>
      <c r="S229" s="150">
        <v>3.7589999999999999</v>
      </c>
      <c r="T229" s="150">
        <v>94.882999999999996</v>
      </c>
      <c r="U229" s="150">
        <v>2829.6280000000002</v>
      </c>
      <c r="W229" s="4" t="s">
        <v>37</v>
      </c>
      <c r="X229" s="166">
        <v>0</v>
      </c>
      <c r="Y229" s="166">
        <v>3.3956156793980099E-3</v>
      </c>
      <c r="Z229" s="166">
        <v>1.5384490714354399E-3</v>
      </c>
    </row>
    <row r="230" spans="1:26">
      <c r="A230" s="4" t="s">
        <v>256</v>
      </c>
      <c r="B230" s="4">
        <v>7205</v>
      </c>
      <c r="C230" s="4" t="s">
        <v>185</v>
      </c>
      <c r="D230" s="4" t="s">
        <v>280</v>
      </c>
      <c r="E230" s="4" t="s">
        <v>281</v>
      </c>
      <c r="F230" s="4" t="s">
        <v>153</v>
      </c>
      <c r="G230" s="4" t="s">
        <v>154</v>
      </c>
      <c r="H230" s="4" t="s">
        <v>155</v>
      </c>
      <c r="I230" s="4" t="s">
        <v>163</v>
      </c>
      <c r="J230" s="4" t="s">
        <v>157</v>
      </c>
      <c r="K230" s="4" t="s">
        <v>158</v>
      </c>
      <c r="L230" s="4" t="s">
        <v>159</v>
      </c>
      <c r="M230" s="150">
        <v>0.25</v>
      </c>
      <c r="N230" s="4" t="s">
        <v>279</v>
      </c>
      <c r="O230" s="165">
        <v>3.2500000000000001E-2</v>
      </c>
      <c r="P230" s="166">
        <v>5.3839999999999999E-2</v>
      </c>
      <c r="R230" s="150">
        <v>600000</v>
      </c>
      <c r="S230" s="150">
        <v>3.7589999999999999</v>
      </c>
      <c r="T230" s="150">
        <v>100.7</v>
      </c>
      <c r="U230" s="150">
        <v>2271.1959999999999</v>
      </c>
      <c r="W230" s="4" t="s">
        <v>37</v>
      </c>
      <c r="X230" s="166">
        <v>1.2E-5</v>
      </c>
      <c r="Y230" s="166">
        <v>2.7254842118267101E-3</v>
      </c>
      <c r="Z230" s="166">
        <v>1.23483310562404E-3</v>
      </c>
    </row>
    <row r="231" spans="1:26">
      <c r="A231" s="4" t="s">
        <v>256</v>
      </c>
      <c r="B231" s="4">
        <v>7205</v>
      </c>
      <c r="C231" s="4" t="s">
        <v>185</v>
      </c>
      <c r="D231" s="4" t="s">
        <v>220</v>
      </c>
      <c r="E231" s="4" t="s">
        <v>221</v>
      </c>
      <c r="F231" s="4" t="s">
        <v>153</v>
      </c>
      <c r="G231" s="4" t="s">
        <v>154</v>
      </c>
      <c r="H231" s="4" t="s">
        <v>155</v>
      </c>
      <c r="I231" s="4" t="s">
        <v>163</v>
      </c>
      <c r="J231" s="4" t="s">
        <v>157</v>
      </c>
      <c r="K231" s="4" t="s">
        <v>158</v>
      </c>
      <c r="L231" s="4" t="s">
        <v>159</v>
      </c>
      <c r="M231" s="150">
        <v>13.65</v>
      </c>
      <c r="N231" s="4" t="s">
        <v>222</v>
      </c>
      <c r="O231" s="165">
        <v>3.3750000000000002E-2</v>
      </c>
      <c r="P231" s="166">
        <v>4.8439999999999997E-2</v>
      </c>
      <c r="R231" s="150">
        <v>858000</v>
      </c>
      <c r="S231" s="150">
        <v>3.7589999999999999</v>
      </c>
      <c r="T231" s="150">
        <v>83.524000000000001</v>
      </c>
      <c r="U231" s="150">
        <v>2693.8449999999998</v>
      </c>
      <c r="W231" s="4" t="s">
        <v>37</v>
      </c>
      <c r="X231" s="166">
        <v>2.0431999999999999E-2</v>
      </c>
      <c r="Y231" s="166">
        <v>3.2326731972271501E-3</v>
      </c>
      <c r="Z231" s="166">
        <v>1.46462484217591E-3</v>
      </c>
    </row>
    <row r="232" spans="1:26">
      <c r="A232" s="4" t="s">
        <v>256</v>
      </c>
      <c r="B232" s="4">
        <v>7205</v>
      </c>
      <c r="C232" s="4" t="s">
        <v>185</v>
      </c>
      <c r="D232" s="4" t="s">
        <v>223</v>
      </c>
      <c r="E232" s="4" t="s">
        <v>224</v>
      </c>
      <c r="F232" s="4" t="s">
        <v>153</v>
      </c>
      <c r="G232" s="4" t="s">
        <v>154</v>
      </c>
      <c r="H232" s="4" t="s">
        <v>155</v>
      </c>
      <c r="I232" s="4" t="s">
        <v>163</v>
      </c>
      <c r="J232" s="4" t="s">
        <v>157</v>
      </c>
      <c r="K232" s="4" t="s">
        <v>158</v>
      </c>
      <c r="L232" s="4" t="s">
        <v>159</v>
      </c>
      <c r="M232" s="150">
        <v>10.99</v>
      </c>
      <c r="N232" s="4" t="s">
        <v>225</v>
      </c>
      <c r="O232" s="165">
        <v>3.5000000000000003E-2</v>
      </c>
      <c r="P232" s="166">
        <v>4.6379999999999998E-2</v>
      </c>
      <c r="R232" s="150">
        <v>885000</v>
      </c>
      <c r="S232" s="150">
        <v>3.7589999999999999</v>
      </c>
      <c r="T232" s="150">
        <v>91.01</v>
      </c>
      <c r="U232" s="150">
        <v>3027.634</v>
      </c>
      <c r="W232" s="4" t="s">
        <v>37</v>
      </c>
      <c r="X232" s="166">
        <v>3.4158000000000001E-2</v>
      </c>
      <c r="Y232" s="166">
        <v>3.6332274012760199E-3</v>
      </c>
      <c r="Z232" s="166">
        <v>1.6461036376171499E-3</v>
      </c>
    </row>
    <row r="233" spans="1:26">
      <c r="A233" s="4" t="s">
        <v>256</v>
      </c>
      <c r="B233" s="4">
        <v>7205</v>
      </c>
      <c r="C233" s="4" t="s">
        <v>185</v>
      </c>
      <c r="D233" s="4" t="s">
        <v>226</v>
      </c>
      <c r="E233" s="4" t="s">
        <v>227</v>
      </c>
      <c r="F233" s="4" t="s">
        <v>153</v>
      </c>
      <c r="G233" s="4" t="s">
        <v>154</v>
      </c>
      <c r="H233" s="4" t="s">
        <v>155</v>
      </c>
      <c r="I233" s="4" t="s">
        <v>163</v>
      </c>
      <c r="J233" s="4" t="s">
        <v>157</v>
      </c>
      <c r="K233" s="4" t="s">
        <v>158</v>
      </c>
      <c r="L233" s="4" t="s">
        <v>159</v>
      </c>
      <c r="M233" s="150">
        <v>13.21</v>
      </c>
      <c r="N233" s="4" t="s">
        <v>228</v>
      </c>
      <c r="O233" s="165">
        <v>3.6249999999999998E-2</v>
      </c>
      <c r="P233" s="166">
        <v>4.8460000000000003E-2</v>
      </c>
      <c r="R233" s="150">
        <v>780000</v>
      </c>
      <c r="S233" s="150">
        <v>3.7589999999999999</v>
      </c>
      <c r="T233" s="150">
        <v>87.751000000000005</v>
      </c>
      <c r="U233" s="150">
        <v>2572.8809999999999</v>
      </c>
      <c r="W233" s="4" t="s">
        <v>37</v>
      </c>
      <c r="X233" s="166">
        <v>0</v>
      </c>
      <c r="Y233" s="166">
        <v>3.0875136570930701E-3</v>
      </c>
      <c r="Z233" s="166">
        <v>1.39885751724446E-3</v>
      </c>
    </row>
    <row r="234" spans="1:26">
      <c r="A234" s="4" t="s">
        <v>256</v>
      </c>
      <c r="B234" s="4">
        <v>7205</v>
      </c>
      <c r="C234" s="4" t="s">
        <v>185</v>
      </c>
      <c r="D234" s="4" t="s">
        <v>282</v>
      </c>
      <c r="E234" s="4" t="s">
        <v>283</v>
      </c>
      <c r="F234" s="4" t="s">
        <v>153</v>
      </c>
      <c r="G234" s="4" t="s">
        <v>154</v>
      </c>
      <c r="H234" s="4" t="s">
        <v>155</v>
      </c>
      <c r="I234" s="4" t="s">
        <v>163</v>
      </c>
      <c r="J234" s="4" t="s">
        <v>157</v>
      </c>
      <c r="K234" s="4" t="s">
        <v>158</v>
      </c>
      <c r="L234" s="4" t="s">
        <v>159</v>
      </c>
      <c r="M234" s="150">
        <v>0.41</v>
      </c>
      <c r="N234" s="4" t="s">
        <v>197</v>
      </c>
      <c r="O234" s="165">
        <v>4.3749999999999997E-2</v>
      </c>
      <c r="P234" s="166">
        <v>5.3109999999999997E-2</v>
      </c>
      <c r="R234" s="150">
        <v>850000</v>
      </c>
      <c r="S234" s="150">
        <v>3.7589999999999999</v>
      </c>
      <c r="T234" s="150">
        <v>100.381</v>
      </c>
      <c r="U234" s="150">
        <v>3207.3319999999999</v>
      </c>
      <c r="W234" s="4" t="s">
        <v>37</v>
      </c>
      <c r="X234" s="166">
        <v>0</v>
      </c>
      <c r="Y234" s="166">
        <v>3.8488686680036199E-3</v>
      </c>
      <c r="Z234" s="166">
        <v>1.74380406601753E-3</v>
      </c>
    </row>
    <row r="235" spans="1:26">
      <c r="A235" s="4" t="s">
        <v>256</v>
      </c>
      <c r="B235" s="4">
        <v>7205</v>
      </c>
      <c r="C235" s="4" t="s">
        <v>150</v>
      </c>
      <c r="D235" s="4" t="s">
        <v>229</v>
      </c>
      <c r="E235" s="4" t="s">
        <v>230</v>
      </c>
      <c r="F235" s="4" t="s">
        <v>153</v>
      </c>
      <c r="G235" s="4" t="s">
        <v>154</v>
      </c>
      <c r="H235" s="4" t="s">
        <v>155</v>
      </c>
      <c r="I235" s="4" t="s">
        <v>163</v>
      </c>
      <c r="J235" s="4" t="s">
        <v>157</v>
      </c>
      <c r="K235" s="4" t="s">
        <v>158</v>
      </c>
      <c r="L235" s="4" t="s">
        <v>159</v>
      </c>
      <c r="M235" s="150">
        <v>0.78500000000000003</v>
      </c>
      <c r="N235" s="4" t="s">
        <v>231</v>
      </c>
      <c r="O235" s="165">
        <v>0</v>
      </c>
      <c r="P235" s="166">
        <v>5.2290000000000003E-2</v>
      </c>
      <c r="R235" s="150">
        <v>820000</v>
      </c>
      <c r="S235" s="150">
        <v>3.7589999999999999</v>
      </c>
      <c r="T235" s="150">
        <v>96.399000000000001</v>
      </c>
      <c r="U235" s="150">
        <v>2971.3710000000001</v>
      </c>
      <c r="W235" s="4" t="s">
        <v>37</v>
      </c>
      <c r="X235" s="166">
        <v>1.8E-5</v>
      </c>
      <c r="Y235" s="166">
        <v>3.56571022272777E-3</v>
      </c>
      <c r="Z235" s="166">
        <v>1.6155136797271199E-3</v>
      </c>
    </row>
    <row r="236" spans="1:26">
      <c r="A236" s="4" t="s">
        <v>256</v>
      </c>
      <c r="B236" s="4">
        <v>7205</v>
      </c>
      <c r="C236" s="4" t="s">
        <v>185</v>
      </c>
      <c r="D236" s="4" t="s">
        <v>232</v>
      </c>
      <c r="E236" s="4" t="s">
        <v>233</v>
      </c>
      <c r="F236" s="4" t="s">
        <v>153</v>
      </c>
      <c r="G236" s="4" t="s">
        <v>154</v>
      </c>
      <c r="H236" s="4" t="s">
        <v>155</v>
      </c>
      <c r="I236" s="4" t="s">
        <v>163</v>
      </c>
      <c r="J236" s="4" t="s">
        <v>157</v>
      </c>
      <c r="K236" s="4" t="s">
        <v>158</v>
      </c>
      <c r="L236" s="4" t="s">
        <v>159</v>
      </c>
      <c r="M236" s="150">
        <v>0.45</v>
      </c>
      <c r="N236" s="4" t="s">
        <v>234</v>
      </c>
      <c r="O236" s="165">
        <v>0</v>
      </c>
      <c r="P236" s="166">
        <v>5.3769999999999998E-2</v>
      </c>
      <c r="R236" s="150">
        <v>1215000</v>
      </c>
      <c r="S236" s="150">
        <v>3.7589999999999999</v>
      </c>
      <c r="T236" s="150">
        <v>98.069000000000003</v>
      </c>
      <c r="U236" s="150">
        <v>4478.9840000000004</v>
      </c>
      <c r="W236" s="4" t="s">
        <v>37</v>
      </c>
      <c r="X236" s="166">
        <v>1.5999999999999999E-5</v>
      </c>
      <c r="Y236" s="166">
        <v>5.37487794035282E-3</v>
      </c>
      <c r="Z236" s="166">
        <v>2.4351919525476399E-3</v>
      </c>
    </row>
    <row r="237" spans="1:26">
      <c r="A237" s="4" t="s">
        <v>256</v>
      </c>
      <c r="B237" s="4">
        <v>7205</v>
      </c>
      <c r="C237" s="4" t="s">
        <v>150</v>
      </c>
      <c r="D237" s="4" t="s">
        <v>235</v>
      </c>
      <c r="E237" s="4" t="s">
        <v>236</v>
      </c>
      <c r="F237" s="4" t="s">
        <v>153</v>
      </c>
      <c r="G237" s="4" t="s">
        <v>154</v>
      </c>
      <c r="H237" s="4" t="s">
        <v>155</v>
      </c>
      <c r="I237" s="4" t="s">
        <v>163</v>
      </c>
      <c r="J237" s="4" t="s">
        <v>157</v>
      </c>
      <c r="K237" s="4" t="s">
        <v>158</v>
      </c>
      <c r="L237" s="4" t="s">
        <v>159</v>
      </c>
      <c r="M237" s="150">
        <v>0.21</v>
      </c>
      <c r="N237" s="4" t="s">
        <v>237</v>
      </c>
      <c r="O237" s="165">
        <v>0</v>
      </c>
      <c r="P237" s="166">
        <v>5.3929999999999999E-2</v>
      </c>
      <c r="R237" s="150">
        <v>775000</v>
      </c>
      <c r="S237" s="150">
        <v>3.7589999999999999</v>
      </c>
      <c r="T237" s="150">
        <v>99.358999999999995</v>
      </c>
      <c r="U237" s="150">
        <v>2894.5479999999998</v>
      </c>
      <c r="W237" s="4" t="s">
        <v>37</v>
      </c>
      <c r="X237" s="166">
        <v>1.0000000000000001E-5</v>
      </c>
      <c r="Y237" s="166">
        <v>3.4735211241930901E-3</v>
      </c>
      <c r="Z237" s="166">
        <v>1.57374563339088E-3</v>
      </c>
    </row>
    <row r="238" spans="1:26">
      <c r="A238" s="4" t="s">
        <v>256</v>
      </c>
      <c r="B238" s="4">
        <v>7205</v>
      </c>
      <c r="C238" s="4" t="s">
        <v>185</v>
      </c>
      <c r="D238" s="4" t="s">
        <v>238</v>
      </c>
      <c r="E238" s="4" t="s">
        <v>239</v>
      </c>
      <c r="F238" s="4" t="s">
        <v>153</v>
      </c>
      <c r="G238" s="4" t="s">
        <v>154</v>
      </c>
      <c r="H238" s="4" t="s">
        <v>155</v>
      </c>
      <c r="I238" s="4" t="s">
        <v>163</v>
      </c>
      <c r="J238" s="4" t="s">
        <v>157</v>
      </c>
      <c r="K238" s="4" t="s">
        <v>158</v>
      </c>
      <c r="L238" s="4" t="s">
        <v>159</v>
      </c>
      <c r="M238" s="150">
        <v>13.63</v>
      </c>
      <c r="N238" s="4" t="s">
        <v>240</v>
      </c>
      <c r="O238" s="165">
        <v>2.8750000000000001E-2</v>
      </c>
      <c r="P238" s="166">
        <v>4.8419999999999998E-2</v>
      </c>
      <c r="R238" s="150">
        <v>1195000</v>
      </c>
      <c r="S238" s="150">
        <v>3.7589999999999999</v>
      </c>
      <c r="T238" s="150">
        <v>77.813000000000002</v>
      </c>
      <c r="U238" s="150">
        <v>3495.3420000000001</v>
      </c>
      <c r="W238" s="4" t="s">
        <v>37</v>
      </c>
      <c r="X238" s="166">
        <v>0</v>
      </c>
      <c r="Y238" s="166">
        <v>4.19448619201967E-3</v>
      </c>
      <c r="Z238" s="166">
        <v>1.90039274067831E-3</v>
      </c>
    </row>
    <row r="239" spans="1:26">
      <c r="A239" s="4" t="s">
        <v>256</v>
      </c>
      <c r="B239" s="4">
        <v>7205</v>
      </c>
      <c r="C239" s="4" t="s">
        <v>185</v>
      </c>
      <c r="D239" s="4" t="s">
        <v>241</v>
      </c>
      <c r="E239" s="4" t="s">
        <v>242</v>
      </c>
      <c r="F239" s="4" t="s">
        <v>153</v>
      </c>
      <c r="G239" s="4" t="s">
        <v>154</v>
      </c>
      <c r="H239" s="4" t="s">
        <v>155</v>
      </c>
      <c r="I239" s="4" t="s">
        <v>163</v>
      </c>
      <c r="J239" s="4" t="s">
        <v>157</v>
      </c>
      <c r="K239" s="4" t="s">
        <v>158</v>
      </c>
      <c r="L239" s="4" t="s">
        <v>159</v>
      </c>
      <c r="M239" s="150">
        <v>0.26</v>
      </c>
      <c r="N239" s="4" t="s">
        <v>243</v>
      </c>
      <c r="O239" s="165">
        <v>0</v>
      </c>
      <c r="P239" s="166">
        <v>5.3800000000000001E-2</v>
      </c>
      <c r="R239" s="150">
        <v>1600000</v>
      </c>
      <c r="S239" s="150">
        <v>3.7589999999999999</v>
      </c>
      <c r="T239" s="150">
        <v>99.057000000000002</v>
      </c>
      <c r="U239" s="150">
        <v>5957.6840000000002</v>
      </c>
      <c r="W239" s="4" t="s">
        <v>37</v>
      </c>
      <c r="X239" s="166">
        <v>0</v>
      </c>
      <c r="Y239" s="166">
        <v>7.1493510209918497E-3</v>
      </c>
      <c r="Z239" s="166">
        <v>3.2391511519822098E-3</v>
      </c>
    </row>
    <row r="240" spans="1:26">
      <c r="A240" s="4" t="s">
        <v>256</v>
      </c>
      <c r="B240" s="4">
        <v>7205</v>
      </c>
      <c r="C240" s="4" t="s">
        <v>185</v>
      </c>
      <c r="D240" s="4" t="s">
        <v>284</v>
      </c>
      <c r="E240" s="4" t="s">
        <v>285</v>
      </c>
      <c r="F240" s="4" t="s">
        <v>153</v>
      </c>
      <c r="G240" s="4" t="s">
        <v>154</v>
      </c>
      <c r="H240" s="4" t="s">
        <v>155</v>
      </c>
      <c r="I240" s="4" t="s">
        <v>163</v>
      </c>
      <c r="J240" s="4" t="s">
        <v>157</v>
      </c>
      <c r="K240" s="4" t="s">
        <v>158</v>
      </c>
      <c r="L240" s="4" t="s">
        <v>159</v>
      </c>
      <c r="M240" s="150">
        <v>10.050000000000001</v>
      </c>
      <c r="N240" s="4" t="s">
        <v>286</v>
      </c>
      <c r="O240" s="165">
        <v>4.3749999999999997E-2</v>
      </c>
      <c r="P240" s="166">
        <v>4.5920000000000002E-2</v>
      </c>
      <c r="R240" s="150">
        <v>450000</v>
      </c>
      <c r="S240" s="150">
        <v>3.7589999999999999</v>
      </c>
      <c r="T240" s="150">
        <v>101.184</v>
      </c>
      <c r="U240" s="150">
        <v>1711.579</v>
      </c>
      <c r="W240" s="4" t="s">
        <v>37</v>
      </c>
      <c r="X240" s="166">
        <v>1.9977999999999999E-2</v>
      </c>
      <c r="Y240" s="166">
        <v>2.0539316838037599E-3</v>
      </c>
      <c r="Z240" s="166">
        <v>9.3057330101029598E-4</v>
      </c>
    </row>
    <row r="241" spans="1:26">
      <c r="A241" s="4" t="s">
        <v>256</v>
      </c>
      <c r="B241" s="4">
        <v>7205</v>
      </c>
      <c r="C241" s="4" t="s">
        <v>185</v>
      </c>
      <c r="D241" s="4" t="s">
        <v>244</v>
      </c>
      <c r="E241" s="4" t="s">
        <v>245</v>
      </c>
      <c r="F241" s="4" t="s">
        <v>153</v>
      </c>
      <c r="G241" s="4" t="s">
        <v>154</v>
      </c>
      <c r="H241" s="4" t="s">
        <v>155</v>
      </c>
      <c r="I241" s="4" t="s">
        <v>163</v>
      </c>
      <c r="J241" s="4" t="s">
        <v>157</v>
      </c>
      <c r="K241" s="4" t="s">
        <v>158</v>
      </c>
      <c r="L241" s="4" t="s">
        <v>159</v>
      </c>
      <c r="M241" s="150">
        <v>6.94</v>
      </c>
      <c r="N241" s="4" t="s">
        <v>246</v>
      </c>
      <c r="O241" s="165">
        <v>1.8749999999999999E-2</v>
      </c>
      <c r="P241" s="166">
        <v>4.6089999999999999E-2</v>
      </c>
      <c r="R241" s="150">
        <v>910000</v>
      </c>
      <c r="S241" s="150">
        <v>3.7589999999999999</v>
      </c>
      <c r="T241" s="150">
        <v>84.495999999999995</v>
      </c>
      <c r="U241" s="150">
        <v>2890.3560000000002</v>
      </c>
      <c r="W241" s="4" t="s">
        <v>37</v>
      </c>
      <c r="X241" s="166">
        <v>0</v>
      </c>
      <c r="Y241" s="166">
        <v>3.4684903589767301E-3</v>
      </c>
      <c r="Z241" s="166">
        <v>1.5714663483343699E-3</v>
      </c>
    </row>
    <row r="242" spans="1:26">
      <c r="A242" s="4" t="s">
        <v>256</v>
      </c>
      <c r="B242" s="4">
        <v>7205</v>
      </c>
      <c r="C242" s="4" t="s">
        <v>185</v>
      </c>
      <c r="D242" s="4" t="s">
        <v>247</v>
      </c>
      <c r="E242" s="4" t="s">
        <v>248</v>
      </c>
      <c r="F242" s="4" t="s">
        <v>153</v>
      </c>
      <c r="G242" s="4" t="s">
        <v>154</v>
      </c>
      <c r="H242" s="4" t="s">
        <v>155</v>
      </c>
      <c r="I242" s="4" t="s">
        <v>163</v>
      </c>
      <c r="J242" s="4" t="s">
        <v>157</v>
      </c>
      <c r="K242" s="4" t="s">
        <v>158</v>
      </c>
      <c r="L242" s="4" t="s">
        <v>159</v>
      </c>
      <c r="M242" s="150">
        <v>13.51</v>
      </c>
      <c r="N242" s="4" t="s">
        <v>249</v>
      </c>
      <c r="O242" s="165">
        <v>2.75E-2</v>
      </c>
      <c r="P242" s="166">
        <v>4.8379999999999999E-2</v>
      </c>
      <c r="R242" s="150">
        <v>1101000</v>
      </c>
      <c r="S242" s="150">
        <v>3.7589999999999999</v>
      </c>
      <c r="T242" s="150">
        <v>76.775999999999996</v>
      </c>
      <c r="U242" s="150">
        <v>3177.4810000000002</v>
      </c>
      <c r="W242" s="4" t="s">
        <v>37</v>
      </c>
      <c r="X242" s="166">
        <v>0</v>
      </c>
      <c r="Y242" s="166">
        <v>3.8130463867501502E-3</v>
      </c>
      <c r="Z242" s="166">
        <v>1.72757409168166E-3</v>
      </c>
    </row>
    <row r="243" spans="1:26">
      <c r="A243" s="4" t="s">
        <v>256</v>
      </c>
      <c r="B243" s="4">
        <v>7205</v>
      </c>
      <c r="C243" s="4" t="s">
        <v>185</v>
      </c>
      <c r="D243" s="4" t="s">
        <v>250</v>
      </c>
      <c r="E243" s="4" t="s">
        <v>251</v>
      </c>
      <c r="F243" s="4" t="s">
        <v>153</v>
      </c>
      <c r="G243" s="4" t="s">
        <v>154</v>
      </c>
      <c r="H243" s="4" t="s">
        <v>155</v>
      </c>
      <c r="I243" s="4" t="s">
        <v>163</v>
      </c>
      <c r="J243" s="4" t="s">
        <v>157</v>
      </c>
      <c r="K243" s="4" t="s">
        <v>158</v>
      </c>
      <c r="L243" s="4" t="s">
        <v>159</v>
      </c>
      <c r="M243" s="150">
        <v>14.19</v>
      </c>
      <c r="N243" s="4" t="s">
        <v>252</v>
      </c>
      <c r="O243" s="165">
        <v>0.03</v>
      </c>
      <c r="P243" s="166">
        <v>4.8489999999999998E-2</v>
      </c>
      <c r="R243" s="150">
        <v>900000</v>
      </c>
      <c r="S243" s="150">
        <v>3.7589999999999999</v>
      </c>
      <c r="T243" s="150">
        <v>78.266000000000005</v>
      </c>
      <c r="U243" s="150">
        <v>2647.8049999999998</v>
      </c>
      <c r="W243" s="4" t="s">
        <v>37</v>
      </c>
      <c r="X243" s="166">
        <v>2.1418E-2</v>
      </c>
      <c r="Y243" s="166">
        <v>3.1774231980965699E-3</v>
      </c>
      <c r="Z243" s="166">
        <v>1.43959276614476E-3</v>
      </c>
    </row>
    <row r="244" spans="1:26">
      <c r="A244" s="4" t="s">
        <v>256</v>
      </c>
      <c r="B244" s="4">
        <v>7205</v>
      </c>
      <c r="C244" s="4" t="s">
        <v>185</v>
      </c>
      <c r="D244" s="4" t="s">
        <v>287</v>
      </c>
      <c r="E244" s="4" t="s">
        <v>288</v>
      </c>
      <c r="F244" s="4" t="s">
        <v>153</v>
      </c>
      <c r="G244" s="4" t="s">
        <v>154</v>
      </c>
      <c r="H244" s="4" t="s">
        <v>155</v>
      </c>
      <c r="I244" s="4" t="s">
        <v>163</v>
      </c>
      <c r="J244" s="4" t="s">
        <v>157</v>
      </c>
      <c r="K244" s="4" t="s">
        <v>158</v>
      </c>
      <c r="L244" s="4" t="s">
        <v>159</v>
      </c>
      <c r="M244" s="150">
        <v>12.75</v>
      </c>
      <c r="N244" s="4" t="s">
        <v>289</v>
      </c>
      <c r="O244" s="165">
        <v>3.3750000000000002E-2</v>
      </c>
      <c r="P244" s="166">
        <v>4.8349999999999997E-2</v>
      </c>
      <c r="R244" s="150">
        <v>850000</v>
      </c>
      <c r="S244" s="150">
        <v>3.7589999999999999</v>
      </c>
      <c r="T244" s="150">
        <v>85.503</v>
      </c>
      <c r="U244" s="150">
        <v>2731.9389999999999</v>
      </c>
      <c r="W244" s="4" t="s">
        <v>37</v>
      </c>
      <c r="X244" s="166">
        <v>2.0999999999999999E-5</v>
      </c>
      <c r="Y244" s="166">
        <v>3.27838652554098E-3</v>
      </c>
      <c r="Z244" s="166">
        <v>1.48533614585003E-3</v>
      </c>
    </row>
    <row r="245" spans="1:26">
      <c r="A245" s="4" t="s">
        <v>256</v>
      </c>
      <c r="B245" s="4">
        <v>7205</v>
      </c>
      <c r="C245" s="4" t="s">
        <v>185</v>
      </c>
      <c r="D245" s="4" t="s">
        <v>253</v>
      </c>
      <c r="E245" s="4" t="s">
        <v>254</v>
      </c>
      <c r="F245" s="4" t="s">
        <v>153</v>
      </c>
      <c r="G245" s="4" t="s">
        <v>154</v>
      </c>
      <c r="H245" s="4" t="s">
        <v>155</v>
      </c>
      <c r="I245" s="4" t="s">
        <v>163</v>
      </c>
      <c r="J245" s="4" t="s">
        <v>157</v>
      </c>
      <c r="K245" s="4" t="s">
        <v>158</v>
      </c>
      <c r="L245" s="4" t="s">
        <v>159</v>
      </c>
      <c r="M245" s="150">
        <v>14.5</v>
      </c>
      <c r="N245" s="4" t="s">
        <v>255</v>
      </c>
      <c r="O245" s="165">
        <v>2.8750000000000001E-2</v>
      </c>
      <c r="P245" s="166">
        <v>4.8439999999999997E-2</v>
      </c>
      <c r="R245" s="150">
        <v>370000</v>
      </c>
      <c r="S245" s="150">
        <v>3.7589999999999999</v>
      </c>
      <c r="T245" s="150">
        <v>76.787000000000006</v>
      </c>
      <c r="U245" s="150">
        <v>1067.9770000000001</v>
      </c>
      <c r="W245" s="4" t="s">
        <v>37</v>
      </c>
      <c r="X245" s="166">
        <v>9.0000000000000002E-6</v>
      </c>
      <c r="Y245" s="166">
        <v>1.28159543767413E-3</v>
      </c>
      <c r="Z245" s="166">
        <v>5.8065149216038499E-4</v>
      </c>
    </row>
    <row r="246" spans="1:26">
      <c r="A246" s="4" t="s">
        <v>256</v>
      </c>
      <c r="B246" s="4">
        <v>7206</v>
      </c>
      <c r="C246" s="4" t="s">
        <v>27</v>
      </c>
      <c r="D246" s="4" t="s">
        <v>28</v>
      </c>
      <c r="E246" s="4" t="s">
        <v>29</v>
      </c>
      <c r="F246" s="4" t="s">
        <v>49</v>
      </c>
      <c r="G246" s="4" t="s">
        <v>31</v>
      </c>
      <c r="H246" s="4" t="s">
        <v>31</v>
      </c>
      <c r="I246" s="4" t="s">
        <v>32</v>
      </c>
      <c r="J246" s="4" t="s">
        <v>33</v>
      </c>
      <c r="K246" s="4" t="s">
        <v>34</v>
      </c>
      <c r="L246" s="4" t="s">
        <v>35</v>
      </c>
      <c r="M246" s="150">
        <v>0.16200000000000001</v>
      </c>
      <c r="N246" s="4" t="s">
        <v>36</v>
      </c>
      <c r="O246" s="165">
        <v>0</v>
      </c>
      <c r="P246" s="166">
        <v>4.4420000000000001E-2</v>
      </c>
      <c r="R246" s="150">
        <v>1782366</v>
      </c>
      <c r="S246" s="150">
        <v>1</v>
      </c>
      <c r="T246" s="150">
        <v>99.3</v>
      </c>
      <c r="U246" s="150">
        <v>1769.8889999999999</v>
      </c>
      <c r="W246" s="4" t="s">
        <v>37</v>
      </c>
      <c r="X246" s="166">
        <v>2.9399999999999999E-4</v>
      </c>
      <c r="Y246" s="166">
        <v>6.5697066892627096E-2</v>
      </c>
      <c r="Z246" s="166">
        <v>2.6428659296544001E-2</v>
      </c>
    </row>
    <row r="247" spans="1:26">
      <c r="A247" s="4" t="s">
        <v>256</v>
      </c>
      <c r="B247" s="4">
        <v>7206</v>
      </c>
      <c r="C247" s="4" t="s">
        <v>27</v>
      </c>
      <c r="D247" s="4" t="s">
        <v>38</v>
      </c>
      <c r="E247" s="4" t="s">
        <v>39</v>
      </c>
      <c r="F247" s="4" t="s">
        <v>49</v>
      </c>
      <c r="G247" s="4" t="s">
        <v>31</v>
      </c>
      <c r="H247" s="4" t="s">
        <v>31</v>
      </c>
      <c r="I247" s="4" t="s">
        <v>32</v>
      </c>
      <c r="J247" s="4" t="s">
        <v>33</v>
      </c>
      <c r="K247" s="4" t="s">
        <v>34</v>
      </c>
      <c r="L247" s="4" t="s">
        <v>35</v>
      </c>
      <c r="M247" s="150">
        <v>0.41099999999999998</v>
      </c>
      <c r="N247" s="4" t="s">
        <v>40</v>
      </c>
      <c r="O247" s="165">
        <v>0</v>
      </c>
      <c r="P247" s="166">
        <v>4.3900000000000002E-2</v>
      </c>
      <c r="R247" s="150">
        <v>718000</v>
      </c>
      <c r="S247" s="150">
        <v>1</v>
      </c>
      <c r="T247" s="150">
        <v>98.24</v>
      </c>
      <c r="U247" s="150">
        <v>705.36300000000006</v>
      </c>
      <c r="W247" s="4" t="s">
        <v>37</v>
      </c>
      <c r="X247" s="166">
        <v>7.7999999999999999E-5</v>
      </c>
      <c r="Y247" s="166">
        <v>2.6182592165961902E-2</v>
      </c>
      <c r="Z247" s="166">
        <v>1.0532750403994399E-2</v>
      </c>
    </row>
    <row r="248" spans="1:26">
      <c r="A248" s="4" t="s">
        <v>256</v>
      </c>
      <c r="B248" s="4">
        <v>7206</v>
      </c>
      <c r="C248" s="4" t="s">
        <v>41</v>
      </c>
      <c r="D248" s="4" t="s">
        <v>42</v>
      </c>
      <c r="E248" s="4" t="s">
        <v>43</v>
      </c>
      <c r="F248" s="4" t="s">
        <v>44</v>
      </c>
      <c r="G248" s="4" t="s">
        <v>31</v>
      </c>
      <c r="H248" s="4" t="s">
        <v>31</v>
      </c>
      <c r="I248" s="4" t="s">
        <v>32</v>
      </c>
      <c r="J248" s="4" t="s">
        <v>33</v>
      </c>
      <c r="K248" s="4" t="s">
        <v>34</v>
      </c>
      <c r="L248" s="4" t="s">
        <v>35</v>
      </c>
      <c r="M248" s="150">
        <v>7.9000000000000001E-2</v>
      </c>
      <c r="N248" s="4" t="s">
        <v>45</v>
      </c>
      <c r="O248" s="165">
        <v>0.04</v>
      </c>
      <c r="P248" s="166">
        <v>4.7849999999999997E-2</v>
      </c>
      <c r="R248" s="150">
        <v>235134</v>
      </c>
      <c r="S248" s="150">
        <v>1</v>
      </c>
      <c r="T248" s="150">
        <v>145.32</v>
      </c>
      <c r="U248" s="150">
        <v>341.697</v>
      </c>
      <c r="W248" s="4" t="s">
        <v>37</v>
      </c>
      <c r="X248" s="166">
        <v>6.3E-5</v>
      </c>
      <c r="Y248" s="166">
        <v>1.26835452921469E-2</v>
      </c>
      <c r="Z248" s="166">
        <v>5.1023449455709904E-3</v>
      </c>
    </row>
    <row r="249" spans="1:26">
      <c r="A249" s="4" t="s">
        <v>256</v>
      </c>
      <c r="B249" s="4">
        <v>7206</v>
      </c>
      <c r="C249" s="4" t="s">
        <v>46</v>
      </c>
      <c r="D249" s="4" t="s">
        <v>47</v>
      </c>
      <c r="E249" s="4" t="s">
        <v>48</v>
      </c>
      <c r="F249" s="4" t="s">
        <v>49</v>
      </c>
      <c r="G249" s="4" t="s">
        <v>31</v>
      </c>
      <c r="H249" s="4" t="s">
        <v>31</v>
      </c>
      <c r="I249" s="4" t="s">
        <v>50</v>
      </c>
      <c r="J249" s="4" t="s">
        <v>33</v>
      </c>
      <c r="K249" s="4" t="s">
        <v>34</v>
      </c>
      <c r="L249" s="4" t="s">
        <v>35</v>
      </c>
      <c r="M249" s="150">
        <v>0.67400000000000004</v>
      </c>
      <c r="N249" s="4" t="s">
        <v>51</v>
      </c>
      <c r="O249" s="165">
        <v>0</v>
      </c>
      <c r="P249" s="166">
        <v>4.3360000000000003E-2</v>
      </c>
      <c r="R249" s="150">
        <v>150000</v>
      </c>
      <c r="S249" s="150">
        <v>1</v>
      </c>
      <c r="T249" s="150">
        <v>97.17</v>
      </c>
      <c r="U249" s="150">
        <v>145.755</v>
      </c>
      <c r="W249" s="4" t="s">
        <v>37</v>
      </c>
      <c r="X249" s="166">
        <v>1.2999999999999999E-5</v>
      </c>
      <c r="Y249" s="166">
        <v>5.4103243848697699E-3</v>
      </c>
      <c r="Z249" s="166">
        <v>2.1764688533995099E-3</v>
      </c>
    </row>
    <row r="250" spans="1:26">
      <c r="A250" s="4" t="s">
        <v>256</v>
      </c>
      <c r="B250" s="4">
        <v>7206</v>
      </c>
      <c r="C250" s="4" t="s">
        <v>46</v>
      </c>
      <c r="D250" s="4" t="s">
        <v>52</v>
      </c>
      <c r="E250" s="4" t="s">
        <v>53</v>
      </c>
      <c r="F250" s="4" t="s">
        <v>49</v>
      </c>
      <c r="G250" s="4" t="s">
        <v>31</v>
      </c>
      <c r="H250" s="4" t="s">
        <v>31</v>
      </c>
      <c r="I250" s="4" t="s">
        <v>50</v>
      </c>
      <c r="J250" s="4" t="s">
        <v>33</v>
      </c>
      <c r="K250" s="4" t="s">
        <v>34</v>
      </c>
      <c r="L250" s="4" t="s">
        <v>35</v>
      </c>
      <c r="M250" s="150">
        <v>0.751</v>
      </c>
      <c r="N250" s="4" t="s">
        <v>54</v>
      </c>
      <c r="O250" s="165">
        <v>0</v>
      </c>
      <c r="P250" s="166">
        <v>4.2840000000000003E-2</v>
      </c>
      <c r="R250" s="150">
        <v>315000</v>
      </c>
      <c r="S250" s="150">
        <v>1</v>
      </c>
      <c r="T250" s="150">
        <v>96.87</v>
      </c>
      <c r="U250" s="150">
        <v>305.14</v>
      </c>
      <c r="W250" s="4" t="s">
        <v>37</v>
      </c>
      <c r="X250" s="166">
        <v>2.5999999999999998E-5</v>
      </c>
      <c r="Y250" s="166">
        <v>1.13266034644531E-2</v>
      </c>
      <c r="Z250" s="166">
        <v>4.5564734942935298E-3</v>
      </c>
    </row>
    <row r="251" spans="1:26">
      <c r="A251" s="4" t="s">
        <v>256</v>
      </c>
      <c r="B251" s="4">
        <v>7206</v>
      </c>
      <c r="C251" s="4" t="s">
        <v>46</v>
      </c>
      <c r="D251" s="4" t="s">
        <v>55</v>
      </c>
      <c r="E251" s="4" t="s">
        <v>56</v>
      </c>
      <c r="F251" s="4" t="s">
        <v>49</v>
      </c>
      <c r="G251" s="4" t="s">
        <v>31</v>
      </c>
      <c r="H251" s="4" t="s">
        <v>31</v>
      </c>
      <c r="I251" s="4" t="s">
        <v>32</v>
      </c>
      <c r="J251" s="4" t="s">
        <v>33</v>
      </c>
      <c r="K251" s="4" t="s">
        <v>34</v>
      </c>
      <c r="L251" s="4" t="s">
        <v>35</v>
      </c>
      <c r="M251" s="150">
        <v>0.252</v>
      </c>
      <c r="N251" s="4" t="s">
        <v>57</v>
      </c>
      <c r="O251" s="165">
        <v>0</v>
      </c>
      <c r="P251" s="166">
        <v>4.2770000000000002E-2</v>
      </c>
      <c r="R251" s="150">
        <v>290000</v>
      </c>
      <c r="S251" s="150">
        <v>1</v>
      </c>
      <c r="T251" s="150">
        <v>98.94</v>
      </c>
      <c r="U251" s="150">
        <v>286.92599999999999</v>
      </c>
      <c r="W251" s="4" t="s">
        <v>37</v>
      </c>
      <c r="X251" s="166">
        <v>1.5999999999999999E-5</v>
      </c>
      <c r="Y251" s="166">
        <v>1.0650493872959001E-2</v>
      </c>
      <c r="Z251" s="166">
        <v>4.2844876829646198E-3</v>
      </c>
    </row>
    <row r="252" spans="1:26">
      <c r="A252" s="4" t="s">
        <v>256</v>
      </c>
      <c r="B252" s="4">
        <v>7206</v>
      </c>
      <c r="C252" s="4" t="s">
        <v>46</v>
      </c>
      <c r="D252" s="4" t="s">
        <v>58</v>
      </c>
      <c r="E252" s="4" t="s">
        <v>59</v>
      </c>
      <c r="F252" s="4" t="s">
        <v>49</v>
      </c>
      <c r="G252" s="4" t="s">
        <v>31</v>
      </c>
      <c r="H252" s="4" t="s">
        <v>31</v>
      </c>
      <c r="I252" s="4" t="s">
        <v>32</v>
      </c>
      <c r="J252" s="4" t="s">
        <v>33</v>
      </c>
      <c r="K252" s="4" t="s">
        <v>34</v>
      </c>
      <c r="L252" s="4" t="s">
        <v>35</v>
      </c>
      <c r="M252" s="150">
        <v>0.34799999999999998</v>
      </c>
      <c r="N252" s="4" t="s">
        <v>60</v>
      </c>
      <c r="O252" s="165">
        <v>0</v>
      </c>
      <c r="P252" s="166">
        <v>4.3479999999999998E-2</v>
      </c>
      <c r="R252" s="150">
        <v>516000</v>
      </c>
      <c r="S252" s="150">
        <v>1</v>
      </c>
      <c r="T252" s="150">
        <v>98.53</v>
      </c>
      <c r="U252" s="150">
        <v>508.41500000000002</v>
      </c>
      <c r="W252" s="4" t="s">
        <v>37</v>
      </c>
      <c r="X252" s="166">
        <v>3.6999999999999998E-5</v>
      </c>
      <c r="Y252" s="166">
        <v>1.8872004322792998E-2</v>
      </c>
      <c r="Z252" s="166">
        <v>7.5918423162659402E-3</v>
      </c>
    </row>
    <row r="253" spans="1:26">
      <c r="A253" s="4" t="s">
        <v>256</v>
      </c>
      <c r="B253" s="4">
        <v>7206</v>
      </c>
      <c r="C253" s="4" t="s">
        <v>46</v>
      </c>
      <c r="D253" s="4" t="s">
        <v>61</v>
      </c>
      <c r="E253" s="4" t="s">
        <v>62</v>
      </c>
      <c r="F253" s="4" t="s">
        <v>49</v>
      </c>
      <c r="G253" s="4" t="s">
        <v>31</v>
      </c>
      <c r="H253" s="4" t="s">
        <v>31</v>
      </c>
      <c r="I253" s="4" t="s">
        <v>32</v>
      </c>
      <c r="J253" s="4" t="s">
        <v>33</v>
      </c>
      <c r="K253" s="4" t="s">
        <v>34</v>
      </c>
      <c r="L253" s="4" t="s">
        <v>35</v>
      </c>
      <c r="M253" s="150">
        <v>0.42499999999999999</v>
      </c>
      <c r="N253" s="4" t="s">
        <v>63</v>
      </c>
      <c r="O253" s="165">
        <v>0</v>
      </c>
      <c r="P253" s="166">
        <v>4.3450000000000003E-2</v>
      </c>
      <c r="R253" s="150">
        <v>291000</v>
      </c>
      <c r="S253" s="150">
        <v>1</v>
      </c>
      <c r="T253" s="150">
        <v>98.21</v>
      </c>
      <c r="U253" s="150">
        <v>285.791</v>
      </c>
      <c r="W253" s="4" t="s">
        <v>37</v>
      </c>
      <c r="X253" s="166">
        <v>2.0999999999999999E-5</v>
      </c>
      <c r="Y253" s="166">
        <v>1.06083671730559E-2</v>
      </c>
      <c r="Z253" s="166">
        <v>4.2675409264092802E-3</v>
      </c>
    </row>
    <row r="254" spans="1:26">
      <c r="A254" s="4" t="s">
        <v>256</v>
      </c>
      <c r="B254" s="4">
        <v>7206</v>
      </c>
      <c r="C254" s="4" t="s">
        <v>46</v>
      </c>
      <c r="D254" s="4" t="s">
        <v>64</v>
      </c>
      <c r="E254" s="4" t="s">
        <v>65</v>
      </c>
      <c r="F254" s="4" t="s">
        <v>49</v>
      </c>
      <c r="G254" s="4" t="s">
        <v>31</v>
      </c>
      <c r="H254" s="4" t="s">
        <v>31</v>
      </c>
      <c r="I254" s="4" t="s">
        <v>32</v>
      </c>
      <c r="J254" s="4" t="s">
        <v>33</v>
      </c>
      <c r="K254" s="4" t="s">
        <v>34</v>
      </c>
      <c r="L254" s="4" t="s">
        <v>35</v>
      </c>
      <c r="M254" s="150">
        <v>0.52100000000000002</v>
      </c>
      <c r="N254" s="4" t="s">
        <v>66</v>
      </c>
      <c r="O254" s="165">
        <v>0</v>
      </c>
      <c r="P254" s="166">
        <v>4.3459999999999999E-2</v>
      </c>
      <c r="R254" s="150">
        <v>120000</v>
      </c>
      <c r="S254" s="150">
        <v>1</v>
      </c>
      <c r="T254" s="150">
        <v>97.81</v>
      </c>
      <c r="U254" s="150">
        <v>117.372</v>
      </c>
      <c r="W254" s="4" t="s">
        <v>37</v>
      </c>
      <c r="X254" s="166">
        <v>1.0000000000000001E-5</v>
      </c>
      <c r="Y254" s="166">
        <v>4.3567671345815604E-3</v>
      </c>
      <c r="Z254" s="166">
        <v>1.75264314954003E-3</v>
      </c>
    </row>
    <row r="255" spans="1:26">
      <c r="A255" s="4" t="s">
        <v>256</v>
      </c>
      <c r="B255" s="4">
        <v>7206</v>
      </c>
      <c r="C255" s="4" t="s">
        <v>46</v>
      </c>
      <c r="D255" s="4" t="s">
        <v>67</v>
      </c>
      <c r="E255" s="4" t="s">
        <v>68</v>
      </c>
      <c r="F255" s="4" t="s">
        <v>49</v>
      </c>
      <c r="G255" s="4" t="s">
        <v>31</v>
      </c>
      <c r="H255" s="4" t="s">
        <v>31</v>
      </c>
      <c r="I255" s="4" t="s">
        <v>32</v>
      </c>
      <c r="J255" s="4" t="s">
        <v>33</v>
      </c>
      <c r="K255" s="4" t="s">
        <v>34</v>
      </c>
      <c r="L255" s="4" t="s">
        <v>35</v>
      </c>
      <c r="M255" s="150">
        <v>0.59699999999999998</v>
      </c>
      <c r="N255" s="4" t="s">
        <v>69</v>
      </c>
      <c r="O255" s="165">
        <v>0</v>
      </c>
      <c r="P255" s="166">
        <v>4.3479999999999998E-2</v>
      </c>
      <c r="R255" s="150">
        <v>126000</v>
      </c>
      <c r="S255" s="150">
        <v>1</v>
      </c>
      <c r="T255" s="150">
        <v>97.48</v>
      </c>
      <c r="U255" s="150">
        <v>122.825</v>
      </c>
      <c r="W255" s="4" t="s">
        <v>37</v>
      </c>
      <c r="X255" s="166">
        <v>1.0000000000000001E-5</v>
      </c>
      <c r="Y255" s="166">
        <v>4.5591712840503101E-3</v>
      </c>
      <c r="Z255" s="166">
        <v>1.83406642396504E-3</v>
      </c>
    </row>
    <row r="256" spans="1:26">
      <c r="A256" s="4" t="s">
        <v>256</v>
      </c>
      <c r="B256" s="4">
        <v>7206</v>
      </c>
      <c r="C256" s="4" t="s">
        <v>46</v>
      </c>
      <c r="D256" s="4" t="s">
        <v>70</v>
      </c>
      <c r="E256" s="4" t="s">
        <v>71</v>
      </c>
      <c r="F256" s="4" t="s">
        <v>49</v>
      </c>
      <c r="G256" s="4" t="s">
        <v>31</v>
      </c>
      <c r="H256" s="4" t="s">
        <v>31</v>
      </c>
      <c r="I256" s="4" t="s">
        <v>50</v>
      </c>
      <c r="J256" s="4" t="s">
        <v>33</v>
      </c>
      <c r="K256" s="4" t="s">
        <v>34</v>
      </c>
      <c r="L256" s="4" t="s">
        <v>35</v>
      </c>
      <c r="M256" s="150">
        <v>0.84699999999999998</v>
      </c>
      <c r="N256" s="4" t="s">
        <v>72</v>
      </c>
      <c r="O256" s="165">
        <v>0</v>
      </c>
      <c r="P256" s="166">
        <v>4.3240000000000001E-2</v>
      </c>
      <c r="R256" s="150">
        <v>785000</v>
      </c>
      <c r="S256" s="150">
        <v>1</v>
      </c>
      <c r="T256" s="150">
        <v>96.48</v>
      </c>
      <c r="U256" s="150">
        <v>757.36800000000005</v>
      </c>
      <c r="W256" s="4" t="s">
        <v>37</v>
      </c>
      <c r="X256" s="166">
        <v>5.5999999999999999E-5</v>
      </c>
      <c r="Y256" s="166">
        <v>2.8112974228808998E-2</v>
      </c>
      <c r="Z256" s="166">
        <v>1.1309305770378201E-2</v>
      </c>
    </row>
    <row r="257" spans="1:26">
      <c r="A257" s="4" t="s">
        <v>256</v>
      </c>
      <c r="B257" s="4">
        <v>7206</v>
      </c>
      <c r="C257" s="4" t="s">
        <v>46</v>
      </c>
      <c r="D257" s="4" t="s">
        <v>73</v>
      </c>
      <c r="E257" s="4" t="s">
        <v>74</v>
      </c>
      <c r="F257" s="4" t="s">
        <v>49</v>
      </c>
      <c r="G257" s="4" t="s">
        <v>31</v>
      </c>
      <c r="H257" s="4" t="s">
        <v>31</v>
      </c>
      <c r="I257" s="4" t="s">
        <v>50</v>
      </c>
      <c r="J257" s="4" t="s">
        <v>33</v>
      </c>
      <c r="K257" s="4" t="s">
        <v>34</v>
      </c>
      <c r="L257" s="4" t="s">
        <v>35</v>
      </c>
      <c r="M257" s="150">
        <v>0.92300000000000004</v>
      </c>
      <c r="N257" s="4" t="s">
        <v>75</v>
      </c>
      <c r="O257" s="165">
        <v>0</v>
      </c>
      <c r="P257" s="166">
        <v>4.2849999999999999E-2</v>
      </c>
      <c r="R257" s="150">
        <v>240000</v>
      </c>
      <c r="S257" s="150">
        <v>1</v>
      </c>
      <c r="T257" s="150">
        <v>96.17</v>
      </c>
      <c r="U257" s="150">
        <v>230.80799999999999</v>
      </c>
      <c r="W257" s="4" t="s">
        <v>37</v>
      </c>
      <c r="X257" s="166">
        <v>2.0000000000000002E-5</v>
      </c>
      <c r="Y257" s="166">
        <v>8.5674326823986999E-3</v>
      </c>
      <c r="Z257" s="166">
        <v>3.4465124566253899E-3</v>
      </c>
    </row>
    <row r="258" spans="1:26">
      <c r="A258" s="4" t="s">
        <v>256</v>
      </c>
      <c r="B258" s="4">
        <v>7206</v>
      </c>
      <c r="C258" s="4" t="s">
        <v>46</v>
      </c>
      <c r="D258" s="4" t="s">
        <v>76</v>
      </c>
      <c r="E258" s="4" t="s">
        <v>77</v>
      </c>
      <c r="F258" s="4" t="s">
        <v>49</v>
      </c>
      <c r="G258" s="4" t="s">
        <v>31</v>
      </c>
      <c r="H258" s="4" t="s">
        <v>31</v>
      </c>
      <c r="I258" s="4" t="s">
        <v>32</v>
      </c>
      <c r="J258" s="4" t="s">
        <v>33</v>
      </c>
      <c r="K258" s="4" t="s">
        <v>34</v>
      </c>
      <c r="L258" s="4" t="s">
        <v>35</v>
      </c>
      <c r="M258" s="150">
        <v>3.0000000000000001E-3</v>
      </c>
      <c r="N258" s="4" t="s">
        <v>78</v>
      </c>
      <c r="O258" s="165">
        <v>0</v>
      </c>
      <c r="P258" s="166">
        <v>0.11574</v>
      </c>
      <c r="R258" s="150">
        <v>1088000</v>
      </c>
      <c r="S258" s="150">
        <v>1</v>
      </c>
      <c r="T258" s="150">
        <v>99.97</v>
      </c>
      <c r="U258" s="150">
        <v>1087.674</v>
      </c>
      <c r="W258" s="4" t="s">
        <v>37</v>
      </c>
      <c r="X258" s="166">
        <v>2.5000000000000001E-5</v>
      </c>
      <c r="Y258" s="166">
        <v>4.0373688730123099E-2</v>
      </c>
      <c r="Z258" s="166">
        <v>1.6241554067201201E-2</v>
      </c>
    </row>
    <row r="259" spans="1:26">
      <c r="A259" s="4" t="s">
        <v>256</v>
      </c>
      <c r="B259" s="4">
        <v>7206</v>
      </c>
      <c r="C259" s="4" t="s">
        <v>46</v>
      </c>
      <c r="D259" s="4" t="s">
        <v>79</v>
      </c>
      <c r="E259" s="4" t="s">
        <v>80</v>
      </c>
      <c r="F259" s="4" t="s">
        <v>49</v>
      </c>
      <c r="G259" s="4" t="s">
        <v>31</v>
      </c>
      <c r="H259" s="4" t="s">
        <v>31</v>
      </c>
      <c r="I259" s="4" t="s">
        <v>32</v>
      </c>
      <c r="J259" s="4" t="s">
        <v>33</v>
      </c>
      <c r="K259" s="4" t="s">
        <v>34</v>
      </c>
      <c r="L259" s="4" t="s">
        <v>35</v>
      </c>
      <c r="M259" s="150">
        <v>9.9000000000000005E-2</v>
      </c>
      <c r="N259" s="4" t="s">
        <v>81</v>
      </c>
      <c r="O259" s="165">
        <v>0</v>
      </c>
      <c r="P259" s="166">
        <v>4.36E-2</v>
      </c>
      <c r="R259" s="150">
        <v>2377000</v>
      </c>
      <c r="S259" s="150">
        <v>1</v>
      </c>
      <c r="T259" s="150">
        <v>99.58</v>
      </c>
      <c r="U259" s="150">
        <v>2367.0169999999998</v>
      </c>
      <c r="W259" s="4" t="s">
        <v>37</v>
      </c>
      <c r="X259" s="166">
        <v>5.3999999999999998E-5</v>
      </c>
      <c r="Y259" s="166">
        <v>8.7862012489256194E-2</v>
      </c>
      <c r="Z259" s="166">
        <v>3.5345188195119302E-2</v>
      </c>
    </row>
    <row r="260" spans="1:26">
      <c r="A260" s="4" t="s">
        <v>256</v>
      </c>
      <c r="B260" s="4">
        <v>7206</v>
      </c>
      <c r="C260" s="4" t="s">
        <v>46</v>
      </c>
      <c r="D260" s="4" t="s">
        <v>82</v>
      </c>
      <c r="E260" s="4" t="s">
        <v>83</v>
      </c>
      <c r="F260" s="4" t="s">
        <v>49</v>
      </c>
      <c r="G260" s="4" t="s">
        <v>31</v>
      </c>
      <c r="H260" s="4" t="s">
        <v>31</v>
      </c>
      <c r="I260" s="4" t="s">
        <v>32</v>
      </c>
      <c r="J260" s="4" t="s">
        <v>33</v>
      </c>
      <c r="K260" s="4" t="s">
        <v>34</v>
      </c>
      <c r="L260" s="4" t="s">
        <v>35</v>
      </c>
      <c r="M260" s="150">
        <v>0.17499999999999999</v>
      </c>
      <c r="N260" s="4" t="s">
        <v>84</v>
      </c>
      <c r="O260" s="165">
        <v>0</v>
      </c>
      <c r="P260" s="166">
        <v>4.3270000000000003E-2</v>
      </c>
      <c r="R260" s="150">
        <v>587000</v>
      </c>
      <c r="S260" s="150">
        <v>1</v>
      </c>
      <c r="T260" s="150">
        <v>99.26</v>
      </c>
      <c r="U260" s="150">
        <v>582.65599999999995</v>
      </c>
      <c r="W260" s="4" t="s">
        <v>37</v>
      </c>
      <c r="X260" s="166">
        <v>1.2999999999999999E-5</v>
      </c>
      <c r="Y260" s="166">
        <v>2.1627793536109E-2</v>
      </c>
      <c r="Z260" s="166">
        <v>8.70044301423702E-3</v>
      </c>
    </row>
    <row r="261" spans="1:26">
      <c r="A261" s="4" t="s">
        <v>256</v>
      </c>
      <c r="B261" s="4">
        <v>7206</v>
      </c>
      <c r="C261" s="4" t="s">
        <v>41</v>
      </c>
      <c r="D261" s="4" t="s">
        <v>85</v>
      </c>
      <c r="E261" s="4" t="s">
        <v>86</v>
      </c>
      <c r="F261" s="4" t="s">
        <v>44</v>
      </c>
      <c r="G261" s="4" t="s">
        <v>31</v>
      </c>
      <c r="H261" s="4" t="s">
        <v>31</v>
      </c>
      <c r="I261" s="4" t="s">
        <v>32</v>
      </c>
      <c r="J261" s="4" t="s">
        <v>33</v>
      </c>
      <c r="K261" s="4" t="s">
        <v>34</v>
      </c>
      <c r="L261" s="4" t="s">
        <v>35</v>
      </c>
      <c r="M261" s="150">
        <v>2.89</v>
      </c>
      <c r="N261" s="4" t="s">
        <v>87</v>
      </c>
      <c r="O261" s="165">
        <v>7.4999999999999997E-3</v>
      </c>
      <c r="P261" s="166">
        <v>1.7010000000000001E-2</v>
      </c>
      <c r="R261" s="150">
        <v>616254</v>
      </c>
      <c r="S261" s="150">
        <v>1</v>
      </c>
      <c r="T261" s="150">
        <v>111.66</v>
      </c>
      <c r="U261" s="150">
        <v>688.10900000000004</v>
      </c>
      <c r="W261" s="4" t="s">
        <v>37</v>
      </c>
      <c r="X261" s="166">
        <v>2.8E-5</v>
      </c>
      <c r="Y261" s="166">
        <v>2.5542136276234501E-2</v>
      </c>
      <c r="Z261" s="166">
        <v>1.0275107387271399E-2</v>
      </c>
    </row>
    <row r="262" spans="1:26">
      <c r="A262" s="4" t="s">
        <v>256</v>
      </c>
      <c r="B262" s="4">
        <v>7206</v>
      </c>
      <c r="C262" s="4" t="s">
        <v>41</v>
      </c>
      <c r="D262" s="4" t="s">
        <v>88</v>
      </c>
      <c r="E262" s="4" t="s">
        <v>89</v>
      </c>
      <c r="F262" s="4" t="s">
        <v>44</v>
      </c>
      <c r="G262" s="4" t="s">
        <v>31</v>
      </c>
      <c r="H262" s="4" t="s">
        <v>31</v>
      </c>
      <c r="I262" s="4" t="s">
        <v>32</v>
      </c>
      <c r="J262" s="4" t="s">
        <v>33</v>
      </c>
      <c r="K262" s="4" t="s">
        <v>34</v>
      </c>
      <c r="L262" s="4" t="s">
        <v>35</v>
      </c>
      <c r="M262" s="150">
        <v>1.3240000000000001</v>
      </c>
      <c r="N262" s="4" t="s">
        <v>90</v>
      </c>
      <c r="O262" s="165">
        <v>7.4999999999999997E-3</v>
      </c>
      <c r="P262" s="166">
        <v>1.508E-2</v>
      </c>
      <c r="R262" s="150">
        <v>327207</v>
      </c>
      <c r="S262" s="150">
        <v>1</v>
      </c>
      <c r="T262" s="150">
        <v>113.49</v>
      </c>
      <c r="U262" s="150">
        <v>371.34699999999998</v>
      </c>
      <c r="W262" s="4" t="s">
        <v>37</v>
      </c>
      <c r="X262" s="166">
        <v>1.5E-5</v>
      </c>
      <c r="Y262" s="166">
        <v>1.37841510952214E-2</v>
      </c>
      <c r="Z262" s="166">
        <v>5.5450973722020597E-3</v>
      </c>
    </row>
    <row r="263" spans="1:26">
      <c r="A263" s="4" t="s">
        <v>256</v>
      </c>
      <c r="B263" s="4">
        <v>7206</v>
      </c>
      <c r="C263" s="4" t="s">
        <v>41</v>
      </c>
      <c r="D263" s="4" t="s">
        <v>91</v>
      </c>
      <c r="E263" s="4" t="s">
        <v>92</v>
      </c>
      <c r="F263" s="4" t="s">
        <v>44</v>
      </c>
      <c r="G263" s="4" t="s">
        <v>31</v>
      </c>
      <c r="H263" s="4" t="s">
        <v>31</v>
      </c>
      <c r="I263" s="4" t="s">
        <v>32</v>
      </c>
      <c r="J263" s="4" t="s">
        <v>33</v>
      </c>
      <c r="K263" s="4" t="s">
        <v>34</v>
      </c>
      <c r="L263" s="4" t="s">
        <v>35</v>
      </c>
      <c r="M263" s="150">
        <v>7.3849999999999998</v>
      </c>
      <c r="N263" s="4" t="s">
        <v>93</v>
      </c>
      <c r="O263" s="165">
        <v>1E-3</v>
      </c>
      <c r="P263" s="166">
        <v>2.213E-2</v>
      </c>
      <c r="R263" s="150">
        <v>1219675</v>
      </c>
      <c r="S263" s="150">
        <v>1</v>
      </c>
      <c r="T263" s="150">
        <v>97.65</v>
      </c>
      <c r="U263" s="150">
        <v>1191.0129999999999</v>
      </c>
      <c r="W263" s="4" t="s">
        <v>37</v>
      </c>
      <c r="X263" s="166">
        <v>4.0000000000000003E-5</v>
      </c>
      <c r="Y263" s="166">
        <v>4.4209562041469003E-2</v>
      </c>
      <c r="Z263" s="166">
        <v>1.7784651706795301E-2</v>
      </c>
    </row>
    <row r="264" spans="1:26">
      <c r="A264" s="4" t="s">
        <v>256</v>
      </c>
      <c r="B264" s="4">
        <v>7206</v>
      </c>
      <c r="C264" s="4" t="s">
        <v>94</v>
      </c>
      <c r="D264" s="4" t="s">
        <v>95</v>
      </c>
      <c r="E264" s="4" t="s">
        <v>96</v>
      </c>
      <c r="F264" s="4" t="s">
        <v>97</v>
      </c>
      <c r="G264" s="4" t="s">
        <v>31</v>
      </c>
      <c r="H264" s="4" t="s">
        <v>31</v>
      </c>
      <c r="I264" s="4" t="s">
        <v>32</v>
      </c>
      <c r="J264" s="4" t="s">
        <v>33</v>
      </c>
      <c r="K264" s="4" t="s">
        <v>34</v>
      </c>
      <c r="L264" s="4" t="s">
        <v>35</v>
      </c>
      <c r="M264" s="150">
        <v>4.0140000000000002</v>
      </c>
      <c r="N264" s="4" t="s">
        <v>98</v>
      </c>
      <c r="O264" s="165">
        <v>2.2499999999999999E-2</v>
      </c>
      <c r="P264" s="166">
        <v>4.6309999999999997E-2</v>
      </c>
      <c r="R264" s="150">
        <v>680457</v>
      </c>
      <c r="S264" s="150">
        <v>1</v>
      </c>
      <c r="T264" s="150">
        <v>92.73</v>
      </c>
      <c r="U264" s="150">
        <v>630.98800000000006</v>
      </c>
      <c r="W264" s="4" t="s">
        <v>37</v>
      </c>
      <c r="X264" s="166">
        <v>2.1999999999999999E-5</v>
      </c>
      <c r="Y264" s="166">
        <v>2.3421828078546699E-2</v>
      </c>
      <c r="Z264" s="166">
        <v>9.4221484103974105E-3</v>
      </c>
    </row>
    <row r="265" spans="1:26">
      <c r="A265" s="4" t="s">
        <v>256</v>
      </c>
      <c r="B265" s="4">
        <v>7206</v>
      </c>
      <c r="C265" s="4" t="s">
        <v>94</v>
      </c>
      <c r="D265" s="4" t="s">
        <v>99</v>
      </c>
      <c r="E265" s="4" t="s">
        <v>100</v>
      </c>
      <c r="F265" s="4" t="s">
        <v>97</v>
      </c>
      <c r="G265" s="4" t="s">
        <v>31</v>
      </c>
      <c r="H265" s="4" t="s">
        <v>31</v>
      </c>
      <c r="I265" s="4" t="s">
        <v>32</v>
      </c>
      <c r="J265" s="4" t="s">
        <v>33</v>
      </c>
      <c r="K265" s="4" t="s">
        <v>34</v>
      </c>
      <c r="L265" s="4" t="s">
        <v>35</v>
      </c>
      <c r="M265" s="150">
        <v>3.0680000000000001</v>
      </c>
      <c r="N265" s="4" t="s">
        <v>101</v>
      </c>
      <c r="O265" s="165">
        <v>3.7499999999999999E-2</v>
      </c>
      <c r="P265" s="166">
        <v>4.5749999999999999E-2</v>
      </c>
      <c r="R265" s="150">
        <v>352000</v>
      </c>
      <c r="S265" s="150">
        <v>1</v>
      </c>
      <c r="T265" s="150">
        <v>99.11</v>
      </c>
      <c r="U265" s="150">
        <v>348.86700000000002</v>
      </c>
      <c r="W265" s="4" t="s">
        <v>37</v>
      </c>
      <c r="X265" s="166">
        <v>3.4E-5</v>
      </c>
      <c r="Y265" s="166">
        <v>1.29497082037751E-2</v>
      </c>
      <c r="Z265" s="166">
        <v>5.20941713678912E-3</v>
      </c>
    </row>
    <row r="266" spans="1:26">
      <c r="A266" s="4" t="s">
        <v>256</v>
      </c>
      <c r="B266" s="4">
        <v>7206</v>
      </c>
      <c r="C266" s="4" t="s">
        <v>94</v>
      </c>
      <c r="D266" s="4" t="s">
        <v>102</v>
      </c>
      <c r="E266" s="4" t="s">
        <v>103</v>
      </c>
      <c r="F266" s="4" t="s">
        <v>97</v>
      </c>
      <c r="G266" s="4" t="s">
        <v>31</v>
      </c>
      <c r="H266" s="4" t="s">
        <v>31</v>
      </c>
      <c r="I266" s="4" t="s">
        <v>32</v>
      </c>
      <c r="J266" s="4" t="s">
        <v>33</v>
      </c>
      <c r="K266" s="4" t="s">
        <v>34</v>
      </c>
      <c r="L266" s="4" t="s">
        <v>35</v>
      </c>
      <c r="M266" s="150">
        <v>1.6519999999999999</v>
      </c>
      <c r="N266" s="4" t="s">
        <v>104</v>
      </c>
      <c r="O266" s="165">
        <v>5.0000000000000001E-3</v>
      </c>
      <c r="P266" s="166">
        <v>4.4010000000000001E-2</v>
      </c>
      <c r="R266" s="150">
        <v>460000</v>
      </c>
      <c r="S266" s="150">
        <v>1</v>
      </c>
      <c r="T266" s="150">
        <v>94.09</v>
      </c>
      <c r="U266" s="150">
        <v>432.81400000000002</v>
      </c>
      <c r="W266" s="4" t="s">
        <v>37</v>
      </c>
      <c r="X266" s="166">
        <v>1.7E-5</v>
      </c>
      <c r="Y266" s="166">
        <v>1.6065755125470999E-2</v>
      </c>
      <c r="Z266" s="166">
        <v>6.4629425427275601E-3</v>
      </c>
    </row>
    <row r="267" spans="1:26">
      <c r="A267" s="4" t="s">
        <v>256</v>
      </c>
      <c r="B267" s="4">
        <v>7206</v>
      </c>
      <c r="C267" s="4" t="s">
        <v>94</v>
      </c>
      <c r="D267" s="4" t="s">
        <v>105</v>
      </c>
      <c r="E267" s="4" t="s">
        <v>106</v>
      </c>
      <c r="F267" s="4" t="s">
        <v>97</v>
      </c>
      <c r="G267" s="4" t="s">
        <v>31</v>
      </c>
      <c r="H267" s="4" t="s">
        <v>31</v>
      </c>
      <c r="I267" s="4" t="s">
        <v>32</v>
      </c>
      <c r="J267" s="4" t="s">
        <v>33</v>
      </c>
      <c r="K267" s="4" t="s">
        <v>34</v>
      </c>
      <c r="L267" s="4" t="s">
        <v>35</v>
      </c>
      <c r="M267" s="150">
        <v>4.306</v>
      </c>
      <c r="N267" s="4" t="s">
        <v>107</v>
      </c>
      <c r="O267" s="165">
        <v>3.7499999999999999E-2</v>
      </c>
      <c r="P267" s="166">
        <v>4.6649999999999997E-2</v>
      </c>
      <c r="R267" s="150">
        <v>20000</v>
      </c>
      <c r="S267" s="150">
        <v>1</v>
      </c>
      <c r="T267" s="150">
        <v>97.49</v>
      </c>
      <c r="U267" s="150">
        <v>19.498000000000001</v>
      </c>
      <c r="W267" s="4" t="s">
        <v>37</v>
      </c>
      <c r="X267" s="166">
        <v>9.9999999999999995E-7</v>
      </c>
      <c r="Y267" s="166">
        <v>7.2375222020644805E-4</v>
      </c>
      <c r="Z267" s="166">
        <v>2.9115151935497002E-4</v>
      </c>
    </row>
    <row r="268" spans="1:26">
      <c r="A268" s="4" t="s">
        <v>256</v>
      </c>
      <c r="B268" s="4">
        <v>7206</v>
      </c>
      <c r="C268" s="4" t="s">
        <v>94</v>
      </c>
      <c r="D268" s="4" t="s">
        <v>108</v>
      </c>
      <c r="E268" s="4" t="s">
        <v>109</v>
      </c>
      <c r="F268" s="4" t="s">
        <v>97</v>
      </c>
      <c r="G268" s="4" t="s">
        <v>31</v>
      </c>
      <c r="H268" s="4" t="s">
        <v>31</v>
      </c>
      <c r="I268" s="4" t="s">
        <v>32</v>
      </c>
      <c r="J268" s="4" t="s">
        <v>33</v>
      </c>
      <c r="K268" s="4" t="s">
        <v>34</v>
      </c>
      <c r="L268" s="4" t="s">
        <v>35</v>
      </c>
      <c r="M268" s="150">
        <v>2.6840000000000002</v>
      </c>
      <c r="N268" s="4" t="s">
        <v>110</v>
      </c>
      <c r="O268" s="165">
        <v>0.02</v>
      </c>
      <c r="P268" s="166">
        <v>4.487E-2</v>
      </c>
      <c r="R268" s="150">
        <v>254000</v>
      </c>
      <c r="S268" s="150">
        <v>1</v>
      </c>
      <c r="T268" s="150">
        <v>94.2</v>
      </c>
      <c r="U268" s="150">
        <v>239.268</v>
      </c>
      <c r="W268" s="4" t="s">
        <v>37</v>
      </c>
      <c r="X268" s="166">
        <v>1.0000000000000001E-5</v>
      </c>
      <c r="Y268" s="166">
        <v>8.8814620076088004E-3</v>
      </c>
      <c r="Z268" s="166">
        <v>3.57284038019412E-3</v>
      </c>
    </row>
    <row r="269" spans="1:26">
      <c r="A269" s="4" t="s">
        <v>256</v>
      </c>
      <c r="B269" s="4">
        <v>7206</v>
      </c>
      <c r="C269" s="4" t="s">
        <v>94</v>
      </c>
      <c r="D269" s="4" t="s">
        <v>111</v>
      </c>
      <c r="E269" s="4" t="s">
        <v>112</v>
      </c>
      <c r="F269" s="4" t="s">
        <v>97</v>
      </c>
      <c r="G269" s="4" t="s">
        <v>31</v>
      </c>
      <c r="H269" s="4" t="s">
        <v>31</v>
      </c>
      <c r="I269" s="4" t="s">
        <v>32</v>
      </c>
      <c r="J269" s="4" t="s">
        <v>33</v>
      </c>
      <c r="K269" s="4" t="s">
        <v>34</v>
      </c>
      <c r="L269" s="4" t="s">
        <v>35</v>
      </c>
      <c r="M269" s="150">
        <v>8.7520000000000007</v>
      </c>
      <c r="N269" s="4" t="s">
        <v>113</v>
      </c>
      <c r="O269" s="165">
        <v>0.04</v>
      </c>
      <c r="P269" s="166">
        <v>5.0720000000000001E-2</v>
      </c>
      <c r="R269" s="150">
        <v>250000</v>
      </c>
      <c r="S269" s="150">
        <v>1</v>
      </c>
      <c r="T269" s="150">
        <v>92.5</v>
      </c>
      <c r="U269" s="150">
        <v>231.25</v>
      </c>
      <c r="W269" s="4" t="s">
        <v>37</v>
      </c>
      <c r="X269" s="166">
        <v>2.3E-5</v>
      </c>
      <c r="Y269" s="166">
        <v>8.5838394154652397E-3</v>
      </c>
      <c r="Z269" s="166">
        <v>3.4531125679986099E-3</v>
      </c>
    </row>
    <row r="270" spans="1:26">
      <c r="A270" s="4" t="s">
        <v>256</v>
      </c>
      <c r="B270" s="4">
        <v>7206</v>
      </c>
      <c r="C270" s="4" t="s">
        <v>94</v>
      </c>
      <c r="D270" s="4" t="s">
        <v>114</v>
      </c>
      <c r="E270" s="4" t="s">
        <v>115</v>
      </c>
      <c r="F270" s="4" t="s">
        <v>97</v>
      </c>
      <c r="G270" s="4" t="s">
        <v>31</v>
      </c>
      <c r="H270" s="4" t="s">
        <v>31</v>
      </c>
      <c r="I270" s="4" t="s">
        <v>32</v>
      </c>
      <c r="J270" s="4" t="s">
        <v>33</v>
      </c>
      <c r="K270" s="4" t="s">
        <v>34</v>
      </c>
      <c r="L270" s="4" t="s">
        <v>35</v>
      </c>
      <c r="M270" s="150">
        <v>14.472</v>
      </c>
      <c r="N270" s="4" t="s">
        <v>116</v>
      </c>
      <c r="O270" s="165">
        <v>3.7499999999999999E-2</v>
      </c>
      <c r="P270" s="166">
        <v>5.4850000000000003E-2</v>
      </c>
      <c r="R270" s="150">
        <v>260000</v>
      </c>
      <c r="S270" s="150">
        <v>1</v>
      </c>
      <c r="T270" s="150">
        <v>78.790000000000006</v>
      </c>
      <c r="U270" s="150">
        <v>204.85400000000001</v>
      </c>
      <c r="W270" s="4" t="s">
        <v>37</v>
      </c>
      <c r="X270" s="166">
        <v>1.0000000000000001E-5</v>
      </c>
      <c r="Y270" s="166">
        <v>7.6040382253652599E-3</v>
      </c>
      <c r="Z270" s="166">
        <v>3.0589575005612402E-3</v>
      </c>
    </row>
    <row r="271" spans="1:26">
      <c r="A271" s="4" t="s">
        <v>256</v>
      </c>
      <c r="B271" s="4">
        <v>7206</v>
      </c>
      <c r="C271" s="4" t="s">
        <v>94</v>
      </c>
      <c r="D271" s="4" t="s">
        <v>117</v>
      </c>
      <c r="E271" s="4" t="s">
        <v>118</v>
      </c>
      <c r="F271" s="4" t="s">
        <v>97</v>
      </c>
      <c r="G271" s="4" t="s">
        <v>31</v>
      </c>
      <c r="H271" s="4" t="s">
        <v>31</v>
      </c>
      <c r="I271" s="4" t="s">
        <v>32</v>
      </c>
      <c r="J271" s="4" t="s">
        <v>33</v>
      </c>
      <c r="K271" s="4" t="s">
        <v>34</v>
      </c>
      <c r="L271" s="4" t="s">
        <v>35</v>
      </c>
      <c r="M271" s="150">
        <v>1.147</v>
      </c>
      <c r="N271" s="4" t="s">
        <v>119</v>
      </c>
      <c r="O271" s="165">
        <v>1.7500000000000002E-2</v>
      </c>
      <c r="P271" s="166">
        <v>4.3049999999999998E-2</v>
      </c>
      <c r="R271" s="150">
        <v>714000</v>
      </c>
      <c r="S271" s="150">
        <v>1</v>
      </c>
      <c r="T271" s="150">
        <v>98.7</v>
      </c>
      <c r="U271" s="150">
        <v>704.71799999999996</v>
      </c>
      <c r="W271" s="4" t="s">
        <v>37</v>
      </c>
      <c r="X271" s="166">
        <v>3.0000000000000001E-5</v>
      </c>
      <c r="Y271" s="166">
        <v>2.61586427900014E-2</v>
      </c>
      <c r="Z271" s="166">
        <v>1.0523116033275E-2</v>
      </c>
    </row>
    <row r="272" spans="1:26">
      <c r="A272" s="4" t="s">
        <v>256</v>
      </c>
      <c r="B272" s="4">
        <v>7206</v>
      </c>
      <c r="C272" s="4" t="s">
        <v>94</v>
      </c>
      <c r="D272" s="4" t="s">
        <v>120</v>
      </c>
      <c r="E272" s="4" t="s">
        <v>121</v>
      </c>
      <c r="F272" s="4" t="s">
        <v>97</v>
      </c>
      <c r="G272" s="4" t="s">
        <v>31</v>
      </c>
      <c r="H272" s="4" t="s">
        <v>31</v>
      </c>
      <c r="I272" s="4" t="s">
        <v>32</v>
      </c>
      <c r="J272" s="4" t="s">
        <v>33</v>
      </c>
      <c r="K272" s="4" t="s">
        <v>34</v>
      </c>
      <c r="L272" s="4" t="s">
        <v>35</v>
      </c>
      <c r="M272" s="150">
        <v>16.815999999999999</v>
      </c>
      <c r="N272" s="4" t="s">
        <v>122</v>
      </c>
      <c r="O272" s="165">
        <v>2.8000000000000001E-2</v>
      </c>
      <c r="P272" s="166">
        <v>5.57E-2</v>
      </c>
      <c r="R272" s="150">
        <v>253589</v>
      </c>
      <c r="S272" s="150">
        <v>1</v>
      </c>
      <c r="T272" s="150">
        <v>62.6</v>
      </c>
      <c r="U272" s="150">
        <v>158.74700000000001</v>
      </c>
      <c r="W272" s="4" t="s">
        <v>37</v>
      </c>
      <c r="X272" s="166">
        <v>1.5E-5</v>
      </c>
      <c r="Y272" s="166">
        <v>5.8925677868488097E-3</v>
      </c>
      <c r="Z272" s="166">
        <v>2.37046604645137E-3</v>
      </c>
    </row>
    <row r="273" spans="1:26">
      <c r="A273" s="4" t="s">
        <v>256</v>
      </c>
      <c r="B273" s="4">
        <v>7206</v>
      </c>
      <c r="C273" s="4" t="s">
        <v>94</v>
      </c>
      <c r="D273" s="4" t="s">
        <v>123</v>
      </c>
      <c r="E273" s="4" t="s">
        <v>124</v>
      </c>
      <c r="F273" s="4" t="s">
        <v>97</v>
      </c>
      <c r="G273" s="4" t="s">
        <v>31</v>
      </c>
      <c r="H273" s="4" t="s">
        <v>31</v>
      </c>
      <c r="I273" s="4" t="s">
        <v>32</v>
      </c>
      <c r="J273" s="4" t="s">
        <v>33</v>
      </c>
      <c r="K273" s="4" t="s">
        <v>34</v>
      </c>
      <c r="L273" s="4" t="s">
        <v>35</v>
      </c>
      <c r="M273" s="150">
        <v>11.5</v>
      </c>
      <c r="N273" s="4" t="s">
        <v>125</v>
      </c>
      <c r="O273" s="165">
        <v>5.5E-2</v>
      </c>
      <c r="P273" s="166">
        <v>5.3670000000000002E-2</v>
      </c>
      <c r="R273" s="150">
        <v>25000</v>
      </c>
      <c r="S273" s="150">
        <v>1</v>
      </c>
      <c r="T273" s="150">
        <v>104.09</v>
      </c>
      <c r="U273" s="150">
        <v>26.023</v>
      </c>
      <c r="W273" s="4" t="s">
        <v>37</v>
      </c>
      <c r="X273" s="166">
        <v>9.9999999999999995E-7</v>
      </c>
      <c r="Y273" s="166">
        <v>9.6593712946570404E-4</v>
      </c>
      <c r="Z273" s="166">
        <v>3.8857782400321601E-4</v>
      </c>
    </row>
    <row r="274" spans="1:26">
      <c r="A274" s="4" t="s">
        <v>256</v>
      </c>
      <c r="B274" s="4">
        <v>7206</v>
      </c>
      <c r="C274" s="4" t="s">
        <v>41</v>
      </c>
      <c r="D274" s="4" t="s">
        <v>126</v>
      </c>
      <c r="E274" s="4" t="s">
        <v>127</v>
      </c>
      <c r="F274" s="4" t="s">
        <v>44</v>
      </c>
      <c r="G274" s="4" t="s">
        <v>31</v>
      </c>
      <c r="H274" s="4" t="s">
        <v>31</v>
      </c>
      <c r="I274" s="4" t="s">
        <v>32</v>
      </c>
      <c r="J274" s="4" t="s">
        <v>33</v>
      </c>
      <c r="K274" s="4" t="s">
        <v>34</v>
      </c>
      <c r="L274" s="4" t="s">
        <v>35</v>
      </c>
      <c r="M274" s="150">
        <v>4.8630000000000004</v>
      </c>
      <c r="N274" s="4" t="s">
        <v>128</v>
      </c>
      <c r="O274" s="165">
        <v>5.0000000000000001E-3</v>
      </c>
      <c r="P274" s="166">
        <v>1.9820000000000001E-2</v>
      </c>
      <c r="R274" s="150">
        <v>1094344</v>
      </c>
      <c r="S274" s="150">
        <v>1</v>
      </c>
      <c r="T274" s="150">
        <v>105.85</v>
      </c>
      <c r="U274" s="150">
        <v>1158.3630000000001</v>
      </c>
      <c r="W274" s="4" t="s">
        <v>37</v>
      </c>
      <c r="X274" s="166">
        <v>4.5000000000000003E-5</v>
      </c>
      <c r="Y274" s="166">
        <v>4.2997634772811398E-2</v>
      </c>
      <c r="Z274" s="166">
        <v>1.7297116807742801E-2</v>
      </c>
    </row>
    <row r="275" spans="1:26">
      <c r="A275" s="4" t="s">
        <v>256</v>
      </c>
      <c r="B275" s="4">
        <v>7206</v>
      </c>
      <c r="C275" s="4" t="s">
        <v>41</v>
      </c>
      <c r="D275" s="4" t="s">
        <v>129</v>
      </c>
      <c r="E275" s="4" t="s">
        <v>130</v>
      </c>
      <c r="F275" s="4" t="s">
        <v>44</v>
      </c>
      <c r="G275" s="4" t="s">
        <v>31</v>
      </c>
      <c r="H275" s="4" t="s">
        <v>31</v>
      </c>
      <c r="I275" s="4" t="s">
        <v>32</v>
      </c>
      <c r="J275" s="4" t="s">
        <v>33</v>
      </c>
      <c r="K275" s="4" t="s">
        <v>34</v>
      </c>
      <c r="L275" s="4" t="s">
        <v>35</v>
      </c>
      <c r="M275" s="150">
        <v>2.0760000000000001</v>
      </c>
      <c r="N275" s="4" t="s">
        <v>131</v>
      </c>
      <c r="O275" s="165">
        <v>1E-3</v>
      </c>
      <c r="P275" s="166">
        <v>1.618E-2</v>
      </c>
      <c r="R275" s="150">
        <v>1623000</v>
      </c>
      <c r="S275" s="150">
        <v>1</v>
      </c>
      <c r="T275" s="150">
        <v>110.2</v>
      </c>
      <c r="U275" s="150">
        <v>1788.546</v>
      </c>
      <c r="W275" s="4" t="s">
        <v>37</v>
      </c>
      <c r="X275" s="166">
        <v>8.0000000000000007E-5</v>
      </c>
      <c r="Y275" s="166">
        <v>6.6389585518584607E-2</v>
      </c>
      <c r="Z275" s="166">
        <v>2.6707246145053602E-2</v>
      </c>
    </row>
    <row r="276" spans="1:26">
      <c r="A276" s="4" t="s">
        <v>256</v>
      </c>
      <c r="B276" s="4">
        <v>7206</v>
      </c>
      <c r="C276" s="4" t="s">
        <v>41</v>
      </c>
      <c r="D276" s="4" t="s">
        <v>132</v>
      </c>
      <c r="E276" s="4" t="s">
        <v>133</v>
      </c>
      <c r="F276" s="4" t="s">
        <v>44</v>
      </c>
      <c r="G276" s="4" t="s">
        <v>31</v>
      </c>
      <c r="H276" s="4" t="s">
        <v>31</v>
      </c>
      <c r="I276" s="4" t="s">
        <v>32</v>
      </c>
      <c r="J276" s="4" t="s">
        <v>33</v>
      </c>
      <c r="K276" s="4" t="s">
        <v>34</v>
      </c>
      <c r="L276" s="4" t="s">
        <v>35</v>
      </c>
      <c r="M276" s="150">
        <v>4.2240000000000002</v>
      </c>
      <c r="N276" s="4" t="s">
        <v>134</v>
      </c>
      <c r="O276" s="165">
        <v>1.0999999999999999E-2</v>
      </c>
      <c r="P276" s="166">
        <v>1.9290000000000002E-2</v>
      </c>
      <c r="R276" s="150">
        <v>1356000</v>
      </c>
      <c r="S276" s="150">
        <v>1</v>
      </c>
      <c r="T276" s="150">
        <v>99.98</v>
      </c>
      <c r="U276" s="150">
        <v>1355.729</v>
      </c>
      <c r="W276" s="4" t="s">
        <v>37</v>
      </c>
      <c r="X276" s="166">
        <v>8.6000000000000003E-5</v>
      </c>
      <c r="Y276" s="166">
        <v>5.0323711611335697E-2</v>
      </c>
      <c r="Z276" s="166">
        <v>2.02442558187142E-2</v>
      </c>
    </row>
    <row r="277" spans="1:26">
      <c r="A277" s="4" t="s">
        <v>256</v>
      </c>
      <c r="B277" s="4">
        <v>7206</v>
      </c>
      <c r="C277" s="4" t="s">
        <v>41</v>
      </c>
      <c r="D277" s="4" t="s">
        <v>135</v>
      </c>
      <c r="E277" s="4" t="s">
        <v>136</v>
      </c>
      <c r="F277" s="4" t="s">
        <v>44</v>
      </c>
      <c r="G277" s="4" t="s">
        <v>31</v>
      </c>
      <c r="H277" s="4" t="s">
        <v>31</v>
      </c>
      <c r="I277" s="4" t="s">
        <v>50</v>
      </c>
      <c r="J277" s="4" t="s">
        <v>33</v>
      </c>
      <c r="K277" s="4" t="s">
        <v>34</v>
      </c>
      <c r="L277" s="4" t="s">
        <v>35</v>
      </c>
      <c r="M277" s="150">
        <v>8.6769999999999996</v>
      </c>
      <c r="N277" s="4" t="s">
        <v>137</v>
      </c>
      <c r="O277" s="165">
        <v>1.6E-2</v>
      </c>
      <c r="P277" s="166">
        <v>2.307E-2</v>
      </c>
      <c r="R277" s="150">
        <v>75000</v>
      </c>
      <c r="S277" s="150">
        <v>1</v>
      </c>
      <c r="T277" s="150">
        <v>96.6</v>
      </c>
      <c r="U277" s="150">
        <v>72.45</v>
      </c>
      <c r="W277" s="4" t="s">
        <v>37</v>
      </c>
      <c r="X277" s="166">
        <v>1.2999999999999999E-5</v>
      </c>
      <c r="Y277" s="166">
        <v>2.6892936892992702E-3</v>
      </c>
      <c r="Z277" s="166">
        <v>1.08185083481729E-3</v>
      </c>
    </row>
    <row r="278" spans="1:26">
      <c r="A278" s="4" t="s">
        <v>256</v>
      </c>
      <c r="B278" s="4">
        <v>7206</v>
      </c>
      <c r="C278" s="4" t="s">
        <v>27</v>
      </c>
      <c r="D278" s="4" t="s">
        <v>138</v>
      </c>
      <c r="E278" s="4" t="s">
        <v>139</v>
      </c>
      <c r="F278" s="4" t="s">
        <v>30</v>
      </c>
      <c r="G278" s="4" t="s">
        <v>31</v>
      </c>
      <c r="H278" s="4" t="s">
        <v>31</v>
      </c>
      <c r="I278" s="4" t="s">
        <v>50</v>
      </c>
      <c r="J278" s="4" t="s">
        <v>33</v>
      </c>
      <c r="K278" s="4" t="s">
        <v>34</v>
      </c>
      <c r="L278" s="4" t="s">
        <v>35</v>
      </c>
      <c r="M278" s="150">
        <v>0.66</v>
      </c>
      <c r="N278" s="4" t="s">
        <v>140</v>
      </c>
      <c r="O278" s="165">
        <v>0</v>
      </c>
      <c r="P278" s="166">
        <v>4.428E-2</v>
      </c>
      <c r="R278" s="150">
        <v>1607000</v>
      </c>
      <c r="S278" s="150">
        <v>1</v>
      </c>
      <c r="T278" s="150">
        <v>97.14</v>
      </c>
      <c r="U278" s="150">
        <v>1561.04</v>
      </c>
      <c r="W278" s="4" t="s">
        <v>37</v>
      </c>
      <c r="X278" s="166">
        <v>2.0000000000000001E-4</v>
      </c>
      <c r="Y278" s="166">
        <v>5.7944713359351203E-2</v>
      </c>
      <c r="Z278" s="166">
        <v>2.33100374163288E-2</v>
      </c>
    </row>
    <row r="279" spans="1:26">
      <c r="A279" s="4" t="s">
        <v>256</v>
      </c>
      <c r="B279" s="4">
        <v>7206</v>
      </c>
      <c r="C279" s="4" t="s">
        <v>94</v>
      </c>
      <c r="D279" s="4" t="s">
        <v>141</v>
      </c>
      <c r="E279" s="4" t="s">
        <v>142</v>
      </c>
      <c r="F279" s="4" t="s">
        <v>97</v>
      </c>
      <c r="G279" s="4" t="s">
        <v>31</v>
      </c>
      <c r="H279" s="4" t="s">
        <v>31</v>
      </c>
      <c r="I279" s="4" t="s">
        <v>32</v>
      </c>
      <c r="J279" s="4" t="s">
        <v>33</v>
      </c>
      <c r="K279" s="4" t="s">
        <v>34</v>
      </c>
      <c r="L279" s="4" t="s">
        <v>35</v>
      </c>
      <c r="M279" s="150">
        <v>0.82699999999999996</v>
      </c>
      <c r="N279" s="4" t="s">
        <v>143</v>
      </c>
      <c r="O279" s="165">
        <v>5.0000000000000001E-3</v>
      </c>
      <c r="P279" s="166">
        <v>3.8719999999999997E-2</v>
      </c>
      <c r="R279" s="150">
        <v>1084000</v>
      </c>
      <c r="S279" s="150">
        <v>1</v>
      </c>
      <c r="T279" s="150">
        <v>97.25</v>
      </c>
      <c r="U279" s="150">
        <v>1054.19</v>
      </c>
      <c r="W279" s="4" t="s">
        <v>37</v>
      </c>
      <c r="X279" s="166">
        <v>4.6E-5</v>
      </c>
      <c r="Y279" s="166">
        <v>3.9130800749791597E-2</v>
      </c>
      <c r="Z279" s="166">
        <v>1.57415642726852E-2</v>
      </c>
    </row>
    <row r="280" spans="1:26">
      <c r="A280" s="4" t="s">
        <v>256</v>
      </c>
      <c r="B280" s="4">
        <v>7206</v>
      </c>
      <c r="C280" s="4" t="s">
        <v>94</v>
      </c>
      <c r="D280" s="4" t="s">
        <v>144</v>
      </c>
      <c r="E280" s="4" t="s">
        <v>145</v>
      </c>
      <c r="F280" s="4" t="s">
        <v>97</v>
      </c>
      <c r="G280" s="4" t="s">
        <v>31</v>
      </c>
      <c r="H280" s="4" t="s">
        <v>31</v>
      </c>
      <c r="I280" s="4" t="s">
        <v>32</v>
      </c>
      <c r="J280" s="4" t="s">
        <v>33</v>
      </c>
      <c r="K280" s="4" t="s">
        <v>34</v>
      </c>
      <c r="L280" s="4" t="s">
        <v>35</v>
      </c>
      <c r="M280" s="150">
        <v>11.494</v>
      </c>
      <c r="N280" s="4" t="s">
        <v>146</v>
      </c>
      <c r="O280" s="165">
        <v>1.4999999999999999E-2</v>
      </c>
      <c r="P280" s="166">
        <v>5.2260000000000001E-2</v>
      </c>
      <c r="R280" s="150">
        <v>1270000</v>
      </c>
      <c r="S280" s="150">
        <v>1</v>
      </c>
      <c r="T280" s="150">
        <v>65.83</v>
      </c>
      <c r="U280" s="150">
        <v>836.04100000000005</v>
      </c>
      <c r="W280" s="4" t="s">
        <v>37</v>
      </c>
      <c r="X280" s="166">
        <v>4.0000000000000003E-5</v>
      </c>
      <c r="Y280" s="166">
        <v>3.1033261356734999E-2</v>
      </c>
      <c r="Z280" s="166">
        <v>1.2484080797674E-2</v>
      </c>
    </row>
    <row r="281" spans="1:26">
      <c r="A281" s="4" t="s">
        <v>256</v>
      </c>
      <c r="B281" s="4">
        <v>7206</v>
      </c>
      <c r="C281" s="4" t="s">
        <v>94</v>
      </c>
      <c r="D281" s="4" t="s">
        <v>147</v>
      </c>
      <c r="E281" s="4" t="s">
        <v>148</v>
      </c>
      <c r="F281" s="4" t="s">
        <v>97</v>
      </c>
      <c r="G281" s="4" t="s">
        <v>31</v>
      </c>
      <c r="H281" s="4" t="s">
        <v>31</v>
      </c>
      <c r="I281" s="4" t="s">
        <v>32</v>
      </c>
      <c r="J281" s="4" t="s">
        <v>33</v>
      </c>
      <c r="K281" s="4" t="s">
        <v>34</v>
      </c>
      <c r="L281" s="4" t="s">
        <v>35</v>
      </c>
      <c r="M281" s="150">
        <v>5.5810000000000004</v>
      </c>
      <c r="N281" s="4" t="s">
        <v>149</v>
      </c>
      <c r="O281" s="165">
        <v>0.01</v>
      </c>
      <c r="P281" s="166">
        <v>4.777E-2</v>
      </c>
      <c r="R281" s="150">
        <v>20000</v>
      </c>
      <c r="S281" s="150">
        <v>1</v>
      </c>
      <c r="T281" s="150">
        <v>81.73</v>
      </c>
      <c r="U281" s="150">
        <v>16.346</v>
      </c>
      <c r="W281" s="4" t="s">
        <v>37</v>
      </c>
      <c r="X281" s="166">
        <v>9.9999999999999995E-7</v>
      </c>
      <c r="Y281" s="166">
        <v>6.0675216901705795E-4</v>
      </c>
      <c r="Z281" s="166">
        <v>2.4408466177948201E-4</v>
      </c>
    </row>
    <row r="282" spans="1:26">
      <c r="A282" s="4" t="s">
        <v>256</v>
      </c>
      <c r="B282" s="4">
        <v>7206</v>
      </c>
      <c r="C282" s="4" t="s">
        <v>94</v>
      </c>
      <c r="D282" s="4" t="s">
        <v>268</v>
      </c>
      <c r="E282" s="4" t="s">
        <v>269</v>
      </c>
      <c r="F282" s="4" t="s">
        <v>97</v>
      </c>
      <c r="G282" s="4" t="s">
        <v>31</v>
      </c>
      <c r="H282" s="4" t="s">
        <v>31</v>
      </c>
      <c r="I282" s="4" t="s">
        <v>32</v>
      </c>
      <c r="J282" s="4" t="s">
        <v>33</v>
      </c>
      <c r="K282" s="4" t="s">
        <v>34</v>
      </c>
      <c r="L282" s="4" t="s">
        <v>35</v>
      </c>
      <c r="M282" s="150">
        <v>7.4189999999999996</v>
      </c>
      <c r="N282" s="4" t="s">
        <v>270</v>
      </c>
      <c r="O282" s="165">
        <v>1.2999999999999999E-2</v>
      </c>
      <c r="P282" s="166">
        <v>4.9180000000000001E-2</v>
      </c>
      <c r="R282" s="150">
        <v>180000</v>
      </c>
      <c r="S282" s="150">
        <v>1</v>
      </c>
      <c r="T282" s="150">
        <v>77.260000000000005</v>
      </c>
      <c r="U282" s="150">
        <v>139.06800000000001</v>
      </c>
      <c r="W282" s="4" t="s">
        <v>37</v>
      </c>
      <c r="X282" s="166">
        <v>6.0000000000000002E-6</v>
      </c>
      <c r="Y282" s="166">
        <v>5.1621075884536998E-3</v>
      </c>
      <c r="Z282" s="166">
        <v>2.0766160372170002E-3</v>
      </c>
    </row>
    <row r="283" spans="1:26">
      <c r="A283" s="4" t="s">
        <v>256</v>
      </c>
      <c r="B283" s="4">
        <v>7206</v>
      </c>
      <c r="C283" s="4" t="s">
        <v>46</v>
      </c>
      <c r="D283" s="4" t="s">
        <v>61</v>
      </c>
      <c r="E283" s="4" t="s">
        <v>62</v>
      </c>
      <c r="F283" s="4" t="s">
        <v>49</v>
      </c>
      <c r="G283" s="4" t="s">
        <v>31</v>
      </c>
      <c r="H283" s="4" t="s">
        <v>31</v>
      </c>
      <c r="I283" s="4" t="s">
        <v>32</v>
      </c>
      <c r="J283" s="4" t="s">
        <v>33</v>
      </c>
      <c r="K283" s="4" t="s">
        <v>34</v>
      </c>
      <c r="L283" s="4" t="s">
        <v>35</v>
      </c>
      <c r="M283" s="150">
        <v>0.42499999999999999</v>
      </c>
      <c r="N283" s="4" t="s">
        <v>63</v>
      </c>
      <c r="O283" s="165">
        <v>0</v>
      </c>
      <c r="P283" s="166">
        <v>4.3450000000000003E-2</v>
      </c>
      <c r="R283" s="150">
        <v>400000</v>
      </c>
      <c r="S283" s="150">
        <v>1</v>
      </c>
      <c r="T283" s="150">
        <v>98.21</v>
      </c>
      <c r="U283" s="150">
        <v>392.84</v>
      </c>
      <c r="W283" s="4" t="s">
        <v>37</v>
      </c>
      <c r="X283" s="166">
        <v>2.9E-5</v>
      </c>
      <c r="Y283" s="166">
        <v>1.45819480042005E-2</v>
      </c>
      <c r="Z283" s="166">
        <v>5.8660356376759896E-3</v>
      </c>
    </row>
    <row r="284" spans="1:26">
      <c r="A284" s="4" t="s">
        <v>256</v>
      </c>
      <c r="B284" s="4">
        <v>7206</v>
      </c>
      <c r="C284" s="4" t="s">
        <v>46</v>
      </c>
      <c r="D284" s="4" t="s">
        <v>76</v>
      </c>
      <c r="E284" s="4" t="s">
        <v>77</v>
      </c>
      <c r="F284" s="4" t="s">
        <v>49</v>
      </c>
      <c r="G284" s="4" t="s">
        <v>31</v>
      </c>
      <c r="H284" s="4" t="s">
        <v>31</v>
      </c>
      <c r="I284" s="4" t="s">
        <v>32</v>
      </c>
      <c r="J284" s="4" t="s">
        <v>33</v>
      </c>
      <c r="K284" s="4" t="s">
        <v>34</v>
      </c>
      <c r="L284" s="4" t="s">
        <v>35</v>
      </c>
      <c r="M284" s="150">
        <v>3.0000000000000001E-3</v>
      </c>
      <c r="N284" s="4" t="s">
        <v>78</v>
      </c>
      <c r="O284" s="165">
        <v>0</v>
      </c>
      <c r="P284" s="166">
        <v>0.11574</v>
      </c>
      <c r="R284" s="150">
        <v>90000</v>
      </c>
      <c r="S284" s="150">
        <v>1</v>
      </c>
      <c r="T284" s="150">
        <v>99.97</v>
      </c>
      <c r="U284" s="150">
        <v>89.972999999999999</v>
      </c>
      <c r="W284" s="4" t="s">
        <v>37</v>
      </c>
      <c r="X284" s="166">
        <v>1.9999999999999999E-6</v>
      </c>
      <c r="Y284" s="166">
        <v>3.33973528098445E-3</v>
      </c>
      <c r="Z284" s="166">
        <v>1.34351090629422E-3</v>
      </c>
    </row>
    <row r="285" spans="1:26">
      <c r="A285" s="4" t="s">
        <v>256</v>
      </c>
      <c r="B285" s="4">
        <v>7206</v>
      </c>
      <c r="C285" s="4" t="s">
        <v>46</v>
      </c>
      <c r="D285" s="4" t="s">
        <v>82</v>
      </c>
      <c r="E285" s="4" t="s">
        <v>83</v>
      </c>
      <c r="F285" s="4" t="s">
        <v>49</v>
      </c>
      <c r="G285" s="4" t="s">
        <v>31</v>
      </c>
      <c r="H285" s="4" t="s">
        <v>31</v>
      </c>
      <c r="I285" s="4" t="s">
        <v>32</v>
      </c>
      <c r="J285" s="4" t="s">
        <v>33</v>
      </c>
      <c r="K285" s="4" t="s">
        <v>34</v>
      </c>
      <c r="L285" s="4" t="s">
        <v>35</v>
      </c>
      <c r="M285" s="150">
        <v>0.17499999999999999</v>
      </c>
      <c r="N285" s="4" t="s">
        <v>84</v>
      </c>
      <c r="O285" s="165">
        <v>0</v>
      </c>
      <c r="P285" s="166">
        <v>4.3270000000000003E-2</v>
      </c>
      <c r="R285" s="150">
        <v>50000</v>
      </c>
      <c r="S285" s="150">
        <v>1</v>
      </c>
      <c r="T285" s="150">
        <v>99.26</v>
      </c>
      <c r="U285" s="150">
        <v>49.63</v>
      </c>
      <c r="W285" s="4" t="s">
        <v>37</v>
      </c>
      <c r="X285" s="166">
        <v>9.9999999999999995E-7</v>
      </c>
      <c r="Y285" s="166">
        <v>1.84223113595477E-3</v>
      </c>
      <c r="Z285" s="166">
        <v>7.4109395351252205E-4</v>
      </c>
    </row>
    <row r="286" spans="1:26">
      <c r="A286" s="4" t="s">
        <v>256</v>
      </c>
      <c r="B286" s="4">
        <v>7206</v>
      </c>
      <c r="C286" s="4" t="s">
        <v>150</v>
      </c>
      <c r="D286" s="4" t="s">
        <v>151</v>
      </c>
      <c r="E286" s="4" t="s">
        <v>152</v>
      </c>
      <c r="F286" s="4" t="s">
        <v>153</v>
      </c>
      <c r="G286" s="4" t="s">
        <v>154</v>
      </c>
      <c r="H286" s="4" t="s">
        <v>155</v>
      </c>
      <c r="I286" s="4" t="s">
        <v>156</v>
      </c>
      <c r="J286" s="4" t="s">
        <v>157</v>
      </c>
      <c r="K286" s="4" t="s">
        <v>158</v>
      </c>
      <c r="L286" s="4" t="s">
        <v>159</v>
      </c>
      <c r="M286" s="150">
        <v>0</v>
      </c>
      <c r="N286" s="4" t="s">
        <v>160</v>
      </c>
      <c r="O286" s="165">
        <v>0</v>
      </c>
      <c r="P286" s="166">
        <v>0</v>
      </c>
      <c r="R286" s="150">
        <v>25000</v>
      </c>
      <c r="S286" s="150">
        <v>3.7589999999999999</v>
      </c>
      <c r="T286" s="150">
        <v>97.775000000000006</v>
      </c>
      <c r="U286" s="150">
        <v>91.884</v>
      </c>
      <c r="W286" s="4" t="s">
        <v>37</v>
      </c>
      <c r="X286" s="166">
        <v>0</v>
      </c>
      <c r="Y286" s="166">
        <v>3.4106653853360298E-3</v>
      </c>
      <c r="Z286" s="166">
        <v>1.37204471534296E-3</v>
      </c>
    </row>
    <row r="287" spans="1:26">
      <c r="A287" s="4" t="s">
        <v>256</v>
      </c>
      <c r="B287" s="4">
        <v>7206</v>
      </c>
      <c r="C287" s="4" t="s">
        <v>150</v>
      </c>
      <c r="D287" s="4" t="s">
        <v>161</v>
      </c>
      <c r="E287" s="4" t="s">
        <v>162</v>
      </c>
      <c r="F287" s="4" t="s">
        <v>153</v>
      </c>
      <c r="G287" s="4" t="s">
        <v>154</v>
      </c>
      <c r="H287" s="4" t="s">
        <v>155</v>
      </c>
      <c r="I287" s="4" t="s">
        <v>163</v>
      </c>
      <c r="J287" s="4" t="s">
        <v>157</v>
      </c>
      <c r="K287" s="4" t="s">
        <v>158</v>
      </c>
      <c r="L287" s="4" t="s">
        <v>159</v>
      </c>
      <c r="M287" s="150">
        <v>0</v>
      </c>
      <c r="N287" s="4" t="s">
        <v>164</v>
      </c>
      <c r="O287" s="165">
        <v>0</v>
      </c>
      <c r="P287" s="166">
        <v>0</v>
      </c>
      <c r="R287" s="150">
        <v>50000</v>
      </c>
      <c r="S287" s="150">
        <v>3.7589999999999999</v>
      </c>
      <c r="T287" s="150">
        <v>97.585999999999999</v>
      </c>
      <c r="U287" s="150">
        <v>183.41300000000001</v>
      </c>
      <c r="W287" s="4" t="s">
        <v>37</v>
      </c>
      <c r="X287" s="166">
        <v>9.9999999999999995E-7</v>
      </c>
      <c r="Y287" s="166">
        <v>6.8081450467876101E-3</v>
      </c>
      <c r="Z287" s="166">
        <v>2.7387850690058098E-3</v>
      </c>
    </row>
    <row r="288" spans="1:26">
      <c r="A288" s="4" t="s">
        <v>256</v>
      </c>
      <c r="B288" s="4">
        <v>7206</v>
      </c>
      <c r="C288" s="4" t="s">
        <v>165</v>
      </c>
      <c r="D288" s="4" t="s">
        <v>166</v>
      </c>
      <c r="E288" s="4" t="s">
        <v>167</v>
      </c>
      <c r="F288" s="4" t="s">
        <v>153</v>
      </c>
      <c r="G288" s="4" t="s">
        <v>154</v>
      </c>
      <c r="H288" s="4" t="s">
        <v>31</v>
      </c>
      <c r="I288" s="4" t="s">
        <v>163</v>
      </c>
      <c r="J288" s="4" t="s">
        <v>168</v>
      </c>
      <c r="K288" s="4" t="s">
        <v>158</v>
      </c>
      <c r="L288" s="4" t="s">
        <v>169</v>
      </c>
      <c r="M288" s="150">
        <v>0</v>
      </c>
      <c r="N288" s="4" t="s">
        <v>170</v>
      </c>
      <c r="O288" s="165">
        <v>0.05</v>
      </c>
      <c r="P288" s="166">
        <v>0</v>
      </c>
      <c r="R288" s="150">
        <v>15000</v>
      </c>
      <c r="S288" s="150">
        <v>4.0199999999999996</v>
      </c>
      <c r="T288" s="150">
        <v>104.837</v>
      </c>
      <c r="U288" s="150">
        <v>63.22</v>
      </c>
      <c r="W288" s="4" t="s">
        <v>37</v>
      </c>
      <c r="X288" s="166">
        <v>0</v>
      </c>
      <c r="Y288" s="166">
        <v>2.3466671594842199E-3</v>
      </c>
      <c r="Z288" s="166">
        <v>9.44018808963865E-4</v>
      </c>
    </row>
    <row r="289" spans="1:26">
      <c r="A289" s="4" t="s">
        <v>256</v>
      </c>
      <c r="B289" s="4">
        <v>7206</v>
      </c>
      <c r="C289" s="4" t="s">
        <v>171</v>
      </c>
      <c r="D289" s="4" t="s">
        <v>172</v>
      </c>
      <c r="E289" s="4" t="s">
        <v>173</v>
      </c>
      <c r="F289" s="4" t="s">
        <v>153</v>
      </c>
      <c r="G289" s="4" t="s">
        <v>154</v>
      </c>
      <c r="H289" s="4" t="s">
        <v>31</v>
      </c>
      <c r="I289" s="4" t="s">
        <v>156</v>
      </c>
      <c r="J289" s="4" t="s">
        <v>168</v>
      </c>
      <c r="K289" s="4" t="s">
        <v>158</v>
      </c>
      <c r="L289" s="4" t="s">
        <v>159</v>
      </c>
      <c r="M289" s="150">
        <v>0</v>
      </c>
      <c r="N289" s="4" t="s">
        <v>175</v>
      </c>
      <c r="O289" s="165">
        <v>5.3749999999999999E-2</v>
      </c>
      <c r="P289" s="166">
        <v>0</v>
      </c>
      <c r="R289" s="150">
        <v>20000</v>
      </c>
      <c r="S289" s="150">
        <v>3.7589999999999999</v>
      </c>
      <c r="T289" s="150">
        <v>99.781000000000006</v>
      </c>
      <c r="U289" s="150">
        <v>75.015000000000001</v>
      </c>
      <c r="W289" s="4" t="s">
        <v>37</v>
      </c>
      <c r="X289" s="166">
        <v>1.0000000000000001E-5</v>
      </c>
      <c r="Y289" s="166">
        <v>2.7845039620149302E-3</v>
      </c>
      <c r="Z289" s="166">
        <v>1.12015208597126E-3</v>
      </c>
    </row>
    <row r="290" spans="1:26">
      <c r="A290" s="4" t="s">
        <v>256</v>
      </c>
      <c r="B290" s="4">
        <v>7206</v>
      </c>
      <c r="C290" s="4" t="s">
        <v>171</v>
      </c>
      <c r="D290" s="4" t="s">
        <v>176</v>
      </c>
      <c r="E290" s="4" t="s">
        <v>177</v>
      </c>
      <c r="F290" s="4" t="s">
        <v>153</v>
      </c>
      <c r="G290" s="4" t="s">
        <v>154</v>
      </c>
      <c r="H290" s="4" t="s">
        <v>31</v>
      </c>
      <c r="I290" s="4" t="s">
        <v>163</v>
      </c>
      <c r="J290" s="4" t="s">
        <v>168</v>
      </c>
      <c r="K290" s="4" t="s">
        <v>158</v>
      </c>
      <c r="L290" s="4" t="s">
        <v>159</v>
      </c>
      <c r="M290" s="150">
        <v>7.49</v>
      </c>
      <c r="N290" s="4" t="s">
        <v>178</v>
      </c>
      <c r="O290" s="165">
        <v>5.5E-2</v>
      </c>
      <c r="P290" s="166">
        <v>5.8720000000000001E-2</v>
      </c>
      <c r="R290" s="150">
        <v>20000</v>
      </c>
      <c r="S290" s="150">
        <v>3.7589999999999999</v>
      </c>
      <c r="T290" s="150">
        <v>97.03</v>
      </c>
      <c r="U290" s="150">
        <v>72.947000000000003</v>
      </c>
      <c r="W290" s="4" t="s">
        <v>37</v>
      </c>
      <c r="X290" s="166">
        <v>6.9999999999999999E-6</v>
      </c>
      <c r="Y290" s="166">
        <v>2.7077477005457802E-3</v>
      </c>
      <c r="Z290" s="166">
        <v>1.0892745266037999E-3</v>
      </c>
    </row>
    <row r="291" spans="1:26">
      <c r="A291" s="4" t="s">
        <v>256</v>
      </c>
      <c r="B291" s="4">
        <v>7206</v>
      </c>
      <c r="C291" s="4" t="s">
        <v>171</v>
      </c>
      <c r="D291" s="4" t="s">
        <v>179</v>
      </c>
      <c r="E291" s="4" t="s">
        <v>180</v>
      </c>
      <c r="F291" s="4" t="s">
        <v>153</v>
      </c>
      <c r="G291" s="4" t="s">
        <v>154</v>
      </c>
      <c r="H291" s="4" t="s">
        <v>31</v>
      </c>
      <c r="I291" s="4" t="s">
        <v>163</v>
      </c>
      <c r="J291" s="4" t="s">
        <v>168</v>
      </c>
      <c r="K291" s="4" t="s">
        <v>158</v>
      </c>
      <c r="L291" s="4" t="s">
        <v>159</v>
      </c>
      <c r="M291" s="150">
        <v>0</v>
      </c>
      <c r="N291" s="4" t="s">
        <v>181</v>
      </c>
      <c r="O291" s="165">
        <v>5.7500000000000002E-2</v>
      </c>
      <c r="P291" s="166">
        <v>0</v>
      </c>
      <c r="R291" s="150">
        <v>25000</v>
      </c>
      <c r="S291" s="150">
        <v>3.7589999999999999</v>
      </c>
      <c r="T291" s="150">
        <v>91.872</v>
      </c>
      <c r="U291" s="150">
        <v>86.337000000000003</v>
      </c>
      <c r="W291" s="4" t="s">
        <v>37</v>
      </c>
      <c r="X291" s="166">
        <v>7.9999999999999996E-6</v>
      </c>
      <c r="Y291" s="166">
        <v>3.2047587955341401E-3</v>
      </c>
      <c r="Z291" s="166">
        <v>1.2892124769162199E-3</v>
      </c>
    </row>
    <row r="292" spans="1:26">
      <c r="A292" s="4" t="s">
        <v>256</v>
      </c>
      <c r="B292" s="4">
        <v>7206</v>
      </c>
      <c r="C292" s="4" t="s">
        <v>171</v>
      </c>
      <c r="D292" s="4" t="s">
        <v>182</v>
      </c>
      <c r="E292" s="4" t="s">
        <v>183</v>
      </c>
      <c r="F292" s="4" t="s">
        <v>153</v>
      </c>
      <c r="G292" s="4" t="s">
        <v>154</v>
      </c>
      <c r="H292" s="4" t="s">
        <v>31</v>
      </c>
      <c r="I292" s="4" t="s">
        <v>163</v>
      </c>
      <c r="J292" s="4" t="s">
        <v>168</v>
      </c>
      <c r="K292" s="4" t="s">
        <v>158</v>
      </c>
      <c r="L292" s="4" t="s">
        <v>169</v>
      </c>
      <c r="M292" s="150">
        <v>0</v>
      </c>
      <c r="N292" s="4" t="s">
        <v>184</v>
      </c>
      <c r="O292" s="165">
        <v>1.4999999999999999E-2</v>
      </c>
      <c r="P292" s="166">
        <v>0</v>
      </c>
      <c r="R292" s="150">
        <v>60000</v>
      </c>
      <c r="S292" s="150">
        <v>4.0199999999999996</v>
      </c>
      <c r="T292" s="150">
        <v>93.265000000000001</v>
      </c>
      <c r="U292" s="150">
        <v>224.96700000000001</v>
      </c>
      <c r="W292" s="4" t="s">
        <v>37</v>
      </c>
      <c r="X292" s="166">
        <v>2.0999999999999999E-5</v>
      </c>
      <c r="Y292" s="166">
        <v>8.3506072443233197E-3</v>
      </c>
      <c r="Z292" s="166">
        <v>3.35928777673088E-3</v>
      </c>
    </row>
    <row r="293" spans="1:26">
      <c r="A293" s="4" t="s">
        <v>256</v>
      </c>
      <c r="B293" s="4">
        <v>7206</v>
      </c>
      <c r="C293" s="4" t="s">
        <v>185</v>
      </c>
      <c r="D293" s="4" t="s">
        <v>186</v>
      </c>
      <c r="E293" s="4" t="s">
        <v>187</v>
      </c>
      <c r="F293" s="4" t="s">
        <v>153</v>
      </c>
      <c r="G293" s="4" t="s">
        <v>154</v>
      </c>
      <c r="H293" s="4" t="s">
        <v>155</v>
      </c>
      <c r="I293" s="4" t="s">
        <v>163</v>
      </c>
      <c r="J293" s="4" t="s">
        <v>157</v>
      </c>
      <c r="K293" s="4" t="s">
        <v>158</v>
      </c>
      <c r="L293" s="4" t="s">
        <v>159</v>
      </c>
      <c r="M293" s="150">
        <v>13.79</v>
      </c>
      <c r="N293" s="4" t="s">
        <v>188</v>
      </c>
      <c r="O293" s="165">
        <v>1.125E-2</v>
      </c>
      <c r="P293" s="166">
        <v>4.761E-2</v>
      </c>
      <c r="R293" s="150">
        <v>40000</v>
      </c>
      <c r="S293" s="150">
        <v>3.7589999999999999</v>
      </c>
      <c r="T293" s="150">
        <v>61.451000000000001</v>
      </c>
      <c r="U293" s="150">
        <v>92.397000000000006</v>
      </c>
      <c r="W293" s="4" t="s">
        <v>37</v>
      </c>
      <c r="X293" s="166">
        <v>9.9999999999999995E-7</v>
      </c>
      <c r="Y293" s="166">
        <v>3.4297292770218701E-3</v>
      </c>
      <c r="Z293" s="166">
        <v>1.3797137502338901E-3</v>
      </c>
    </row>
    <row r="294" spans="1:26">
      <c r="A294" s="4" t="s">
        <v>256</v>
      </c>
      <c r="B294" s="4">
        <v>7206</v>
      </c>
      <c r="C294" s="4" t="s">
        <v>185</v>
      </c>
      <c r="D294" s="4" t="s">
        <v>189</v>
      </c>
      <c r="E294" s="4" t="s">
        <v>190</v>
      </c>
      <c r="F294" s="4" t="s">
        <v>153</v>
      </c>
      <c r="G294" s="4" t="s">
        <v>154</v>
      </c>
      <c r="H294" s="4" t="s">
        <v>155</v>
      </c>
      <c r="I294" s="4" t="s">
        <v>163</v>
      </c>
      <c r="J294" s="4" t="s">
        <v>157</v>
      </c>
      <c r="K294" s="4" t="s">
        <v>158</v>
      </c>
      <c r="L294" s="4" t="s">
        <v>159</v>
      </c>
      <c r="M294" s="150">
        <v>13.91</v>
      </c>
      <c r="N294" s="4" t="s">
        <v>191</v>
      </c>
      <c r="O294" s="165">
        <v>1.125E-2</v>
      </c>
      <c r="P294" s="166">
        <v>4.777E-2</v>
      </c>
      <c r="R294" s="150">
        <v>68000</v>
      </c>
      <c r="S294" s="150">
        <v>3.7589999999999999</v>
      </c>
      <c r="T294" s="150">
        <v>61.134</v>
      </c>
      <c r="U294" s="150">
        <v>156.26499999999999</v>
      </c>
      <c r="W294" s="4" t="s">
        <v>37</v>
      </c>
      <c r="X294" s="166">
        <v>0</v>
      </c>
      <c r="Y294" s="166">
        <v>5.8004518564280603E-3</v>
      </c>
      <c r="Z294" s="166">
        <v>2.3334095893517998E-3</v>
      </c>
    </row>
    <row r="295" spans="1:26">
      <c r="A295" s="4" t="s">
        <v>256</v>
      </c>
      <c r="B295" s="4">
        <v>7206</v>
      </c>
      <c r="C295" s="4" t="s">
        <v>185</v>
      </c>
      <c r="D295" s="4" t="s">
        <v>192</v>
      </c>
      <c r="E295" s="4" t="s">
        <v>193</v>
      </c>
      <c r="F295" s="4" t="s">
        <v>153</v>
      </c>
      <c r="G295" s="4" t="s">
        <v>154</v>
      </c>
      <c r="H295" s="4" t="s">
        <v>155</v>
      </c>
      <c r="I295" s="4" t="s">
        <v>163</v>
      </c>
      <c r="J295" s="4" t="s">
        <v>157</v>
      </c>
      <c r="K295" s="4" t="s">
        <v>158</v>
      </c>
      <c r="L295" s="4" t="s">
        <v>159</v>
      </c>
      <c r="M295" s="150">
        <v>6.28</v>
      </c>
      <c r="N295" s="4" t="s">
        <v>194</v>
      </c>
      <c r="O295" s="165">
        <v>1.125E-2</v>
      </c>
      <c r="P295" s="166">
        <v>4.5710000000000001E-2</v>
      </c>
      <c r="R295" s="150">
        <v>40000</v>
      </c>
      <c r="S295" s="150">
        <v>3.7589999999999999</v>
      </c>
      <c r="T295" s="150">
        <v>82.048000000000002</v>
      </c>
      <c r="U295" s="150">
        <v>123.367</v>
      </c>
      <c r="W295" s="4" t="s">
        <v>37</v>
      </c>
      <c r="X295" s="166">
        <v>0</v>
      </c>
      <c r="Y295" s="166">
        <v>4.5792983169053196E-3</v>
      </c>
      <c r="Z295" s="166">
        <v>1.8421631399850201E-3</v>
      </c>
    </row>
    <row r="296" spans="1:26">
      <c r="A296" s="4" t="s">
        <v>256</v>
      </c>
      <c r="B296" s="4">
        <v>7206</v>
      </c>
      <c r="C296" s="4" t="s">
        <v>185</v>
      </c>
      <c r="D296" s="4" t="s">
        <v>277</v>
      </c>
      <c r="E296" s="4" t="s">
        <v>278</v>
      </c>
      <c r="F296" s="4" t="s">
        <v>153</v>
      </c>
      <c r="G296" s="4" t="s">
        <v>154</v>
      </c>
      <c r="H296" s="4" t="s">
        <v>155</v>
      </c>
      <c r="I296" s="4" t="s">
        <v>163</v>
      </c>
      <c r="J296" s="4" t="s">
        <v>157</v>
      </c>
      <c r="K296" s="4" t="s">
        <v>158</v>
      </c>
      <c r="L296" s="4" t="s">
        <v>159</v>
      </c>
      <c r="M296" s="150">
        <v>0.25</v>
      </c>
      <c r="N296" s="4" t="s">
        <v>279</v>
      </c>
      <c r="O296" s="165">
        <v>1.2500000000000001E-2</v>
      </c>
      <c r="P296" s="166">
        <v>5.3370000000000001E-2</v>
      </c>
      <c r="R296" s="150">
        <v>5000</v>
      </c>
      <c r="S296" s="150">
        <v>3.7589999999999999</v>
      </c>
      <c r="T296" s="150">
        <v>99.718000000000004</v>
      </c>
      <c r="U296" s="150">
        <v>18.742000000000001</v>
      </c>
      <c r="W296" s="4" t="s">
        <v>37</v>
      </c>
      <c r="X296" s="166">
        <v>0</v>
      </c>
      <c r="Y296" s="166">
        <v>6.9569292668129705E-4</v>
      </c>
      <c r="Z296" s="166">
        <v>2.7986380829338002E-4</v>
      </c>
    </row>
    <row r="297" spans="1:26">
      <c r="A297" s="4" t="s">
        <v>256</v>
      </c>
      <c r="B297" s="4">
        <v>7206</v>
      </c>
      <c r="C297" s="4" t="s">
        <v>185</v>
      </c>
      <c r="D297" s="4" t="s">
        <v>195</v>
      </c>
      <c r="E297" s="4" t="s">
        <v>196</v>
      </c>
      <c r="F297" s="4" t="s">
        <v>153</v>
      </c>
      <c r="G297" s="4" t="s">
        <v>154</v>
      </c>
      <c r="H297" s="4" t="s">
        <v>155</v>
      </c>
      <c r="I297" s="4" t="s">
        <v>163</v>
      </c>
      <c r="J297" s="4" t="s">
        <v>157</v>
      </c>
      <c r="K297" s="4" t="s">
        <v>158</v>
      </c>
      <c r="L297" s="4" t="s">
        <v>159</v>
      </c>
      <c r="M297" s="150">
        <v>0.41</v>
      </c>
      <c r="N297" s="4" t="s">
        <v>197</v>
      </c>
      <c r="O297" s="165">
        <v>1.4999999999999999E-2</v>
      </c>
      <c r="P297" s="166">
        <v>5.3100000000000001E-2</v>
      </c>
      <c r="R297" s="150">
        <v>15000</v>
      </c>
      <c r="S297" s="150">
        <v>3.7589999999999999</v>
      </c>
      <c r="T297" s="150">
        <v>98.971999999999994</v>
      </c>
      <c r="U297" s="150">
        <v>55.805999999999997</v>
      </c>
      <c r="W297" s="4" t="s">
        <v>37</v>
      </c>
      <c r="X297" s="166">
        <v>0</v>
      </c>
      <c r="Y297" s="166">
        <v>2.0714659481038599E-3</v>
      </c>
      <c r="Z297" s="166">
        <v>8.3331068457446198E-4</v>
      </c>
    </row>
    <row r="298" spans="1:26">
      <c r="A298" s="4" t="s">
        <v>256</v>
      </c>
      <c r="B298" s="4">
        <v>7206</v>
      </c>
      <c r="C298" s="4" t="s">
        <v>185</v>
      </c>
      <c r="D298" s="4" t="s">
        <v>198</v>
      </c>
      <c r="E298" s="4" t="s">
        <v>199</v>
      </c>
      <c r="F298" s="4" t="s">
        <v>153</v>
      </c>
      <c r="G298" s="4" t="s">
        <v>154</v>
      </c>
      <c r="H298" s="4" t="s">
        <v>155</v>
      </c>
      <c r="I298" s="4" t="s">
        <v>163</v>
      </c>
      <c r="J298" s="4" t="s">
        <v>157</v>
      </c>
      <c r="K298" s="4" t="s">
        <v>158</v>
      </c>
      <c r="L298" s="4" t="s">
        <v>159</v>
      </c>
      <c r="M298" s="150">
        <v>6.41</v>
      </c>
      <c r="N298" s="4" t="s">
        <v>200</v>
      </c>
      <c r="O298" s="165">
        <v>1.6250000000000001E-2</v>
      </c>
      <c r="P298" s="166">
        <v>4.598E-2</v>
      </c>
      <c r="R298" s="150">
        <v>12000</v>
      </c>
      <c r="S298" s="150">
        <v>3.7589999999999999</v>
      </c>
      <c r="T298" s="150">
        <v>83.989000000000004</v>
      </c>
      <c r="U298" s="150">
        <v>37.886000000000003</v>
      </c>
      <c r="W298" s="4" t="s">
        <v>37</v>
      </c>
      <c r="X298" s="166">
        <v>0</v>
      </c>
      <c r="Y298" s="166">
        <v>1.4062906049534601E-3</v>
      </c>
      <c r="Z298" s="166">
        <v>5.6572350986367501E-4</v>
      </c>
    </row>
    <row r="299" spans="1:26">
      <c r="A299" s="4" t="s">
        <v>256</v>
      </c>
      <c r="B299" s="4">
        <v>7206</v>
      </c>
      <c r="C299" s="4" t="s">
        <v>185</v>
      </c>
      <c r="D299" s="4" t="s">
        <v>201</v>
      </c>
      <c r="E299" s="4" t="s">
        <v>202</v>
      </c>
      <c r="F299" s="4" t="s">
        <v>153</v>
      </c>
      <c r="G299" s="4" t="s">
        <v>154</v>
      </c>
      <c r="H299" s="4" t="s">
        <v>155</v>
      </c>
      <c r="I299" s="4" t="s">
        <v>163</v>
      </c>
      <c r="J299" s="4" t="s">
        <v>157</v>
      </c>
      <c r="K299" s="4" t="s">
        <v>158</v>
      </c>
      <c r="L299" s="4" t="s">
        <v>159</v>
      </c>
      <c r="M299" s="150">
        <v>13.72</v>
      </c>
      <c r="N299" s="4" t="s">
        <v>203</v>
      </c>
      <c r="O299" s="165">
        <v>0.02</v>
      </c>
      <c r="P299" s="166">
        <v>4.8329999999999998E-2</v>
      </c>
      <c r="R299" s="150">
        <v>150000</v>
      </c>
      <c r="S299" s="150">
        <v>3.7589999999999999</v>
      </c>
      <c r="T299" s="150">
        <v>68.769000000000005</v>
      </c>
      <c r="U299" s="150">
        <v>387.75599999999997</v>
      </c>
      <c r="W299" s="4" t="s">
        <v>37</v>
      </c>
      <c r="X299" s="166">
        <v>0</v>
      </c>
      <c r="Y299" s="166">
        <v>1.43932309671723E-2</v>
      </c>
      <c r="Z299" s="166">
        <v>5.7901184238493501E-3</v>
      </c>
    </row>
    <row r="300" spans="1:26">
      <c r="A300" s="4" t="s">
        <v>256</v>
      </c>
      <c r="B300" s="4">
        <v>7206</v>
      </c>
      <c r="C300" s="4" t="s">
        <v>185</v>
      </c>
      <c r="D300" s="4" t="s">
        <v>204</v>
      </c>
      <c r="E300" s="4" t="s">
        <v>205</v>
      </c>
      <c r="F300" s="4" t="s">
        <v>153</v>
      </c>
      <c r="G300" s="4" t="s">
        <v>154</v>
      </c>
      <c r="H300" s="4" t="s">
        <v>155</v>
      </c>
      <c r="I300" s="4" t="s">
        <v>163</v>
      </c>
      <c r="J300" s="4" t="s">
        <v>157</v>
      </c>
      <c r="K300" s="4" t="s">
        <v>158</v>
      </c>
      <c r="L300" s="4" t="s">
        <v>159</v>
      </c>
      <c r="M300" s="150">
        <v>0.33</v>
      </c>
      <c r="N300" s="4" t="s">
        <v>206</v>
      </c>
      <c r="O300" s="165">
        <v>2.1250000000000002E-2</v>
      </c>
      <c r="P300" s="166">
        <v>5.314E-2</v>
      </c>
      <c r="R300" s="150">
        <v>15000</v>
      </c>
      <c r="S300" s="150">
        <v>3.7589999999999999</v>
      </c>
      <c r="T300" s="150">
        <v>99.724000000000004</v>
      </c>
      <c r="U300" s="150">
        <v>56.228999999999999</v>
      </c>
      <c r="W300" s="4" t="s">
        <v>37</v>
      </c>
      <c r="X300" s="166">
        <v>0</v>
      </c>
      <c r="Y300" s="166">
        <v>2.0871893866398999E-3</v>
      </c>
      <c r="Z300" s="166">
        <v>8.3963591977435903E-4</v>
      </c>
    </row>
    <row r="301" spans="1:26">
      <c r="A301" s="4" t="s">
        <v>256</v>
      </c>
      <c r="B301" s="4">
        <v>7206</v>
      </c>
      <c r="C301" s="4" t="s">
        <v>185</v>
      </c>
      <c r="D301" s="4" t="s">
        <v>207</v>
      </c>
      <c r="E301" s="4" t="s">
        <v>208</v>
      </c>
      <c r="F301" s="4" t="s">
        <v>153</v>
      </c>
      <c r="G301" s="4" t="s">
        <v>154</v>
      </c>
      <c r="H301" s="4" t="s">
        <v>155</v>
      </c>
      <c r="I301" s="4" t="s">
        <v>163</v>
      </c>
      <c r="J301" s="4" t="s">
        <v>157</v>
      </c>
      <c r="K301" s="4" t="s">
        <v>158</v>
      </c>
      <c r="L301" s="4" t="s">
        <v>159</v>
      </c>
      <c r="M301" s="150">
        <v>0.49</v>
      </c>
      <c r="N301" s="4" t="s">
        <v>209</v>
      </c>
      <c r="O301" s="165">
        <v>2.1250000000000002E-2</v>
      </c>
      <c r="P301" s="166">
        <v>5.3620000000000001E-2</v>
      </c>
      <c r="R301" s="150">
        <v>15000</v>
      </c>
      <c r="S301" s="150">
        <v>3.7589999999999999</v>
      </c>
      <c r="T301" s="150">
        <v>98.905000000000001</v>
      </c>
      <c r="U301" s="150">
        <v>55.767000000000003</v>
      </c>
      <c r="W301" s="4" t="s">
        <v>37</v>
      </c>
      <c r="X301" s="166">
        <v>5.0799999999999999E-4</v>
      </c>
      <c r="Y301" s="166">
        <v>2.07004667585375E-3</v>
      </c>
      <c r="Z301" s="166">
        <v>8.3273973879984301E-4</v>
      </c>
    </row>
    <row r="302" spans="1:26">
      <c r="A302" s="4" t="s">
        <v>256</v>
      </c>
      <c r="B302" s="4">
        <v>7206</v>
      </c>
      <c r="C302" s="4" t="s">
        <v>185</v>
      </c>
      <c r="D302" s="4" t="s">
        <v>210</v>
      </c>
      <c r="E302" s="4" t="s">
        <v>211</v>
      </c>
      <c r="F302" s="4" t="s">
        <v>153</v>
      </c>
      <c r="G302" s="4" t="s">
        <v>154</v>
      </c>
      <c r="H302" s="4" t="s">
        <v>155</v>
      </c>
      <c r="I302" s="4" t="s">
        <v>163</v>
      </c>
      <c r="J302" s="4" t="s">
        <v>157</v>
      </c>
      <c r="K302" s="4" t="s">
        <v>158</v>
      </c>
      <c r="L302" s="4" t="s">
        <v>159</v>
      </c>
      <c r="M302" s="150">
        <v>13.37</v>
      </c>
      <c r="N302" s="4" t="s">
        <v>212</v>
      </c>
      <c r="O302" s="165">
        <v>2.375E-2</v>
      </c>
      <c r="P302" s="166">
        <v>4.8349999999999997E-2</v>
      </c>
      <c r="R302" s="150">
        <v>20000</v>
      </c>
      <c r="S302" s="150">
        <v>3.7589999999999999</v>
      </c>
      <c r="T302" s="150">
        <v>73.477999999999994</v>
      </c>
      <c r="U302" s="150">
        <v>55.24</v>
      </c>
      <c r="W302" s="4" t="s">
        <v>37</v>
      </c>
      <c r="X302" s="166">
        <v>0</v>
      </c>
      <c r="Y302" s="166">
        <v>2.0504870707155902E-3</v>
      </c>
      <c r="Z302" s="166">
        <v>8.2487128797514798E-4</v>
      </c>
    </row>
    <row r="303" spans="1:26">
      <c r="A303" s="4" t="s">
        <v>256</v>
      </c>
      <c r="B303" s="4">
        <v>7206</v>
      </c>
      <c r="C303" s="4" t="s">
        <v>213</v>
      </c>
      <c r="D303" s="4" t="s">
        <v>214</v>
      </c>
      <c r="E303" s="4" t="s">
        <v>215</v>
      </c>
      <c r="F303" s="4" t="s">
        <v>153</v>
      </c>
      <c r="G303" s="4" t="s">
        <v>154</v>
      </c>
      <c r="H303" s="4" t="s">
        <v>155</v>
      </c>
      <c r="I303" s="4" t="s">
        <v>163</v>
      </c>
      <c r="J303" s="4" t="s">
        <v>157</v>
      </c>
      <c r="K303" s="4" t="s">
        <v>158</v>
      </c>
      <c r="L303" s="4" t="s">
        <v>159</v>
      </c>
      <c r="M303" s="150">
        <v>15.14</v>
      </c>
      <c r="N303" s="4" t="s">
        <v>216</v>
      </c>
      <c r="O303" s="165">
        <v>2.5000000000000001E-2</v>
      </c>
      <c r="P303" s="166">
        <v>4.8439999999999997E-2</v>
      </c>
      <c r="R303" s="150">
        <v>60000</v>
      </c>
      <c r="S303" s="150">
        <v>3.7589999999999999</v>
      </c>
      <c r="T303" s="150">
        <v>71.188000000000002</v>
      </c>
      <c r="U303" s="150">
        <v>160.55699999999999</v>
      </c>
      <c r="W303" s="4" t="s">
        <v>37</v>
      </c>
      <c r="X303" s="166">
        <v>9.9999999999999995E-7</v>
      </c>
      <c r="Y303" s="166">
        <v>5.9597597631467804E-3</v>
      </c>
      <c r="Z303" s="166">
        <v>2.3974960788871102E-3</v>
      </c>
    </row>
    <row r="304" spans="1:26">
      <c r="A304" s="4" t="s">
        <v>256</v>
      </c>
      <c r="B304" s="4">
        <v>7206</v>
      </c>
      <c r="C304" s="4" t="s">
        <v>185</v>
      </c>
      <c r="D304" s="4" t="s">
        <v>217</v>
      </c>
      <c r="E304" s="4" t="s">
        <v>218</v>
      </c>
      <c r="F304" s="4" t="s">
        <v>153</v>
      </c>
      <c r="G304" s="4" t="s">
        <v>154</v>
      </c>
      <c r="H304" s="4" t="s">
        <v>155</v>
      </c>
      <c r="I304" s="4" t="s">
        <v>163</v>
      </c>
      <c r="J304" s="4" t="s">
        <v>157</v>
      </c>
      <c r="K304" s="4" t="s">
        <v>158</v>
      </c>
      <c r="L304" s="4" t="s">
        <v>159</v>
      </c>
      <c r="M304" s="150">
        <v>4.54</v>
      </c>
      <c r="N304" s="4" t="s">
        <v>219</v>
      </c>
      <c r="O304" s="165">
        <v>3.2500000000000001E-2</v>
      </c>
      <c r="P304" s="166">
        <v>4.6359999999999998E-2</v>
      </c>
      <c r="Q304" s="150">
        <v>0.40600000000000003</v>
      </c>
      <c r="R304" s="150">
        <v>25000</v>
      </c>
      <c r="S304" s="150">
        <v>3.7589999999999999</v>
      </c>
      <c r="T304" s="150">
        <v>94.882999999999996</v>
      </c>
      <c r="U304" s="150">
        <v>90.692999999999998</v>
      </c>
      <c r="W304" s="4" t="s">
        <v>37</v>
      </c>
      <c r="X304" s="166">
        <v>0</v>
      </c>
      <c r="Y304" s="166">
        <v>3.3664691411446099E-3</v>
      </c>
      <c r="Z304" s="166">
        <v>1.35426542114964E-3</v>
      </c>
    </row>
    <row r="305" spans="1:26">
      <c r="A305" s="4" t="s">
        <v>256</v>
      </c>
      <c r="B305" s="4">
        <v>7206</v>
      </c>
      <c r="C305" s="4" t="s">
        <v>185</v>
      </c>
      <c r="D305" s="4" t="s">
        <v>220</v>
      </c>
      <c r="E305" s="4" t="s">
        <v>221</v>
      </c>
      <c r="F305" s="4" t="s">
        <v>153</v>
      </c>
      <c r="G305" s="4" t="s">
        <v>154</v>
      </c>
      <c r="H305" s="4" t="s">
        <v>155</v>
      </c>
      <c r="I305" s="4" t="s">
        <v>163</v>
      </c>
      <c r="J305" s="4" t="s">
        <v>157</v>
      </c>
      <c r="K305" s="4" t="s">
        <v>158</v>
      </c>
      <c r="L305" s="4" t="s">
        <v>159</v>
      </c>
      <c r="M305" s="150">
        <v>13.65</v>
      </c>
      <c r="N305" s="4" t="s">
        <v>222</v>
      </c>
      <c r="O305" s="165">
        <v>3.3750000000000002E-2</v>
      </c>
      <c r="P305" s="166">
        <v>4.8439999999999997E-2</v>
      </c>
      <c r="R305" s="150">
        <v>30000</v>
      </c>
      <c r="S305" s="150">
        <v>3.7589999999999999</v>
      </c>
      <c r="T305" s="150">
        <v>83.524000000000001</v>
      </c>
      <c r="U305" s="150">
        <v>94.19</v>
      </c>
      <c r="W305" s="4" t="s">
        <v>37</v>
      </c>
      <c r="X305" s="166">
        <v>7.1400000000000001E-4</v>
      </c>
      <c r="Y305" s="166">
        <v>3.49628213233314E-3</v>
      </c>
      <c r="Z305" s="166">
        <v>1.4064866766585701E-3</v>
      </c>
    </row>
    <row r="306" spans="1:26">
      <c r="A306" s="4" t="s">
        <v>256</v>
      </c>
      <c r="B306" s="4">
        <v>7206</v>
      </c>
      <c r="C306" s="4" t="s">
        <v>185</v>
      </c>
      <c r="D306" s="4" t="s">
        <v>223</v>
      </c>
      <c r="E306" s="4" t="s">
        <v>224</v>
      </c>
      <c r="F306" s="4" t="s">
        <v>153</v>
      </c>
      <c r="G306" s="4" t="s">
        <v>154</v>
      </c>
      <c r="H306" s="4" t="s">
        <v>155</v>
      </c>
      <c r="I306" s="4" t="s">
        <v>163</v>
      </c>
      <c r="J306" s="4" t="s">
        <v>157</v>
      </c>
      <c r="K306" s="4" t="s">
        <v>158</v>
      </c>
      <c r="L306" s="4" t="s">
        <v>159</v>
      </c>
      <c r="M306" s="150">
        <v>10.99</v>
      </c>
      <c r="N306" s="4" t="s">
        <v>225</v>
      </c>
      <c r="O306" s="165">
        <v>3.5000000000000003E-2</v>
      </c>
      <c r="P306" s="166">
        <v>4.6379999999999998E-2</v>
      </c>
      <c r="R306" s="150">
        <v>35000</v>
      </c>
      <c r="S306" s="150">
        <v>3.7589999999999999</v>
      </c>
      <c r="T306" s="150">
        <v>91.01</v>
      </c>
      <c r="U306" s="150">
        <v>119.73699999999999</v>
      </c>
      <c r="W306" s="4" t="s">
        <v>37</v>
      </c>
      <c r="X306" s="166">
        <v>1.351E-3</v>
      </c>
      <c r="Y306" s="166">
        <v>4.4445526650133699E-3</v>
      </c>
      <c r="Z306" s="166">
        <v>1.7879575704827599E-3</v>
      </c>
    </row>
    <row r="307" spans="1:26">
      <c r="A307" s="4" t="s">
        <v>256</v>
      </c>
      <c r="B307" s="4">
        <v>7206</v>
      </c>
      <c r="C307" s="4" t="s">
        <v>185</v>
      </c>
      <c r="D307" s="4" t="s">
        <v>226</v>
      </c>
      <c r="E307" s="4" t="s">
        <v>227</v>
      </c>
      <c r="F307" s="4" t="s">
        <v>153</v>
      </c>
      <c r="G307" s="4" t="s">
        <v>154</v>
      </c>
      <c r="H307" s="4" t="s">
        <v>155</v>
      </c>
      <c r="I307" s="4" t="s">
        <v>163</v>
      </c>
      <c r="J307" s="4" t="s">
        <v>157</v>
      </c>
      <c r="K307" s="4" t="s">
        <v>158</v>
      </c>
      <c r="L307" s="4" t="s">
        <v>159</v>
      </c>
      <c r="M307" s="150">
        <v>13.21</v>
      </c>
      <c r="N307" s="4" t="s">
        <v>228</v>
      </c>
      <c r="O307" s="165">
        <v>3.6249999999999998E-2</v>
      </c>
      <c r="P307" s="166">
        <v>4.8460000000000003E-2</v>
      </c>
      <c r="R307" s="150">
        <v>40000</v>
      </c>
      <c r="S307" s="150">
        <v>3.7589999999999999</v>
      </c>
      <c r="T307" s="150">
        <v>87.751000000000005</v>
      </c>
      <c r="U307" s="150">
        <v>131.94300000000001</v>
      </c>
      <c r="W307" s="4" t="s">
        <v>37</v>
      </c>
      <c r="X307" s="166">
        <v>0</v>
      </c>
      <c r="Y307" s="166">
        <v>4.8976187840809003E-3</v>
      </c>
      <c r="Z307" s="166">
        <v>1.97021730696708E-3</v>
      </c>
    </row>
    <row r="308" spans="1:26">
      <c r="A308" s="4" t="s">
        <v>256</v>
      </c>
      <c r="B308" s="4">
        <v>7206</v>
      </c>
      <c r="C308" s="4" t="s">
        <v>150</v>
      </c>
      <c r="D308" s="4" t="s">
        <v>229</v>
      </c>
      <c r="E308" s="4" t="s">
        <v>230</v>
      </c>
      <c r="F308" s="4" t="s">
        <v>153</v>
      </c>
      <c r="G308" s="4" t="s">
        <v>154</v>
      </c>
      <c r="H308" s="4" t="s">
        <v>155</v>
      </c>
      <c r="I308" s="4" t="s">
        <v>163</v>
      </c>
      <c r="J308" s="4" t="s">
        <v>157</v>
      </c>
      <c r="K308" s="4" t="s">
        <v>158</v>
      </c>
      <c r="L308" s="4" t="s">
        <v>159</v>
      </c>
      <c r="M308" s="150">
        <v>0.78500000000000003</v>
      </c>
      <c r="N308" s="4" t="s">
        <v>231</v>
      </c>
      <c r="O308" s="165">
        <v>0</v>
      </c>
      <c r="P308" s="166">
        <v>5.2290000000000003E-2</v>
      </c>
      <c r="R308" s="150">
        <v>10000</v>
      </c>
      <c r="S308" s="150">
        <v>3.7589999999999999</v>
      </c>
      <c r="T308" s="150">
        <v>96.399000000000001</v>
      </c>
      <c r="U308" s="150">
        <v>36.235999999999997</v>
      </c>
      <c r="W308" s="4" t="s">
        <v>37</v>
      </c>
      <c r="X308" s="166">
        <v>0</v>
      </c>
      <c r="Y308" s="166">
        <v>1.34506383327751E-3</v>
      </c>
      <c r="Z308" s="166">
        <v>5.4109316386823396E-4</v>
      </c>
    </row>
    <row r="309" spans="1:26">
      <c r="A309" s="4" t="s">
        <v>256</v>
      </c>
      <c r="B309" s="4">
        <v>7206</v>
      </c>
      <c r="C309" s="4" t="s">
        <v>185</v>
      </c>
      <c r="D309" s="4" t="s">
        <v>232</v>
      </c>
      <c r="E309" s="4" t="s">
        <v>233</v>
      </c>
      <c r="F309" s="4" t="s">
        <v>153</v>
      </c>
      <c r="G309" s="4" t="s">
        <v>154</v>
      </c>
      <c r="H309" s="4" t="s">
        <v>155</v>
      </c>
      <c r="I309" s="4" t="s">
        <v>163</v>
      </c>
      <c r="J309" s="4" t="s">
        <v>157</v>
      </c>
      <c r="K309" s="4" t="s">
        <v>158</v>
      </c>
      <c r="L309" s="4" t="s">
        <v>159</v>
      </c>
      <c r="M309" s="150">
        <v>0.45</v>
      </c>
      <c r="N309" s="4" t="s">
        <v>234</v>
      </c>
      <c r="O309" s="165">
        <v>0</v>
      </c>
      <c r="P309" s="166">
        <v>5.3769999999999998E-2</v>
      </c>
      <c r="R309" s="150">
        <v>35000</v>
      </c>
      <c r="S309" s="150">
        <v>3.7589999999999999</v>
      </c>
      <c r="T309" s="150">
        <v>98.069000000000003</v>
      </c>
      <c r="U309" s="150">
        <v>129.024</v>
      </c>
      <c r="W309" s="4" t="s">
        <v>37</v>
      </c>
      <c r="X309" s="166">
        <v>0</v>
      </c>
      <c r="Y309" s="166">
        <v>4.7892893277001703E-3</v>
      </c>
      <c r="Z309" s="166">
        <v>1.9266384619762501E-3</v>
      </c>
    </row>
    <row r="310" spans="1:26">
      <c r="A310" s="4" t="s">
        <v>256</v>
      </c>
      <c r="B310" s="4">
        <v>7206</v>
      </c>
      <c r="C310" s="4" t="s">
        <v>150</v>
      </c>
      <c r="D310" s="4" t="s">
        <v>235</v>
      </c>
      <c r="E310" s="4" t="s">
        <v>236</v>
      </c>
      <c r="F310" s="4" t="s">
        <v>153</v>
      </c>
      <c r="G310" s="4" t="s">
        <v>154</v>
      </c>
      <c r="H310" s="4" t="s">
        <v>155</v>
      </c>
      <c r="I310" s="4" t="s">
        <v>163</v>
      </c>
      <c r="J310" s="4" t="s">
        <v>157</v>
      </c>
      <c r="K310" s="4" t="s">
        <v>158</v>
      </c>
      <c r="L310" s="4" t="s">
        <v>159</v>
      </c>
      <c r="M310" s="150">
        <v>0.21</v>
      </c>
      <c r="N310" s="4" t="s">
        <v>237</v>
      </c>
      <c r="O310" s="165">
        <v>0</v>
      </c>
      <c r="P310" s="166">
        <v>5.3929999999999999E-2</v>
      </c>
      <c r="R310" s="150">
        <v>25000</v>
      </c>
      <c r="S310" s="150">
        <v>3.7589999999999999</v>
      </c>
      <c r="T310" s="150">
        <v>99.358999999999995</v>
      </c>
      <c r="U310" s="150">
        <v>93.373000000000005</v>
      </c>
      <c r="W310" s="4" t="s">
        <v>37</v>
      </c>
      <c r="X310" s="166">
        <v>0</v>
      </c>
      <c r="Y310" s="166">
        <v>3.4659233356147401E-3</v>
      </c>
      <c r="Z310" s="166">
        <v>1.39427391993938E-3</v>
      </c>
    </row>
    <row r="311" spans="1:26">
      <c r="A311" s="4" t="s">
        <v>256</v>
      </c>
      <c r="B311" s="4">
        <v>7206</v>
      </c>
      <c r="C311" s="4" t="s">
        <v>185</v>
      </c>
      <c r="D311" s="4" t="s">
        <v>238</v>
      </c>
      <c r="E311" s="4" t="s">
        <v>239</v>
      </c>
      <c r="F311" s="4" t="s">
        <v>153</v>
      </c>
      <c r="G311" s="4" t="s">
        <v>154</v>
      </c>
      <c r="H311" s="4" t="s">
        <v>155</v>
      </c>
      <c r="I311" s="4" t="s">
        <v>163</v>
      </c>
      <c r="J311" s="4" t="s">
        <v>157</v>
      </c>
      <c r="K311" s="4" t="s">
        <v>158</v>
      </c>
      <c r="L311" s="4" t="s">
        <v>159</v>
      </c>
      <c r="M311" s="150">
        <v>13.63</v>
      </c>
      <c r="N311" s="4" t="s">
        <v>240</v>
      </c>
      <c r="O311" s="165">
        <v>2.8750000000000001E-2</v>
      </c>
      <c r="P311" s="166">
        <v>4.8419999999999998E-2</v>
      </c>
      <c r="R311" s="150">
        <v>25000</v>
      </c>
      <c r="S311" s="150">
        <v>3.7589999999999999</v>
      </c>
      <c r="T311" s="150">
        <v>77.813000000000002</v>
      </c>
      <c r="U311" s="150">
        <v>73.123999999999995</v>
      </c>
      <c r="W311" s="4" t="s">
        <v>37</v>
      </c>
      <c r="X311" s="166">
        <v>0</v>
      </c>
      <c r="Y311" s="166">
        <v>2.7143233024452102E-3</v>
      </c>
      <c r="Z311" s="166">
        <v>1.09191976406248E-3</v>
      </c>
    </row>
    <row r="312" spans="1:26">
      <c r="A312" s="4" t="s">
        <v>256</v>
      </c>
      <c r="B312" s="4">
        <v>7206</v>
      </c>
      <c r="C312" s="4" t="s">
        <v>185</v>
      </c>
      <c r="D312" s="4" t="s">
        <v>241</v>
      </c>
      <c r="E312" s="4" t="s">
        <v>242</v>
      </c>
      <c r="F312" s="4" t="s">
        <v>153</v>
      </c>
      <c r="G312" s="4" t="s">
        <v>154</v>
      </c>
      <c r="H312" s="4" t="s">
        <v>155</v>
      </c>
      <c r="I312" s="4" t="s">
        <v>163</v>
      </c>
      <c r="J312" s="4" t="s">
        <v>157</v>
      </c>
      <c r="K312" s="4" t="s">
        <v>158</v>
      </c>
      <c r="L312" s="4" t="s">
        <v>159</v>
      </c>
      <c r="M312" s="150">
        <v>0.26</v>
      </c>
      <c r="N312" s="4" t="s">
        <v>243</v>
      </c>
      <c r="O312" s="165">
        <v>0</v>
      </c>
      <c r="P312" s="166">
        <v>5.3800000000000001E-2</v>
      </c>
      <c r="R312" s="150">
        <v>50000</v>
      </c>
      <c r="S312" s="150">
        <v>3.7589999999999999</v>
      </c>
      <c r="T312" s="150">
        <v>99.057000000000002</v>
      </c>
      <c r="U312" s="150">
        <v>186.178</v>
      </c>
      <c r="W312" s="4" t="s">
        <v>37</v>
      </c>
      <c r="X312" s="166">
        <v>0</v>
      </c>
      <c r="Y312" s="166">
        <v>6.9107843958817802E-3</v>
      </c>
      <c r="Z312" s="166">
        <v>2.7800748938934601E-3</v>
      </c>
    </row>
    <row r="313" spans="1:26">
      <c r="A313" s="4" t="s">
        <v>256</v>
      </c>
      <c r="B313" s="4">
        <v>7206</v>
      </c>
      <c r="C313" s="4" t="s">
        <v>185</v>
      </c>
      <c r="D313" s="4" t="s">
        <v>244</v>
      </c>
      <c r="E313" s="4" t="s">
        <v>245</v>
      </c>
      <c r="F313" s="4" t="s">
        <v>153</v>
      </c>
      <c r="G313" s="4" t="s">
        <v>154</v>
      </c>
      <c r="H313" s="4" t="s">
        <v>155</v>
      </c>
      <c r="I313" s="4" t="s">
        <v>163</v>
      </c>
      <c r="J313" s="4" t="s">
        <v>157</v>
      </c>
      <c r="K313" s="4" t="s">
        <v>158</v>
      </c>
      <c r="L313" s="4" t="s">
        <v>159</v>
      </c>
      <c r="M313" s="150">
        <v>6.94</v>
      </c>
      <c r="N313" s="4" t="s">
        <v>246</v>
      </c>
      <c r="O313" s="165">
        <v>1.8749999999999999E-2</v>
      </c>
      <c r="P313" s="166">
        <v>4.6089999999999999E-2</v>
      </c>
      <c r="R313" s="150">
        <v>40000</v>
      </c>
      <c r="S313" s="150">
        <v>3.7589999999999999</v>
      </c>
      <c r="T313" s="150">
        <v>84.495999999999995</v>
      </c>
      <c r="U313" s="150">
        <v>127.04900000000001</v>
      </c>
      <c r="W313" s="4" t="s">
        <v>37</v>
      </c>
      <c r="X313" s="166">
        <v>0</v>
      </c>
      <c r="Y313" s="166">
        <v>4.7159565126989799E-3</v>
      </c>
      <c r="Z313" s="166">
        <v>1.8971380889064699E-3</v>
      </c>
    </row>
    <row r="314" spans="1:26">
      <c r="A314" s="4" t="s">
        <v>256</v>
      </c>
      <c r="B314" s="4">
        <v>7206</v>
      </c>
      <c r="C314" s="4" t="s">
        <v>185</v>
      </c>
      <c r="D314" s="4" t="s">
        <v>247</v>
      </c>
      <c r="E314" s="4" t="s">
        <v>248</v>
      </c>
      <c r="F314" s="4" t="s">
        <v>153</v>
      </c>
      <c r="G314" s="4" t="s">
        <v>154</v>
      </c>
      <c r="H314" s="4" t="s">
        <v>155</v>
      </c>
      <c r="I314" s="4" t="s">
        <v>163</v>
      </c>
      <c r="J314" s="4" t="s">
        <v>157</v>
      </c>
      <c r="K314" s="4" t="s">
        <v>158</v>
      </c>
      <c r="L314" s="4" t="s">
        <v>159</v>
      </c>
      <c r="M314" s="150">
        <v>13.51</v>
      </c>
      <c r="N314" s="4" t="s">
        <v>249</v>
      </c>
      <c r="O314" s="165">
        <v>2.75E-2</v>
      </c>
      <c r="P314" s="166">
        <v>4.8379999999999999E-2</v>
      </c>
      <c r="R314" s="150">
        <v>36000</v>
      </c>
      <c r="S314" s="150">
        <v>3.7589999999999999</v>
      </c>
      <c r="T314" s="150">
        <v>76.775999999999996</v>
      </c>
      <c r="U314" s="150">
        <v>103.896</v>
      </c>
      <c r="W314" s="4" t="s">
        <v>37</v>
      </c>
      <c r="X314" s="166">
        <v>0</v>
      </c>
      <c r="Y314" s="166">
        <v>3.85654116870818E-3</v>
      </c>
      <c r="Z314" s="166">
        <v>1.5514119188526901E-3</v>
      </c>
    </row>
    <row r="315" spans="1:26">
      <c r="A315" s="4" t="s">
        <v>256</v>
      </c>
      <c r="B315" s="4">
        <v>7206</v>
      </c>
      <c r="C315" s="4" t="s">
        <v>185</v>
      </c>
      <c r="D315" s="4" t="s">
        <v>250</v>
      </c>
      <c r="E315" s="4" t="s">
        <v>251</v>
      </c>
      <c r="F315" s="4" t="s">
        <v>153</v>
      </c>
      <c r="G315" s="4" t="s">
        <v>154</v>
      </c>
      <c r="H315" s="4" t="s">
        <v>155</v>
      </c>
      <c r="I315" s="4" t="s">
        <v>163</v>
      </c>
      <c r="J315" s="4" t="s">
        <v>157</v>
      </c>
      <c r="K315" s="4" t="s">
        <v>158</v>
      </c>
      <c r="L315" s="4" t="s">
        <v>159</v>
      </c>
      <c r="M315" s="150">
        <v>14.19</v>
      </c>
      <c r="N315" s="4" t="s">
        <v>252</v>
      </c>
      <c r="O315" s="165">
        <v>0.03</v>
      </c>
      <c r="P315" s="166">
        <v>4.8489999999999998E-2</v>
      </c>
      <c r="R315" s="150">
        <v>95000</v>
      </c>
      <c r="S315" s="150">
        <v>3.7589999999999999</v>
      </c>
      <c r="T315" s="150">
        <v>78.266000000000005</v>
      </c>
      <c r="U315" s="150">
        <v>279.49</v>
      </c>
      <c r="W315" s="4" t="s">
        <v>37</v>
      </c>
      <c r="X315" s="166">
        <v>2.261E-3</v>
      </c>
      <c r="Y315" s="166">
        <v>1.03744924601182E-2</v>
      </c>
      <c r="Z315" s="166">
        <v>4.1734576530051797E-3</v>
      </c>
    </row>
    <row r="316" spans="1:26">
      <c r="A316" s="4" t="s">
        <v>256</v>
      </c>
      <c r="B316" s="4">
        <v>7206</v>
      </c>
      <c r="C316" s="4" t="s">
        <v>185</v>
      </c>
      <c r="D316" s="4" t="s">
        <v>253</v>
      </c>
      <c r="E316" s="4" t="s">
        <v>254</v>
      </c>
      <c r="F316" s="4" t="s">
        <v>153</v>
      </c>
      <c r="G316" s="4" t="s">
        <v>154</v>
      </c>
      <c r="H316" s="4" t="s">
        <v>155</v>
      </c>
      <c r="I316" s="4" t="s">
        <v>163</v>
      </c>
      <c r="J316" s="4" t="s">
        <v>157</v>
      </c>
      <c r="K316" s="4" t="s">
        <v>158</v>
      </c>
      <c r="L316" s="4" t="s">
        <v>159</v>
      </c>
      <c r="M316" s="150">
        <v>14.5</v>
      </c>
      <c r="N316" s="4" t="s">
        <v>255</v>
      </c>
      <c r="O316" s="165">
        <v>2.8750000000000001E-2</v>
      </c>
      <c r="P316" s="166">
        <v>4.8439999999999997E-2</v>
      </c>
      <c r="R316" s="150">
        <v>35000</v>
      </c>
      <c r="S316" s="150">
        <v>3.7589999999999999</v>
      </c>
      <c r="T316" s="150">
        <v>76.787000000000006</v>
      </c>
      <c r="U316" s="150">
        <v>101.02500000000001</v>
      </c>
      <c r="W316" s="4" t="s">
        <v>37</v>
      </c>
      <c r="X316" s="166">
        <v>9.9999999999999995E-7</v>
      </c>
      <c r="Y316" s="166">
        <v>3.7499715669419001E-3</v>
      </c>
      <c r="Z316" s="166">
        <v>1.50854102933409E-3</v>
      </c>
    </row>
    <row r="317" spans="1:26">
      <c r="A317" s="4" t="s">
        <v>256</v>
      </c>
      <c r="B317" s="4">
        <v>7207</v>
      </c>
      <c r="C317" s="4" t="s">
        <v>27</v>
      </c>
      <c r="D317" s="4" t="s">
        <v>28</v>
      </c>
      <c r="E317" s="4" t="s">
        <v>29</v>
      </c>
      <c r="F317" s="4" t="s">
        <v>49</v>
      </c>
      <c r="G317" s="4" t="s">
        <v>31</v>
      </c>
      <c r="H317" s="4" t="s">
        <v>31</v>
      </c>
      <c r="I317" s="4" t="s">
        <v>32</v>
      </c>
      <c r="J317" s="4" t="s">
        <v>33</v>
      </c>
      <c r="K317" s="4" t="s">
        <v>34</v>
      </c>
      <c r="L317" s="4" t="s">
        <v>35</v>
      </c>
      <c r="M317" s="150">
        <v>0.16200000000000001</v>
      </c>
      <c r="N317" s="4" t="s">
        <v>36</v>
      </c>
      <c r="O317" s="165">
        <v>0</v>
      </c>
      <c r="P317" s="166">
        <v>4.4420000000000001E-2</v>
      </c>
      <c r="R317" s="150">
        <v>2933027</v>
      </c>
      <c r="S317" s="150">
        <v>1</v>
      </c>
      <c r="T317" s="150">
        <v>99.3</v>
      </c>
      <c r="U317" s="150">
        <v>2912.4960000000001</v>
      </c>
      <c r="W317" s="4" t="s">
        <v>37</v>
      </c>
      <c r="X317" s="166">
        <v>4.8299999999999998E-4</v>
      </c>
      <c r="Y317" s="166">
        <v>5.76483489566176E-2</v>
      </c>
      <c r="Z317" s="166">
        <v>2.99535870875559E-2</v>
      </c>
    </row>
    <row r="318" spans="1:26">
      <c r="A318" s="4" t="s">
        <v>256</v>
      </c>
      <c r="B318" s="4">
        <v>7207</v>
      </c>
      <c r="C318" s="4" t="s">
        <v>27</v>
      </c>
      <c r="D318" s="4" t="s">
        <v>38</v>
      </c>
      <c r="E318" s="4" t="s">
        <v>39</v>
      </c>
      <c r="F318" s="4" t="s">
        <v>49</v>
      </c>
      <c r="G318" s="4" t="s">
        <v>31</v>
      </c>
      <c r="H318" s="4" t="s">
        <v>31</v>
      </c>
      <c r="I318" s="4" t="s">
        <v>32</v>
      </c>
      <c r="J318" s="4" t="s">
        <v>33</v>
      </c>
      <c r="K318" s="4" t="s">
        <v>34</v>
      </c>
      <c r="L318" s="4" t="s">
        <v>35</v>
      </c>
      <c r="M318" s="150">
        <v>0.41099999999999998</v>
      </c>
      <c r="N318" s="4" t="s">
        <v>40</v>
      </c>
      <c r="O318" s="165">
        <v>0</v>
      </c>
      <c r="P318" s="166">
        <v>4.3900000000000002E-2</v>
      </c>
      <c r="R318" s="150">
        <v>871000</v>
      </c>
      <c r="S318" s="150">
        <v>1</v>
      </c>
      <c r="T318" s="150">
        <v>98.24</v>
      </c>
      <c r="U318" s="150">
        <v>855.67</v>
      </c>
      <c r="W318" s="4" t="s">
        <v>37</v>
      </c>
      <c r="X318" s="166">
        <v>9.3999999999999994E-5</v>
      </c>
      <c r="Y318" s="166">
        <v>1.6936671848503702E-2</v>
      </c>
      <c r="Z318" s="166">
        <v>8.8001492561267103E-3</v>
      </c>
    </row>
    <row r="319" spans="1:26">
      <c r="A319" s="4" t="s">
        <v>256</v>
      </c>
      <c r="B319" s="4">
        <v>7207</v>
      </c>
      <c r="C319" s="4" t="s">
        <v>41</v>
      </c>
      <c r="D319" s="4" t="s">
        <v>42</v>
      </c>
      <c r="E319" s="4" t="s">
        <v>43</v>
      </c>
      <c r="F319" s="4" t="s">
        <v>44</v>
      </c>
      <c r="G319" s="4" t="s">
        <v>31</v>
      </c>
      <c r="H319" s="4" t="s">
        <v>31</v>
      </c>
      <c r="I319" s="4" t="s">
        <v>32</v>
      </c>
      <c r="J319" s="4" t="s">
        <v>33</v>
      </c>
      <c r="K319" s="4" t="s">
        <v>34</v>
      </c>
      <c r="L319" s="4" t="s">
        <v>35</v>
      </c>
      <c r="M319" s="150">
        <v>7.9000000000000001E-2</v>
      </c>
      <c r="N319" s="4" t="s">
        <v>45</v>
      </c>
      <c r="O319" s="165">
        <v>0.04</v>
      </c>
      <c r="P319" s="166">
        <v>4.7849999999999997E-2</v>
      </c>
      <c r="R319" s="150">
        <v>509266</v>
      </c>
      <c r="S319" s="150">
        <v>1</v>
      </c>
      <c r="T319" s="150">
        <v>145.32</v>
      </c>
      <c r="U319" s="150">
        <v>740.06500000000005</v>
      </c>
      <c r="W319" s="4" t="s">
        <v>37</v>
      </c>
      <c r="X319" s="166">
        <v>1.37E-4</v>
      </c>
      <c r="Y319" s="166">
        <v>1.46484487481652E-2</v>
      </c>
      <c r="Z319" s="166">
        <v>7.6112081823185998E-3</v>
      </c>
    </row>
    <row r="320" spans="1:26">
      <c r="A320" s="4" t="s">
        <v>256</v>
      </c>
      <c r="B320" s="4">
        <v>7207</v>
      </c>
      <c r="C320" s="4" t="s">
        <v>46</v>
      </c>
      <c r="D320" s="4" t="s">
        <v>47</v>
      </c>
      <c r="E320" s="4" t="s">
        <v>48</v>
      </c>
      <c r="F320" s="4" t="s">
        <v>49</v>
      </c>
      <c r="G320" s="4" t="s">
        <v>31</v>
      </c>
      <c r="H320" s="4" t="s">
        <v>31</v>
      </c>
      <c r="I320" s="4" t="s">
        <v>50</v>
      </c>
      <c r="J320" s="4" t="s">
        <v>33</v>
      </c>
      <c r="K320" s="4" t="s">
        <v>34</v>
      </c>
      <c r="L320" s="4" t="s">
        <v>35</v>
      </c>
      <c r="M320" s="150">
        <v>0.67400000000000004</v>
      </c>
      <c r="N320" s="4" t="s">
        <v>51</v>
      </c>
      <c r="O320" s="165">
        <v>0</v>
      </c>
      <c r="P320" s="166">
        <v>4.3360000000000003E-2</v>
      </c>
      <c r="R320" s="150">
        <v>204000</v>
      </c>
      <c r="S320" s="150">
        <v>1</v>
      </c>
      <c r="T320" s="150">
        <v>97.17</v>
      </c>
      <c r="U320" s="150">
        <v>198.227</v>
      </c>
      <c r="W320" s="4" t="s">
        <v>37</v>
      </c>
      <c r="X320" s="166">
        <v>1.7E-5</v>
      </c>
      <c r="Y320" s="166">
        <v>3.9235928497456203E-3</v>
      </c>
      <c r="Z320" s="166">
        <v>2.0386651525685301E-3</v>
      </c>
    </row>
    <row r="321" spans="1:26">
      <c r="A321" s="4" t="s">
        <v>256</v>
      </c>
      <c r="B321" s="4">
        <v>7207</v>
      </c>
      <c r="C321" s="4" t="s">
        <v>46</v>
      </c>
      <c r="D321" s="4" t="s">
        <v>52</v>
      </c>
      <c r="E321" s="4" t="s">
        <v>53</v>
      </c>
      <c r="F321" s="4" t="s">
        <v>49</v>
      </c>
      <c r="G321" s="4" t="s">
        <v>31</v>
      </c>
      <c r="H321" s="4" t="s">
        <v>31</v>
      </c>
      <c r="I321" s="4" t="s">
        <v>50</v>
      </c>
      <c r="J321" s="4" t="s">
        <v>33</v>
      </c>
      <c r="K321" s="4" t="s">
        <v>34</v>
      </c>
      <c r="L321" s="4" t="s">
        <v>35</v>
      </c>
      <c r="M321" s="150">
        <v>0.751</v>
      </c>
      <c r="N321" s="4" t="s">
        <v>54</v>
      </c>
      <c r="O321" s="165">
        <v>0</v>
      </c>
      <c r="P321" s="166">
        <v>4.2840000000000003E-2</v>
      </c>
      <c r="R321" s="150">
        <v>563000</v>
      </c>
      <c r="S321" s="150">
        <v>1</v>
      </c>
      <c r="T321" s="150">
        <v>96.87</v>
      </c>
      <c r="U321" s="150">
        <v>545.37800000000004</v>
      </c>
      <c r="W321" s="4" t="s">
        <v>37</v>
      </c>
      <c r="X321" s="166">
        <v>4.6999999999999997E-5</v>
      </c>
      <c r="Y321" s="166">
        <v>1.07949157912444E-2</v>
      </c>
      <c r="Z321" s="166">
        <v>5.6089455484527699E-3</v>
      </c>
    </row>
    <row r="322" spans="1:26">
      <c r="A322" s="4" t="s">
        <v>256</v>
      </c>
      <c r="B322" s="4">
        <v>7207</v>
      </c>
      <c r="C322" s="4" t="s">
        <v>46</v>
      </c>
      <c r="D322" s="4" t="s">
        <v>55</v>
      </c>
      <c r="E322" s="4" t="s">
        <v>56</v>
      </c>
      <c r="F322" s="4" t="s">
        <v>49</v>
      </c>
      <c r="G322" s="4" t="s">
        <v>31</v>
      </c>
      <c r="H322" s="4" t="s">
        <v>31</v>
      </c>
      <c r="I322" s="4" t="s">
        <v>32</v>
      </c>
      <c r="J322" s="4" t="s">
        <v>33</v>
      </c>
      <c r="K322" s="4" t="s">
        <v>34</v>
      </c>
      <c r="L322" s="4" t="s">
        <v>35</v>
      </c>
      <c r="M322" s="150">
        <v>0.252</v>
      </c>
      <c r="N322" s="4" t="s">
        <v>57</v>
      </c>
      <c r="O322" s="165">
        <v>0</v>
      </c>
      <c r="P322" s="166">
        <v>4.2770000000000002E-2</v>
      </c>
      <c r="R322" s="150">
        <v>517000</v>
      </c>
      <c r="S322" s="150">
        <v>1</v>
      </c>
      <c r="T322" s="150">
        <v>98.94</v>
      </c>
      <c r="U322" s="150">
        <v>511.52</v>
      </c>
      <c r="W322" s="4" t="s">
        <v>37</v>
      </c>
      <c r="X322" s="166">
        <v>2.9E-5</v>
      </c>
      <c r="Y322" s="166">
        <v>1.01247431214311E-2</v>
      </c>
      <c r="Z322" s="166">
        <v>5.2607295840361896E-3</v>
      </c>
    </row>
    <row r="323" spans="1:26">
      <c r="A323" s="4" t="s">
        <v>256</v>
      </c>
      <c r="B323" s="4">
        <v>7207</v>
      </c>
      <c r="C323" s="4" t="s">
        <v>46</v>
      </c>
      <c r="D323" s="4" t="s">
        <v>58</v>
      </c>
      <c r="E323" s="4" t="s">
        <v>59</v>
      </c>
      <c r="F323" s="4" t="s">
        <v>49</v>
      </c>
      <c r="G323" s="4" t="s">
        <v>31</v>
      </c>
      <c r="H323" s="4" t="s">
        <v>31</v>
      </c>
      <c r="I323" s="4" t="s">
        <v>32</v>
      </c>
      <c r="J323" s="4" t="s">
        <v>33</v>
      </c>
      <c r="K323" s="4" t="s">
        <v>34</v>
      </c>
      <c r="L323" s="4" t="s">
        <v>35</v>
      </c>
      <c r="M323" s="150">
        <v>0.34799999999999998</v>
      </c>
      <c r="N323" s="4" t="s">
        <v>60</v>
      </c>
      <c r="O323" s="165">
        <v>0</v>
      </c>
      <c r="P323" s="166">
        <v>4.3479999999999998E-2</v>
      </c>
      <c r="R323" s="150">
        <v>1630000</v>
      </c>
      <c r="S323" s="150">
        <v>1</v>
      </c>
      <c r="T323" s="150">
        <v>98.53</v>
      </c>
      <c r="U323" s="150">
        <v>1606.039</v>
      </c>
      <c r="W323" s="4" t="s">
        <v>37</v>
      </c>
      <c r="X323" s="166">
        <v>1.16E-4</v>
      </c>
      <c r="Y323" s="166">
        <v>3.1789057467570499E-2</v>
      </c>
      <c r="Z323" s="166">
        <v>1.6517321285345998E-2</v>
      </c>
    </row>
    <row r="324" spans="1:26">
      <c r="A324" s="4" t="s">
        <v>256</v>
      </c>
      <c r="B324" s="4">
        <v>7207</v>
      </c>
      <c r="C324" s="4" t="s">
        <v>46</v>
      </c>
      <c r="D324" s="4" t="s">
        <v>61</v>
      </c>
      <c r="E324" s="4" t="s">
        <v>62</v>
      </c>
      <c r="F324" s="4" t="s">
        <v>49</v>
      </c>
      <c r="G324" s="4" t="s">
        <v>31</v>
      </c>
      <c r="H324" s="4" t="s">
        <v>31</v>
      </c>
      <c r="I324" s="4" t="s">
        <v>32</v>
      </c>
      <c r="J324" s="4" t="s">
        <v>33</v>
      </c>
      <c r="K324" s="4" t="s">
        <v>34</v>
      </c>
      <c r="L324" s="4" t="s">
        <v>35</v>
      </c>
      <c r="M324" s="150">
        <v>0.42499999999999999</v>
      </c>
      <c r="N324" s="4" t="s">
        <v>63</v>
      </c>
      <c r="O324" s="165">
        <v>0</v>
      </c>
      <c r="P324" s="166">
        <v>4.3450000000000003E-2</v>
      </c>
      <c r="R324" s="150">
        <v>453000</v>
      </c>
      <c r="S324" s="150">
        <v>1</v>
      </c>
      <c r="T324" s="150">
        <v>98.21</v>
      </c>
      <c r="U324" s="150">
        <v>444.89100000000002</v>
      </c>
      <c r="W324" s="4" t="s">
        <v>37</v>
      </c>
      <c r="X324" s="166">
        <v>3.1999999999999999E-5</v>
      </c>
      <c r="Y324" s="166">
        <v>8.8059350380172204E-3</v>
      </c>
      <c r="Z324" s="166">
        <v>4.5754882285892404E-3</v>
      </c>
    </row>
    <row r="325" spans="1:26">
      <c r="A325" s="4" t="s">
        <v>256</v>
      </c>
      <c r="B325" s="4">
        <v>7207</v>
      </c>
      <c r="C325" s="4" t="s">
        <v>46</v>
      </c>
      <c r="D325" s="4" t="s">
        <v>64</v>
      </c>
      <c r="E325" s="4" t="s">
        <v>65</v>
      </c>
      <c r="F325" s="4" t="s">
        <v>49</v>
      </c>
      <c r="G325" s="4" t="s">
        <v>31</v>
      </c>
      <c r="H325" s="4" t="s">
        <v>31</v>
      </c>
      <c r="I325" s="4" t="s">
        <v>32</v>
      </c>
      <c r="J325" s="4" t="s">
        <v>33</v>
      </c>
      <c r="K325" s="4" t="s">
        <v>34</v>
      </c>
      <c r="L325" s="4" t="s">
        <v>35</v>
      </c>
      <c r="M325" s="150">
        <v>0.52100000000000002</v>
      </c>
      <c r="N325" s="4" t="s">
        <v>66</v>
      </c>
      <c r="O325" s="165">
        <v>0</v>
      </c>
      <c r="P325" s="166">
        <v>4.3459999999999999E-2</v>
      </c>
      <c r="R325" s="150">
        <v>183000</v>
      </c>
      <c r="S325" s="150">
        <v>1</v>
      </c>
      <c r="T325" s="150">
        <v>97.81</v>
      </c>
      <c r="U325" s="150">
        <v>178.99199999999999</v>
      </c>
      <c r="W325" s="4" t="s">
        <v>37</v>
      </c>
      <c r="X325" s="166">
        <v>1.5E-5</v>
      </c>
      <c r="Y325" s="166">
        <v>3.54287567795839E-3</v>
      </c>
      <c r="Z325" s="166">
        <v>1.8408477793522E-3</v>
      </c>
    </row>
    <row r="326" spans="1:26">
      <c r="A326" s="4" t="s">
        <v>256</v>
      </c>
      <c r="B326" s="4">
        <v>7207</v>
      </c>
      <c r="C326" s="4" t="s">
        <v>46</v>
      </c>
      <c r="D326" s="4" t="s">
        <v>67</v>
      </c>
      <c r="E326" s="4" t="s">
        <v>68</v>
      </c>
      <c r="F326" s="4" t="s">
        <v>49</v>
      </c>
      <c r="G326" s="4" t="s">
        <v>31</v>
      </c>
      <c r="H326" s="4" t="s">
        <v>31</v>
      </c>
      <c r="I326" s="4" t="s">
        <v>32</v>
      </c>
      <c r="J326" s="4" t="s">
        <v>33</v>
      </c>
      <c r="K326" s="4" t="s">
        <v>34</v>
      </c>
      <c r="L326" s="4" t="s">
        <v>35</v>
      </c>
      <c r="M326" s="150">
        <v>0.59699999999999998</v>
      </c>
      <c r="N326" s="4" t="s">
        <v>69</v>
      </c>
      <c r="O326" s="165">
        <v>0</v>
      </c>
      <c r="P326" s="166">
        <v>4.3479999999999998E-2</v>
      </c>
      <c r="R326" s="150">
        <v>236000</v>
      </c>
      <c r="S326" s="150">
        <v>1</v>
      </c>
      <c r="T326" s="150">
        <v>97.48</v>
      </c>
      <c r="U326" s="150">
        <v>230.053</v>
      </c>
      <c r="W326" s="4" t="s">
        <v>37</v>
      </c>
      <c r="X326" s="166">
        <v>2.0000000000000002E-5</v>
      </c>
      <c r="Y326" s="166">
        <v>4.5535392850207801E-3</v>
      </c>
      <c r="Z326" s="166">
        <v>2.3659799109445301E-3</v>
      </c>
    </row>
    <row r="327" spans="1:26">
      <c r="A327" s="4" t="s">
        <v>256</v>
      </c>
      <c r="B327" s="4">
        <v>7207</v>
      </c>
      <c r="C327" s="4" t="s">
        <v>46</v>
      </c>
      <c r="D327" s="4" t="s">
        <v>70</v>
      </c>
      <c r="E327" s="4" t="s">
        <v>71</v>
      </c>
      <c r="F327" s="4" t="s">
        <v>49</v>
      </c>
      <c r="G327" s="4" t="s">
        <v>31</v>
      </c>
      <c r="H327" s="4" t="s">
        <v>31</v>
      </c>
      <c r="I327" s="4" t="s">
        <v>50</v>
      </c>
      <c r="J327" s="4" t="s">
        <v>33</v>
      </c>
      <c r="K327" s="4" t="s">
        <v>34</v>
      </c>
      <c r="L327" s="4" t="s">
        <v>35</v>
      </c>
      <c r="M327" s="150">
        <v>0.84699999999999998</v>
      </c>
      <c r="N327" s="4" t="s">
        <v>72</v>
      </c>
      <c r="O327" s="165">
        <v>0</v>
      </c>
      <c r="P327" s="166">
        <v>4.3240000000000001E-2</v>
      </c>
      <c r="R327" s="150">
        <v>1630000</v>
      </c>
      <c r="S327" s="150">
        <v>1</v>
      </c>
      <c r="T327" s="150">
        <v>96.48</v>
      </c>
      <c r="U327" s="150">
        <v>1572.624</v>
      </c>
      <c r="W327" s="4" t="s">
        <v>37</v>
      </c>
      <c r="X327" s="166">
        <v>1.16E-4</v>
      </c>
      <c r="Y327" s="166">
        <v>3.11276592354734E-2</v>
      </c>
      <c r="Z327" s="166">
        <v>1.6173664443419999E-2</v>
      </c>
    </row>
    <row r="328" spans="1:26">
      <c r="A328" s="4" t="s">
        <v>256</v>
      </c>
      <c r="B328" s="4">
        <v>7207</v>
      </c>
      <c r="C328" s="4" t="s">
        <v>46</v>
      </c>
      <c r="D328" s="4" t="s">
        <v>73</v>
      </c>
      <c r="E328" s="4" t="s">
        <v>74</v>
      </c>
      <c r="F328" s="4" t="s">
        <v>49</v>
      </c>
      <c r="G328" s="4" t="s">
        <v>31</v>
      </c>
      <c r="H328" s="4" t="s">
        <v>31</v>
      </c>
      <c r="I328" s="4" t="s">
        <v>50</v>
      </c>
      <c r="J328" s="4" t="s">
        <v>33</v>
      </c>
      <c r="K328" s="4" t="s">
        <v>34</v>
      </c>
      <c r="L328" s="4" t="s">
        <v>35</v>
      </c>
      <c r="M328" s="150">
        <v>0.92300000000000004</v>
      </c>
      <c r="N328" s="4" t="s">
        <v>75</v>
      </c>
      <c r="O328" s="165">
        <v>0</v>
      </c>
      <c r="P328" s="166">
        <v>4.2849999999999999E-2</v>
      </c>
      <c r="R328" s="150">
        <v>310000</v>
      </c>
      <c r="S328" s="150">
        <v>1</v>
      </c>
      <c r="T328" s="150">
        <v>96.17</v>
      </c>
      <c r="U328" s="150">
        <v>298.12700000000001</v>
      </c>
      <c r="W328" s="4" t="s">
        <v>37</v>
      </c>
      <c r="X328" s="166">
        <v>2.5999999999999998E-5</v>
      </c>
      <c r="Y328" s="166">
        <v>5.9009627634412304E-3</v>
      </c>
      <c r="Z328" s="166">
        <v>3.0660895799145202E-3</v>
      </c>
    </row>
    <row r="329" spans="1:26">
      <c r="A329" s="4" t="s">
        <v>256</v>
      </c>
      <c r="B329" s="4">
        <v>7207</v>
      </c>
      <c r="C329" s="4" t="s">
        <v>46</v>
      </c>
      <c r="D329" s="4" t="s">
        <v>76</v>
      </c>
      <c r="E329" s="4" t="s">
        <v>77</v>
      </c>
      <c r="F329" s="4" t="s">
        <v>49</v>
      </c>
      <c r="G329" s="4" t="s">
        <v>31</v>
      </c>
      <c r="H329" s="4" t="s">
        <v>31</v>
      </c>
      <c r="I329" s="4" t="s">
        <v>32</v>
      </c>
      <c r="J329" s="4" t="s">
        <v>33</v>
      </c>
      <c r="K329" s="4" t="s">
        <v>34</v>
      </c>
      <c r="L329" s="4" t="s">
        <v>35</v>
      </c>
      <c r="M329" s="150">
        <v>3.0000000000000001E-3</v>
      </c>
      <c r="N329" s="4" t="s">
        <v>78</v>
      </c>
      <c r="O329" s="165">
        <v>0</v>
      </c>
      <c r="P329" s="166">
        <v>0.11574</v>
      </c>
      <c r="R329" s="150">
        <v>1938000</v>
      </c>
      <c r="S329" s="150">
        <v>1</v>
      </c>
      <c r="T329" s="150">
        <v>99.97</v>
      </c>
      <c r="U329" s="150">
        <v>1937.4190000000001</v>
      </c>
      <c r="W329" s="4" t="s">
        <v>37</v>
      </c>
      <c r="X329" s="166">
        <v>4.3999999999999999E-5</v>
      </c>
      <c r="Y329" s="166">
        <v>3.8348204006341001E-2</v>
      </c>
      <c r="Z329" s="166">
        <v>1.9925397503052601E-2</v>
      </c>
    </row>
    <row r="330" spans="1:26">
      <c r="A330" s="4" t="s">
        <v>256</v>
      </c>
      <c r="B330" s="4">
        <v>7207</v>
      </c>
      <c r="C330" s="4" t="s">
        <v>46</v>
      </c>
      <c r="D330" s="4" t="s">
        <v>79</v>
      </c>
      <c r="E330" s="4" t="s">
        <v>80</v>
      </c>
      <c r="F330" s="4" t="s">
        <v>49</v>
      </c>
      <c r="G330" s="4" t="s">
        <v>31</v>
      </c>
      <c r="H330" s="4" t="s">
        <v>31</v>
      </c>
      <c r="I330" s="4" t="s">
        <v>32</v>
      </c>
      <c r="J330" s="4" t="s">
        <v>33</v>
      </c>
      <c r="K330" s="4" t="s">
        <v>34</v>
      </c>
      <c r="L330" s="4" t="s">
        <v>35</v>
      </c>
      <c r="M330" s="150">
        <v>9.9000000000000005E-2</v>
      </c>
      <c r="N330" s="4" t="s">
        <v>81</v>
      </c>
      <c r="O330" s="165">
        <v>0</v>
      </c>
      <c r="P330" s="166">
        <v>4.36E-2</v>
      </c>
      <c r="R330" s="150">
        <v>3766000</v>
      </c>
      <c r="S330" s="150">
        <v>1</v>
      </c>
      <c r="T330" s="150">
        <v>99.58</v>
      </c>
      <c r="U330" s="150">
        <v>3750.183</v>
      </c>
      <c r="W330" s="4" t="s">
        <v>37</v>
      </c>
      <c r="X330" s="166">
        <v>8.6000000000000003E-5</v>
      </c>
      <c r="Y330" s="166">
        <v>7.42290670046582E-2</v>
      </c>
      <c r="Z330" s="166">
        <v>3.8568785805561598E-2</v>
      </c>
    </row>
    <row r="331" spans="1:26">
      <c r="A331" s="4" t="s">
        <v>256</v>
      </c>
      <c r="B331" s="4">
        <v>7207</v>
      </c>
      <c r="C331" s="4" t="s">
        <v>46</v>
      </c>
      <c r="D331" s="4" t="s">
        <v>82</v>
      </c>
      <c r="E331" s="4" t="s">
        <v>83</v>
      </c>
      <c r="F331" s="4" t="s">
        <v>49</v>
      </c>
      <c r="G331" s="4" t="s">
        <v>31</v>
      </c>
      <c r="H331" s="4" t="s">
        <v>31</v>
      </c>
      <c r="I331" s="4" t="s">
        <v>32</v>
      </c>
      <c r="J331" s="4" t="s">
        <v>33</v>
      </c>
      <c r="K331" s="4" t="s">
        <v>34</v>
      </c>
      <c r="L331" s="4" t="s">
        <v>35</v>
      </c>
      <c r="M331" s="150">
        <v>0.17499999999999999</v>
      </c>
      <c r="N331" s="4" t="s">
        <v>84</v>
      </c>
      <c r="O331" s="165">
        <v>0</v>
      </c>
      <c r="P331" s="166">
        <v>4.3270000000000003E-2</v>
      </c>
      <c r="R331" s="150">
        <v>616000</v>
      </c>
      <c r="S331" s="150">
        <v>1</v>
      </c>
      <c r="T331" s="150">
        <v>99.26</v>
      </c>
      <c r="U331" s="150">
        <v>611.44200000000001</v>
      </c>
      <c r="W331" s="4" t="s">
        <v>37</v>
      </c>
      <c r="X331" s="166">
        <v>1.4E-5</v>
      </c>
      <c r="Y331" s="166">
        <v>1.2102540573711599E-2</v>
      </c>
      <c r="Z331" s="166">
        <v>6.2883761567595698E-3</v>
      </c>
    </row>
    <row r="332" spans="1:26">
      <c r="A332" s="4" t="s">
        <v>256</v>
      </c>
      <c r="B332" s="4">
        <v>7207</v>
      </c>
      <c r="C332" s="4" t="s">
        <v>41</v>
      </c>
      <c r="D332" s="4" t="s">
        <v>85</v>
      </c>
      <c r="E332" s="4" t="s">
        <v>86</v>
      </c>
      <c r="F332" s="4" t="s">
        <v>44</v>
      </c>
      <c r="G332" s="4" t="s">
        <v>31</v>
      </c>
      <c r="H332" s="4" t="s">
        <v>31</v>
      </c>
      <c r="I332" s="4" t="s">
        <v>32</v>
      </c>
      <c r="J332" s="4" t="s">
        <v>33</v>
      </c>
      <c r="K332" s="4" t="s">
        <v>34</v>
      </c>
      <c r="L332" s="4" t="s">
        <v>35</v>
      </c>
      <c r="M332" s="150">
        <v>2.89</v>
      </c>
      <c r="N332" s="4" t="s">
        <v>87</v>
      </c>
      <c r="O332" s="165">
        <v>7.4999999999999997E-3</v>
      </c>
      <c r="P332" s="166">
        <v>1.7010000000000001E-2</v>
      </c>
      <c r="R332" s="150">
        <v>1151000</v>
      </c>
      <c r="S332" s="150">
        <v>1</v>
      </c>
      <c r="T332" s="150">
        <v>111.66</v>
      </c>
      <c r="U332" s="150">
        <v>1285.2070000000001</v>
      </c>
      <c r="W332" s="4" t="s">
        <v>37</v>
      </c>
      <c r="X332" s="166">
        <v>5.1999999999999997E-5</v>
      </c>
      <c r="Y332" s="166">
        <v>2.5438676436313701E-2</v>
      </c>
      <c r="Z332" s="166">
        <v>1.3217717832659801E-2</v>
      </c>
    </row>
    <row r="333" spans="1:26">
      <c r="A333" s="4" t="s">
        <v>256</v>
      </c>
      <c r="B333" s="4">
        <v>7207</v>
      </c>
      <c r="C333" s="4" t="s">
        <v>41</v>
      </c>
      <c r="D333" s="4" t="s">
        <v>88</v>
      </c>
      <c r="E333" s="4" t="s">
        <v>89</v>
      </c>
      <c r="F333" s="4" t="s">
        <v>44</v>
      </c>
      <c r="G333" s="4" t="s">
        <v>31</v>
      </c>
      <c r="H333" s="4" t="s">
        <v>31</v>
      </c>
      <c r="I333" s="4" t="s">
        <v>32</v>
      </c>
      <c r="J333" s="4" t="s">
        <v>33</v>
      </c>
      <c r="K333" s="4" t="s">
        <v>34</v>
      </c>
      <c r="L333" s="4" t="s">
        <v>35</v>
      </c>
      <c r="M333" s="150">
        <v>1.3240000000000001</v>
      </c>
      <c r="N333" s="4" t="s">
        <v>90</v>
      </c>
      <c r="O333" s="165">
        <v>7.4999999999999997E-3</v>
      </c>
      <c r="P333" s="166">
        <v>1.508E-2</v>
      </c>
      <c r="R333" s="150">
        <v>4040964</v>
      </c>
      <c r="S333" s="150">
        <v>1</v>
      </c>
      <c r="T333" s="150">
        <v>113.49</v>
      </c>
      <c r="U333" s="150">
        <v>4586.09</v>
      </c>
      <c r="W333" s="4" t="s">
        <v>37</v>
      </c>
      <c r="X333" s="166">
        <v>1.8599999999999999E-4</v>
      </c>
      <c r="Y333" s="166">
        <v>9.0774557745766496E-2</v>
      </c>
      <c r="Z333" s="166">
        <v>4.7165680717384403E-2</v>
      </c>
    </row>
    <row r="334" spans="1:26">
      <c r="A334" s="4" t="s">
        <v>256</v>
      </c>
      <c r="B334" s="4">
        <v>7207</v>
      </c>
      <c r="C334" s="4" t="s">
        <v>41</v>
      </c>
      <c r="D334" s="4" t="s">
        <v>91</v>
      </c>
      <c r="E334" s="4" t="s">
        <v>92</v>
      </c>
      <c r="F334" s="4" t="s">
        <v>44</v>
      </c>
      <c r="G334" s="4" t="s">
        <v>31</v>
      </c>
      <c r="H334" s="4" t="s">
        <v>31</v>
      </c>
      <c r="I334" s="4" t="s">
        <v>32</v>
      </c>
      <c r="J334" s="4" t="s">
        <v>33</v>
      </c>
      <c r="K334" s="4" t="s">
        <v>34</v>
      </c>
      <c r="L334" s="4" t="s">
        <v>35</v>
      </c>
      <c r="M334" s="150">
        <v>7.3849999999999998</v>
      </c>
      <c r="N334" s="4" t="s">
        <v>93</v>
      </c>
      <c r="O334" s="165">
        <v>1E-3</v>
      </c>
      <c r="P334" s="166">
        <v>2.213E-2</v>
      </c>
      <c r="R334" s="150">
        <v>885755</v>
      </c>
      <c r="S334" s="150">
        <v>1</v>
      </c>
      <c r="T334" s="150">
        <v>97.65</v>
      </c>
      <c r="U334" s="150">
        <v>864.94</v>
      </c>
      <c r="W334" s="4" t="s">
        <v>37</v>
      </c>
      <c r="X334" s="166">
        <v>2.9E-5</v>
      </c>
      <c r="Y334" s="166">
        <v>1.71201444405484E-2</v>
      </c>
      <c r="Z334" s="166">
        <v>8.8954800394615095E-3</v>
      </c>
    </row>
    <row r="335" spans="1:26">
      <c r="A335" s="4" t="s">
        <v>256</v>
      </c>
      <c r="B335" s="4">
        <v>7207</v>
      </c>
      <c r="C335" s="4" t="s">
        <v>94</v>
      </c>
      <c r="D335" s="4" t="s">
        <v>95</v>
      </c>
      <c r="E335" s="4" t="s">
        <v>96</v>
      </c>
      <c r="F335" s="4" t="s">
        <v>97</v>
      </c>
      <c r="G335" s="4" t="s">
        <v>31</v>
      </c>
      <c r="H335" s="4" t="s">
        <v>31</v>
      </c>
      <c r="I335" s="4" t="s">
        <v>32</v>
      </c>
      <c r="J335" s="4" t="s">
        <v>33</v>
      </c>
      <c r="K335" s="4" t="s">
        <v>34</v>
      </c>
      <c r="L335" s="4" t="s">
        <v>35</v>
      </c>
      <c r="M335" s="150">
        <v>4.0140000000000002</v>
      </c>
      <c r="N335" s="4" t="s">
        <v>98</v>
      </c>
      <c r="O335" s="165">
        <v>2.2499999999999999E-2</v>
      </c>
      <c r="P335" s="166">
        <v>4.6309999999999997E-2</v>
      </c>
      <c r="R335" s="150">
        <v>1598351</v>
      </c>
      <c r="S335" s="150">
        <v>1</v>
      </c>
      <c r="T335" s="150">
        <v>92.73</v>
      </c>
      <c r="U335" s="150">
        <v>1482.1510000000001</v>
      </c>
      <c r="W335" s="4" t="s">
        <v>37</v>
      </c>
      <c r="X335" s="166">
        <v>5.1999999999999997E-5</v>
      </c>
      <c r="Y335" s="166">
        <v>2.93368838322388E-2</v>
      </c>
      <c r="Z335" s="166">
        <v>1.52431929214098E-2</v>
      </c>
    </row>
    <row r="336" spans="1:26">
      <c r="A336" s="4" t="s">
        <v>256</v>
      </c>
      <c r="B336" s="4">
        <v>7207</v>
      </c>
      <c r="C336" s="4" t="s">
        <v>94</v>
      </c>
      <c r="D336" s="4" t="s">
        <v>99</v>
      </c>
      <c r="E336" s="4" t="s">
        <v>100</v>
      </c>
      <c r="F336" s="4" t="s">
        <v>97</v>
      </c>
      <c r="G336" s="4" t="s">
        <v>31</v>
      </c>
      <c r="H336" s="4" t="s">
        <v>31</v>
      </c>
      <c r="I336" s="4" t="s">
        <v>32</v>
      </c>
      <c r="J336" s="4" t="s">
        <v>33</v>
      </c>
      <c r="K336" s="4" t="s">
        <v>34</v>
      </c>
      <c r="L336" s="4" t="s">
        <v>35</v>
      </c>
      <c r="M336" s="150">
        <v>3.0680000000000001</v>
      </c>
      <c r="N336" s="4" t="s">
        <v>101</v>
      </c>
      <c r="O336" s="165">
        <v>3.7499999999999999E-2</v>
      </c>
      <c r="P336" s="166">
        <v>4.5749999999999999E-2</v>
      </c>
      <c r="R336" s="150">
        <v>651000</v>
      </c>
      <c r="S336" s="150">
        <v>1</v>
      </c>
      <c r="T336" s="150">
        <v>99.11</v>
      </c>
      <c r="U336" s="150">
        <v>645.20600000000002</v>
      </c>
      <c r="W336" s="4" t="s">
        <v>37</v>
      </c>
      <c r="X336" s="166">
        <v>6.3E-5</v>
      </c>
      <c r="Y336" s="166">
        <v>1.27708566176332E-2</v>
      </c>
      <c r="Z336" s="166">
        <v>6.6356274343058004E-3</v>
      </c>
    </row>
    <row r="337" spans="1:26">
      <c r="A337" s="4" t="s">
        <v>256</v>
      </c>
      <c r="B337" s="4">
        <v>7207</v>
      </c>
      <c r="C337" s="4" t="s">
        <v>94</v>
      </c>
      <c r="D337" s="4" t="s">
        <v>102</v>
      </c>
      <c r="E337" s="4" t="s">
        <v>103</v>
      </c>
      <c r="F337" s="4" t="s">
        <v>97</v>
      </c>
      <c r="G337" s="4" t="s">
        <v>31</v>
      </c>
      <c r="H337" s="4" t="s">
        <v>31</v>
      </c>
      <c r="I337" s="4" t="s">
        <v>32</v>
      </c>
      <c r="J337" s="4" t="s">
        <v>33</v>
      </c>
      <c r="K337" s="4" t="s">
        <v>34</v>
      </c>
      <c r="L337" s="4" t="s">
        <v>35</v>
      </c>
      <c r="M337" s="150">
        <v>1.6519999999999999</v>
      </c>
      <c r="N337" s="4" t="s">
        <v>104</v>
      </c>
      <c r="O337" s="165">
        <v>5.0000000000000001E-3</v>
      </c>
      <c r="P337" s="166">
        <v>4.4010000000000001E-2</v>
      </c>
      <c r="R337" s="150">
        <v>525000</v>
      </c>
      <c r="S337" s="150">
        <v>1</v>
      </c>
      <c r="T337" s="150">
        <v>94.09</v>
      </c>
      <c r="U337" s="150">
        <v>493.97300000000001</v>
      </c>
      <c r="W337" s="4" t="s">
        <v>37</v>
      </c>
      <c r="X337" s="166">
        <v>1.9000000000000001E-5</v>
      </c>
      <c r="Y337" s="166">
        <v>9.7774214635506698E-3</v>
      </c>
      <c r="Z337" s="166">
        <v>5.0802642330762503E-3</v>
      </c>
    </row>
    <row r="338" spans="1:26">
      <c r="A338" s="4" t="s">
        <v>256</v>
      </c>
      <c r="B338" s="4">
        <v>7207</v>
      </c>
      <c r="C338" s="4" t="s">
        <v>94</v>
      </c>
      <c r="D338" s="4" t="s">
        <v>108</v>
      </c>
      <c r="E338" s="4" t="s">
        <v>109</v>
      </c>
      <c r="F338" s="4" t="s">
        <v>97</v>
      </c>
      <c r="G338" s="4" t="s">
        <v>31</v>
      </c>
      <c r="H338" s="4" t="s">
        <v>31</v>
      </c>
      <c r="I338" s="4" t="s">
        <v>32</v>
      </c>
      <c r="J338" s="4" t="s">
        <v>33</v>
      </c>
      <c r="K338" s="4" t="s">
        <v>34</v>
      </c>
      <c r="L338" s="4" t="s">
        <v>35</v>
      </c>
      <c r="M338" s="150">
        <v>2.6840000000000002</v>
      </c>
      <c r="N338" s="4" t="s">
        <v>110</v>
      </c>
      <c r="O338" s="165">
        <v>0.02</v>
      </c>
      <c r="P338" s="166">
        <v>4.487E-2</v>
      </c>
      <c r="R338" s="150">
        <v>1253787</v>
      </c>
      <c r="S338" s="150">
        <v>1</v>
      </c>
      <c r="T338" s="150">
        <v>94.2</v>
      </c>
      <c r="U338" s="150">
        <v>1181.067</v>
      </c>
      <c r="W338" s="4" t="s">
        <v>37</v>
      </c>
      <c r="X338" s="166">
        <v>4.8999999999999998E-5</v>
      </c>
      <c r="Y338" s="166">
        <v>2.3377401164839301E-2</v>
      </c>
      <c r="Z338" s="166">
        <v>1.2146696901912999E-2</v>
      </c>
    </row>
    <row r="339" spans="1:26">
      <c r="A339" s="4" t="s">
        <v>256</v>
      </c>
      <c r="B339" s="4">
        <v>7207</v>
      </c>
      <c r="C339" s="4" t="s">
        <v>94</v>
      </c>
      <c r="D339" s="4" t="s">
        <v>111</v>
      </c>
      <c r="E339" s="4" t="s">
        <v>112</v>
      </c>
      <c r="F339" s="4" t="s">
        <v>97</v>
      </c>
      <c r="G339" s="4" t="s">
        <v>31</v>
      </c>
      <c r="H339" s="4" t="s">
        <v>31</v>
      </c>
      <c r="I339" s="4" t="s">
        <v>32</v>
      </c>
      <c r="J339" s="4" t="s">
        <v>33</v>
      </c>
      <c r="K339" s="4" t="s">
        <v>34</v>
      </c>
      <c r="L339" s="4" t="s">
        <v>35</v>
      </c>
      <c r="M339" s="150">
        <v>8.7520000000000007</v>
      </c>
      <c r="N339" s="4" t="s">
        <v>113</v>
      </c>
      <c r="O339" s="165">
        <v>0.04</v>
      </c>
      <c r="P339" s="166">
        <v>5.0720000000000001E-2</v>
      </c>
      <c r="R339" s="150">
        <v>220000</v>
      </c>
      <c r="S339" s="150">
        <v>1</v>
      </c>
      <c r="T339" s="150">
        <v>92.5</v>
      </c>
      <c r="U339" s="150">
        <v>203.5</v>
      </c>
      <c r="W339" s="4" t="s">
        <v>37</v>
      </c>
      <c r="X339" s="166">
        <v>2.0000000000000002E-5</v>
      </c>
      <c r="Y339" s="166">
        <v>4.0279676861213198E-3</v>
      </c>
      <c r="Z339" s="166">
        <v>2.0928974212755099E-3</v>
      </c>
    </row>
    <row r="340" spans="1:26">
      <c r="A340" s="4" t="s">
        <v>256</v>
      </c>
      <c r="B340" s="4">
        <v>7207</v>
      </c>
      <c r="C340" s="4" t="s">
        <v>94</v>
      </c>
      <c r="D340" s="4" t="s">
        <v>114</v>
      </c>
      <c r="E340" s="4" t="s">
        <v>115</v>
      </c>
      <c r="F340" s="4" t="s">
        <v>97</v>
      </c>
      <c r="G340" s="4" t="s">
        <v>31</v>
      </c>
      <c r="H340" s="4" t="s">
        <v>31</v>
      </c>
      <c r="I340" s="4" t="s">
        <v>32</v>
      </c>
      <c r="J340" s="4" t="s">
        <v>33</v>
      </c>
      <c r="K340" s="4" t="s">
        <v>34</v>
      </c>
      <c r="L340" s="4" t="s">
        <v>35</v>
      </c>
      <c r="M340" s="150">
        <v>14.472</v>
      </c>
      <c r="N340" s="4" t="s">
        <v>116</v>
      </c>
      <c r="O340" s="165">
        <v>3.7499999999999999E-2</v>
      </c>
      <c r="P340" s="166">
        <v>5.4850000000000003E-2</v>
      </c>
      <c r="R340" s="150">
        <v>640959</v>
      </c>
      <c r="S340" s="150">
        <v>1</v>
      </c>
      <c r="T340" s="150">
        <v>78.790000000000006</v>
      </c>
      <c r="U340" s="150">
        <v>505.012</v>
      </c>
      <c r="W340" s="4" t="s">
        <v>37</v>
      </c>
      <c r="X340" s="166">
        <v>2.4000000000000001E-5</v>
      </c>
      <c r="Y340" s="166">
        <v>9.9959232934022108E-3</v>
      </c>
      <c r="Z340" s="166">
        <v>5.1937959075769998E-3</v>
      </c>
    </row>
    <row r="341" spans="1:26">
      <c r="A341" s="4" t="s">
        <v>256</v>
      </c>
      <c r="B341" s="4">
        <v>7207</v>
      </c>
      <c r="C341" s="4" t="s">
        <v>94</v>
      </c>
      <c r="D341" s="4" t="s">
        <v>117</v>
      </c>
      <c r="E341" s="4" t="s">
        <v>118</v>
      </c>
      <c r="F341" s="4" t="s">
        <v>97</v>
      </c>
      <c r="G341" s="4" t="s">
        <v>31</v>
      </c>
      <c r="H341" s="4" t="s">
        <v>31</v>
      </c>
      <c r="I341" s="4" t="s">
        <v>32</v>
      </c>
      <c r="J341" s="4" t="s">
        <v>33</v>
      </c>
      <c r="K341" s="4" t="s">
        <v>34</v>
      </c>
      <c r="L341" s="4" t="s">
        <v>35</v>
      </c>
      <c r="M341" s="150">
        <v>1.147</v>
      </c>
      <c r="N341" s="4" t="s">
        <v>119</v>
      </c>
      <c r="O341" s="165">
        <v>1.7500000000000002E-2</v>
      </c>
      <c r="P341" s="166">
        <v>4.3049999999999998E-2</v>
      </c>
      <c r="R341" s="150">
        <v>2454000</v>
      </c>
      <c r="S341" s="150">
        <v>1</v>
      </c>
      <c r="T341" s="150">
        <v>98.7</v>
      </c>
      <c r="U341" s="150">
        <v>2422.098</v>
      </c>
      <c r="W341" s="4" t="s">
        <v>37</v>
      </c>
      <c r="X341" s="166">
        <v>1.03E-4</v>
      </c>
      <c r="Y341" s="166">
        <v>4.7941682931788999E-2</v>
      </c>
      <c r="Z341" s="166">
        <v>2.4910086772857901E-2</v>
      </c>
    </row>
    <row r="342" spans="1:26">
      <c r="A342" s="4" t="s">
        <v>256</v>
      </c>
      <c r="B342" s="4">
        <v>7207</v>
      </c>
      <c r="C342" s="4" t="s">
        <v>94</v>
      </c>
      <c r="D342" s="4" t="s">
        <v>120</v>
      </c>
      <c r="E342" s="4" t="s">
        <v>121</v>
      </c>
      <c r="F342" s="4" t="s">
        <v>97</v>
      </c>
      <c r="G342" s="4" t="s">
        <v>31</v>
      </c>
      <c r="H342" s="4" t="s">
        <v>31</v>
      </c>
      <c r="I342" s="4" t="s">
        <v>32</v>
      </c>
      <c r="J342" s="4" t="s">
        <v>33</v>
      </c>
      <c r="K342" s="4" t="s">
        <v>34</v>
      </c>
      <c r="L342" s="4" t="s">
        <v>35</v>
      </c>
      <c r="M342" s="150">
        <v>16.815999999999999</v>
      </c>
      <c r="N342" s="4" t="s">
        <v>122</v>
      </c>
      <c r="O342" s="165">
        <v>2.8000000000000001E-2</v>
      </c>
      <c r="P342" s="166">
        <v>5.57E-2</v>
      </c>
      <c r="R342" s="150">
        <v>404000</v>
      </c>
      <c r="S342" s="150">
        <v>1</v>
      </c>
      <c r="T342" s="150">
        <v>62.6</v>
      </c>
      <c r="U342" s="150">
        <v>252.904</v>
      </c>
      <c r="W342" s="4" t="s">
        <v>37</v>
      </c>
      <c r="X342" s="166">
        <v>2.4000000000000001E-5</v>
      </c>
      <c r="Y342" s="166">
        <v>5.0058434382841497E-3</v>
      </c>
      <c r="Z342" s="166">
        <v>2.6009932650135699E-3</v>
      </c>
    </row>
    <row r="343" spans="1:26">
      <c r="A343" s="4" t="s">
        <v>256</v>
      </c>
      <c r="B343" s="4">
        <v>7207</v>
      </c>
      <c r="C343" s="4" t="s">
        <v>41</v>
      </c>
      <c r="D343" s="4" t="s">
        <v>126</v>
      </c>
      <c r="E343" s="4" t="s">
        <v>127</v>
      </c>
      <c r="F343" s="4" t="s">
        <v>44</v>
      </c>
      <c r="G343" s="4" t="s">
        <v>31</v>
      </c>
      <c r="H343" s="4" t="s">
        <v>31</v>
      </c>
      <c r="I343" s="4" t="s">
        <v>32</v>
      </c>
      <c r="J343" s="4" t="s">
        <v>33</v>
      </c>
      <c r="K343" s="4" t="s">
        <v>34</v>
      </c>
      <c r="L343" s="4" t="s">
        <v>35</v>
      </c>
      <c r="M343" s="150">
        <v>4.8630000000000004</v>
      </c>
      <c r="N343" s="4" t="s">
        <v>128</v>
      </c>
      <c r="O343" s="165">
        <v>5.0000000000000001E-3</v>
      </c>
      <c r="P343" s="166">
        <v>1.9820000000000001E-2</v>
      </c>
      <c r="R343" s="150">
        <v>3910459</v>
      </c>
      <c r="S343" s="150">
        <v>1</v>
      </c>
      <c r="T343" s="150">
        <v>105.85</v>
      </c>
      <c r="U343" s="150">
        <v>4139.2209999999995</v>
      </c>
      <c r="W343" s="4" t="s">
        <v>37</v>
      </c>
      <c r="X343" s="166">
        <v>1.6200000000000001E-4</v>
      </c>
      <c r="Y343" s="166">
        <v>8.1929473393422894E-2</v>
      </c>
      <c r="Z343" s="166">
        <v>4.2569850841249E-2</v>
      </c>
    </row>
    <row r="344" spans="1:26">
      <c r="A344" s="4" t="s">
        <v>256</v>
      </c>
      <c r="B344" s="4">
        <v>7207</v>
      </c>
      <c r="C344" s="4" t="s">
        <v>41</v>
      </c>
      <c r="D344" s="4" t="s">
        <v>129</v>
      </c>
      <c r="E344" s="4" t="s">
        <v>130</v>
      </c>
      <c r="F344" s="4" t="s">
        <v>44</v>
      </c>
      <c r="G344" s="4" t="s">
        <v>31</v>
      </c>
      <c r="H344" s="4" t="s">
        <v>31</v>
      </c>
      <c r="I344" s="4" t="s">
        <v>32</v>
      </c>
      <c r="J344" s="4" t="s">
        <v>33</v>
      </c>
      <c r="K344" s="4" t="s">
        <v>34</v>
      </c>
      <c r="L344" s="4" t="s">
        <v>35</v>
      </c>
      <c r="M344" s="150">
        <v>2.0760000000000001</v>
      </c>
      <c r="N344" s="4" t="s">
        <v>131</v>
      </c>
      <c r="O344" s="165">
        <v>1E-3</v>
      </c>
      <c r="P344" s="166">
        <v>1.618E-2</v>
      </c>
      <c r="R344" s="150">
        <v>2473701</v>
      </c>
      <c r="S344" s="150">
        <v>1</v>
      </c>
      <c r="T344" s="150">
        <v>110.2</v>
      </c>
      <c r="U344" s="150">
        <v>2726.0189999999998</v>
      </c>
      <c r="W344" s="4" t="s">
        <v>37</v>
      </c>
      <c r="X344" s="166">
        <v>1.22E-4</v>
      </c>
      <c r="Y344" s="166">
        <v>5.3957319104790298E-2</v>
      </c>
      <c r="Z344" s="166">
        <v>2.8035759671671399E-2</v>
      </c>
    </row>
    <row r="345" spans="1:26">
      <c r="A345" s="4" t="s">
        <v>256</v>
      </c>
      <c r="B345" s="4">
        <v>7207</v>
      </c>
      <c r="C345" s="4" t="s">
        <v>41</v>
      </c>
      <c r="D345" s="4" t="s">
        <v>132</v>
      </c>
      <c r="E345" s="4" t="s">
        <v>133</v>
      </c>
      <c r="F345" s="4" t="s">
        <v>44</v>
      </c>
      <c r="G345" s="4" t="s">
        <v>31</v>
      </c>
      <c r="H345" s="4" t="s">
        <v>31</v>
      </c>
      <c r="I345" s="4" t="s">
        <v>32</v>
      </c>
      <c r="J345" s="4" t="s">
        <v>33</v>
      </c>
      <c r="K345" s="4" t="s">
        <v>34</v>
      </c>
      <c r="L345" s="4" t="s">
        <v>35</v>
      </c>
      <c r="M345" s="150">
        <v>4.2240000000000002</v>
      </c>
      <c r="N345" s="4" t="s">
        <v>134</v>
      </c>
      <c r="O345" s="165">
        <v>1.0999999999999999E-2</v>
      </c>
      <c r="P345" s="166">
        <v>1.9290000000000002E-2</v>
      </c>
      <c r="R345" s="150">
        <v>1435000</v>
      </c>
      <c r="S345" s="150">
        <v>1</v>
      </c>
      <c r="T345" s="150">
        <v>99.98</v>
      </c>
      <c r="U345" s="150">
        <v>1434.713</v>
      </c>
      <c r="W345" s="4" t="s">
        <v>37</v>
      </c>
      <c r="X345" s="166">
        <v>9.1000000000000003E-5</v>
      </c>
      <c r="Y345" s="166">
        <v>2.83979243383694E-2</v>
      </c>
      <c r="Z345" s="166">
        <v>1.47553176313044E-2</v>
      </c>
    </row>
    <row r="346" spans="1:26">
      <c r="A346" s="4" t="s">
        <v>256</v>
      </c>
      <c r="B346" s="4">
        <v>7207</v>
      </c>
      <c r="C346" s="4" t="s">
        <v>41</v>
      </c>
      <c r="D346" s="4" t="s">
        <v>135</v>
      </c>
      <c r="E346" s="4" t="s">
        <v>136</v>
      </c>
      <c r="F346" s="4" t="s">
        <v>44</v>
      </c>
      <c r="G346" s="4" t="s">
        <v>31</v>
      </c>
      <c r="H346" s="4" t="s">
        <v>31</v>
      </c>
      <c r="I346" s="4" t="s">
        <v>50</v>
      </c>
      <c r="J346" s="4" t="s">
        <v>33</v>
      </c>
      <c r="K346" s="4" t="s">
        <v>34</v>
      </c>
      <c r="L346" s="4" t="s">
        <v>35</v>
      </c>
      <c r="M346" s="150">
        <v>8.6769999999999996</v>
      </c>
      <c r="N346" s="4" t="s">
        <v>137</v>
      </c>
      <c r="O346" s="165">
        <v>1.6E-2</v>
      </c>
      <c r="P346" s="166">
        <v>2.307E-2</v>
      </c>
      <c r="R346" s="150">
        <v>115000</v>
      </c>
      <c r="S346" s="150">
        <v>1</v>
      </c>
      <c r="T346" s="150">
        <v>96.6</v>
      </c>
      <c r="U346" s="150">
        <v>111.09</v>
      </c>
      <c r="W346" s="4" t="s">
        <v>37</v>
      </c>
      <c r="X346" s="166">
        <v>2.0000000000000002E-5</v>
      </c>
      <c r="Y346" s="166">
        <v>2.19885469410917E-3</v>
      </c>
      <c r="Z346" s="166">
        <v>1.14250601734396E-3</v>
      </c>
    </row>
    <row r="347" spans="1:26">
      <c r="A347" s="4" t="s">
        <v>256</v>
      </c>
      <c r="B347" s="4">
        <v>7207</v>
      </c>
      <c r="C347" s="4" t="s">
        <v>27</v>
      </c>
      <c r="D347" s="4" t="s">
        <v>138</v>
      </c>
      <c r="E347" s="4" t="s">
        <v>139</v>
      </c>
      <c r="F347" s="4" t="s">
        <v>30</v>
      </c>
      <c r="G347" s="4" t="s">
        <v>31</v>
      </c>
      <c r="H347" s="4" t="s">
        <v>31</v>
      </c>
      <c r="I347" s="4" t="s">
        <v>50</v>
      </c>
      <c r="J347" s="4" t="s">
        <v>33</v>
      </c>
      <c r="K347" s="4" t="s">
        <v>34</v>
      </c>
      <c r="L347" s="4" t="s">
        <v>35</v>
      </c>
      <c r="M347" s="150">
        <v>0.66</v>
      </c>
      <c r="N347" s="4" t="s">
        <v>140</v>
      </c>
      <c r="O347" s="165">
        <v>0</v>
      </c>
      <c r="P347" s="166">
        <v>4.428E-2</v>
      </c>
      <c r="R347" s="150">
        <v>1938000</v>
      </c>
      <c r="S347" s="150">
        <v>1</v>
      </c>
      <c r="T347" s="150">
        <v>97.14</v>
      </c>
      <c r="U347" s="150">
        <v>1882.5730000000001</v>
      </c>
      <c r="W347" s="4" t="s">
        <v>37</v>
      </c>
      <c r="X347" s="166">
        <v>2.42E-4</v>
      </c>
      <c r="Y347" s="166">
        <v>3.7262624159007399E-2</v>
      </c>
      <c r="Z347" s="166">
        <v>1.93613395363262E-2</v>
      </c>
    </row>
    <row r="348" spans="1:26">
      <c r="A348" s="4" t="s">
        <v>256</v>
      </c>
      <c r="B348" s="4">
        <v>7207</v>
      </c>
      <c r="C348" s="4" t="s">
        <v>94</v>
      </c>
      <c r="D348" s="4" t="s">
        <v>141</v>
      </c>
      <c r="E348" s="4" t="s">
        <v>142</v>
      </c>
      <c r="F348" s="4" t="s">
        <v>97</v>
      </c>
      <c r="G348" s="4" t="s">
        <v>31</v>
      </c>
      <c r="H348" s="4" t="s">
        <v>31</v>
      </c>
      <c r="I348" s="4" t="s">
        <v>32</v>
      </c>
      <c r="J348" s="4" t="s">
        <v>33</v>
      </c>
      <c r="K348" s="4" t="s">
        <v>34</v>
      </c>
      <c r="L348" s="4" t="s">
        <v>35</v>
      </c>
      <c r="M348" s="150">
        <v>0.82699999999999996</v>
      </c>
      <c r="N348" s="4" t="s">
        <v>143</v>
      </c>
      <c r="O348" s="165">
        <v>5.0000000000000001E-3</v>
      </c>
      <c r="P348" s="166">
        <v>3.8719999999999997E-2</v>
      </c>
      <c r="R348" s="150">
        <v>2150000</v>
      </c>
      <c r="S348" s="150">
        <v>1</v>
      </c>
      <c r="T348" s="150">
        <v>97.25</v>
      </c>
      <c r="U348" s="150">
        <v>2090.875</v>
      </c>
      <c r="W348" s="4" t="s">
        <v>37</v>
      </c>
      <c r="X348" s="166">
        <v>9.2E-5</v>
      </c>
      <c r="Y348" s="166">
        <v>4.13856360477588E-2</v>
      </c>
      <c r="Z348" s="166">
        <v>2.15036211091373E-2</v>
      </c>
    </row>
    <row r="349" spans="1:26">
      <c r="A349" s="4" t="s">
        <v>256</v>
      </c>
      <c r="B349" s="4">
        <v>7207</v>
      </c>
      <c r="C349" s="4" t="s">
        <v>94</v>
      </c>
      <c r="D349" s="4" t="s">
        <v>144</v>
      </c>
      <c r="E349" s="4" t="s">
        <v>145</v>
      </c>
      <c r="F349" s="4" t="s">
        <v>97</v>
      </c>
      <c r="G349" s="4" t="s">
        <v>31</v>
      </c>
      <c r="H349" s="4" t="s">
        <v>31</v>
      </c>
      <c r="I349" s="4" t="s">
        <v>32</v>
      </c>
      <c r="J349" s="4" t="s">
        <v>33</v>
      </c>
      <c r="K349" s="4" t="s">
        <v>34</v>
      </c>
      <c r="L349" s="4" t="s">
        <v>35</v>
      </c>
      <c r="M349" s="150">
        <v>11.494</v>
      </c>
      <c r="N349" s="4" t="s">
        <v>146</v>
      </c>
      <c r="O349" s="165">
        <v>1.4999999999999999E-2</v>
      </c>
      <c r="P349" s="166">
        <v>5.2260000000000001E-2</v>
      </c>
      <c r="R349" s="150">
        <v>2002094</v>
      </c>
      <c r="S349" s="150">
        <v>1</v>
      </c>
      <c r="T349" s="150">
        <v>65.83</v>
      </c>
      <c r="U349" s="150">
        <v>1317.9780000000001</v>
      </c>
      <c r="W349" s="4" t="s">
        <v>37</v>
      </c>
      <c r="X349" s="166">
        <v>6.3E-5</v>
      </c>
      <c r="Y349" s="166">
        <v>2.6087345106874101E-2</v>
      </c>
      <c r="Z349" s="166">
        <v>1.3554760503720901E-2</v>
      </c>
    </row>
    <row r="350" spans="1:26">
      <c r="A350" s="4" t="s">
        <v>256</v>
      </c>
      <c r="B350" s="4">
        <v>7207</v>
      </c>
      <c r="C350" s="4" t="s">
        <v>94</v>
      </c>
      <c r="D350" s="4" t="s">
        <v>147</v>
      </c>
      <c r="E350" s="4" t="s">
        <v>148</v>
      </c>
      <c r="F350" s="4" t="s">
        <v>97</v>
      </c>
      <c r="G350" s="4" t="s">
        <v>31</v>
      </c>
      <c r="H350" s="4" t="s">
        <v>31</v>
      </c>
      <c r="I350" s="4" t="s">
        <v>32</v>
      </c>
      <c r="J350" s="4" t="s">
        <v>33</v>
      </c>
      <c r="K350" s="4" t="s">
        <v>34</v>
      </c>
      <c r="L350" s="4" t="s">
        <v>35</v>
      </c>
      <c r="M350" s="150">
        <v>5.5810000000000004</v>
      </c>
      <c r="N350" s="4" t="s">
        <v>149</v>
      </c>
      <c r="O350" s="165">
        <v>0.01</v>
      </c>
      <c r="P350" s="166">
        <v>4.777E-2</v>
      </c>
      <c r="R350" s="150">
        <v>35000</v>
      </c>
      <c r="S350" s="150">
        <v>1</v>
      </c>
      <c r="T350" s="150">
        <v>81.73</v>
      </c>
      <c r="U350" s="150">
        <v>28.605</v>
      </c>
      <c r="W350" s="4" t="s">
        <v>37</v>
      </c>
      <c r="X350" s="166">
        <v>9.9999999999999995E-7</v>
      </c>
      <c r="Y350" s="166">
        <v>5.6620161987883696E-4</v>
      </c>
      <c r="Z350" s="166">
        <v>2.94193499677133E-4</v>
      </c>
    </row>
    <row r="351" spans="1:26">
      <c r="A351" s="4" t="s">
        <v>256</v>
      </c>
      <c r="B351" s="4">
        <v>7207</v>
      </c>
      <c r="C351" s="4" t="s">
        <v>94</v>
      </c>
      <c r="D351" s="4" t="s">
        <v>268</v>
      </c>
      <c r="E351" s="4" t="s">
        <v>269</v>
      </c>
      <c r="F351" s="4" t="s">
        <v>97</v>
      </c>
      <c r="G351" s="4" t="s">
        <v>31</v>
      </c>
      <c r="H351" s="4" t="s">
        <v>31</v>
      </c>
      <c r="I351" s="4" t="s">
        <v>32</v>
      </c>
      <c r="J351" s="4" t="s">
        <v>33</v>
      </c>
      <c r="K351" s="4" t="s">
        <v>34</v>
      </c>
      <c r="L351" s="4" t="s">
        <v>35</v>
      </c>
      <c r="M351" s="150">
        <v>7.4189999999999996</v>
      </c>
      <c r="N351" s="4" t="s">
        <v>270</v>
      </c>
      <c r="O351" s="165">
        <v>1.2999999999999999E-2</v>
      </c>
      <c r="P351" s="166">
        <v>4.9180000000000001E-2</v>
      </c>
      <c r="R351" s="150">
        <v>123951</v>
      </c>
      <c r="S351" s="150">
        <v>1</v>
      </c>
      <c r="T351" s="150">
        <v>77.260000000000005</v>
      </c>
      <c r="U351" s="150">
        <v>95.765000000000001</v>
      </c>
      <c r="W351" s="4" t="s">
        <v>37</v>
      </c>
      <c r="X351" s="166">
        <v>3.9999999999999998E-6</v>
      </c>
      <c r="Y351" s="166">
        <v>1.89551097331198E-3</v>
      </c>
      <c r="Z351" s="166">
        <v>9.8489122485095307E-4</v>
      </c>
    </row>
    <row r="352" spans="1:26">
      <c r="A352" s="4" t="s">
        <v>256</v>
      </c>
      <c r="B352" s="4">
        <v>7207</v>
      </c>
      <c r="C352" s="4" t="s">
        <v>46</v>
      </c>
      <c r="D352" s="4" t="s">
        <v>61</v>
      </c>
      <c r="E352" s="4" t="s">
        <v>62</v>
      </c>
      <c r="F352" s="4" t="s">
        <v>49</v>
      </c>
      <c r="G352" s="4" t="s">
        <v>31</v>
      </c>
      <c r="H352" s="4" t="s">
        <v>31</v>
      </c>
      <c r="I352" s="4" t="s">
        <v>32</v>
      </c>
      <c r="J352" s="4" t="s">
        <v>33</v>
      </c>
      <c r="K352" s="4" t="s">
        <v>34</v>
      </c>
      <c r="L352" s="4" t="s">
        <v>35</v>
      </c>
      <c r="M352" s="150">
        <v>0.42499999999999999</v>
      </c>
      <c r="N352" s="4" t="s">
        <v>63</v>
      </c>
      <c r="O352" s="165">
        <v>0</v>
      </c>
      <c r="P352" s="166">
        <v>4.3450000000000003E-2</v>
      </c>
      <c r="R352" s="150">
        <v>350000</v>
      </c>
      <c r="S352" s="150">
        <v>1</v>
      </c>
      <c r="T352" s="150">
        <v>98.21</v>
      </c>
      <c r="U352" s="150">
        <v>343.73500000000001</v>
      </c>
      <c r="W352" s="4" t="s">
        <v>37</v>
      </c>
      <c r="X352" s="166">
        <v>2.5000000000000001E-5</v>
      </c>
      <c r="Y352" s="166">
        <v>6.8037025680044699E-3</v>
      </c>
      <c r="Z352" s="166">
        <v>3.5351454304773399E-3</v>
      </c>
    </row>
    <row r="353" spans="1:26">
      <c r="A353" s="4" t="s">
        <v>256</v>
      </c>
      <c r="B353" s="4">
        <v>7207</v>
      </c>
      <c r="C353" s="4" t="s">
        <v>46</v>
      </c>
      <c r="D353" s="4" t="s">
        <v>76</v>
      </c>
      <c r="E353" s="4" t="s">
        <v>77</v>
      </c>
      <c r="F353" s="4" t="s">
        <v>49</v>
      </c>
      <c r="G353" s="4" t="s">
        <v>31</v>
      </c>
      <c r="H353" s="4" t="s">
        <v>31</v>
      </c>
      <c r="I353" s="4" t="s">
        <v>32</v>
      </c>
      <c r="J353" s="4" t="s">
        <v>33</v>
      </c>
      <c r="K353" s="4" t="s">
        <v>34</v>
      </c>
      <c r="L353" s="4" t="s">
        <v>35</v>
      </c>
      <c r="M353" s="150">
        <v>3.0000000000000001E-3</v>
      </c>
      <c r="N353" s="4" t="s">
        <v>78</v>
      </c>
      <c r="O353" s="165">
        <v>0</v>
      </c>
      <c r="P353" s="166">
        <v>0.11574</v>
      </c>
      <c r="R353" s="150">
        <v>240000</v>
      </c>
      <c r="S353" s="150">
        <v>1</v>
      </c>
      <c r="T353" s="150">
        <v>99.97</v>
      </c>
      <c r="U353" s="150">
        <v>239.928</v>
      </c>
      <c r="W353" s="4" t="s">
        <v>37</v>
      </c>
      <c r="X353" s="166">
        <v>5.0000000000000004E-6</v>
      </c>
      <c r="Y353" s="166">
        <v>4.7490035921165397E-3</v>
      </c>
      <c r="Z353" s="166">
        <v>2.46754148644615E-3</v>
      </c>
    </row>
    <row r="354" spans="1:26">
      <c r="A354" s="4" t="s">
        <v>256</v>
      </c>
      <c r="B354" s="4">
        <v>7207</v>
      </c>
      <c r="C354" s="4" t="s">
        <v>46</v>
      </c>
      <c r="D354" s="4" t="s">
        <v>82</v>
      </c>
      <c r="E354" s="4" t="s">
        <v>83</v>
      </c>
      <c r="F354" s="4" t="s">
        <v>49</v>
      </c>
      <c r="G354" s="4" t="s">
        <v>31</v>
      </c>
      <c r="H354" s="4" t="s">
        <v>31</v>
      </c>
      <c r="I354" s="4" t="s">
        <v>32</v>
      </c>
      <c r="J354" s="4" t="s">
        <v>33</v>
      </c>
      <c r="K354" s="4" t="s">
        <v>34</v>
      </c>
      <c r="L354" s="4" t="s">
        <v>35</v>
      </c>
      <c r="M354" s="150">
        <v>0.17499999999999999</v>
      </c>
      <c r="N354" s="4" t="s">
        <v>84</v>
      </c>
      <c r="O354" s="165">
        <v>0</v>
      </c>
      <c r="P354" s="166">
        <v>4.3270000000000003E-2</v>
      </c>
      <c r="R354" s="150">
        <v>150000</v>
      </c>
      <c r="S354" s="150">
        <v>1</v>
      </c>
      <c r="T354" s="150">
        <v>99.26</v>
      </c>
      <c r="U354" s="150">
        <v>148.88999999999999</v>
      </c>
      <c r="W354" s="4" t="s">
        <v>37</v>
      </c>
      <c r="X354" s="166">
        <v>3.0000000000000001E-6</v>
      </c>
      <c r="Y354" s="166">
        <v>2.9470472176245802E-3</v>
      </c>
      <c r="Z354" s="166">
        <v>1.5312604277823601E-3</v>
      </c>
    </row>
    <row r="355" spans="1:26">
      <c r="A355" s="4" t="s">
        <v>256</v>
      </c>
      <c r="B355" s="4">
        <v>7207</v>
      </c>
      <c r="C355" s="4" t="s">
        <v>150</v>
      </c>
      <c r="D355" s="4" t="s">
        <v>151</v>
      </c>
      <c r="E355" s="4" t="s">
        <v>152</v>
      </c>
      <c r="F355" s="4" t="s">
        <v>153</v>
      </c>
      <c r="G355" s="4" t="s">
        <v>154</v>
      </c>
      <c r="H355" s="4" t="s">
        <v>155</v>
      </c>
      <c r="I355" s="4" t="s">
        <v>156</v>
      </c>
      <c r="J355" s="4" t="s">
        <v>157</v>
      </c>
      <c r="K355" s="4" t="s">
        <v>158</v>
      </c>
      <c r="L355" s="4" t="s">
        <v>159</v>
      </c>
      <c r="M355" s="150">
        <v>0</v>
      </c>
      <c r="N355" s="4" t="s">
        <v>160</v>
      </c>
      <c r="O355" s="165">
        <v>0</v>
      </c>
      <c r="P355" s="166">
        <v>0</v>
      </c>
      <c r="R355" s="150">
        <v>50000</v>
      </c>
      <c r="S355" s="150">
        <v>3.7589999999999999</v>
      </c>
      <c r="T355" s="150">
        <v>97.775000000000006</v>
      </c>
      <c r="U355" s="150">
        <v>183.768</v>
      </c>
      <c r="W355" s="4" t="s">
        <v>37</v>
      </c>
      <c r="X355" s="166">
        <v>9.9999999999999995E-7</v>
      </c>
      <c r="Y355" s="166">
        <v>3.6373980578695499E-3</v>
      </c>
      <c r="Z355" s="166">
        <v>1.8899607962839201E-3</v>
      </c>
    </row>
    <row r="356" spans="1:26">
      <c r="A356" s="4" t="s">
        <v>256</v>
      </c>
      <c r="B356" s="4">
        <v>7207</v>
      </c>
      <c r="C356" s="4" t="s">
        <v>150</v>
      </c>
      <c r="D356" s="4" t="s">
        <v>161</v>
      </c>
      <c r="E356" s="4" t="s">
        <v>162</v>
      </c>
      <c r="F356" s="4" t="s">
        <v>153</v>
      </c>
      <c r="G356" s="4" t="s">
        <v>154</v>
      </c>
      <c r="H356" s="4" t="s">
        <v>155</v>
      </c>
      <c r="I356" s="4" t="s">
        <v>163</v>
      </c>
      <c r="J356" s="4" t="s">
        <v>157</v>
      </c>
      <c r="K356" s="4" t="s">
        <v>158</v>
      </c>
      <c r="L356" s="4" t="s">
        <v>159</v>
      </c>
      <c r="M356" s="150">
        <v>0</v>
      </c>
      <c r="N356" s="4" t="s">
        <v>164</v>
      </c>
      <c r="O356" s="165">
        <v>0</v>
      </c>
      <c r="P356" s="166">
        <v>0</v>
      </c>
      <c r="R356" s="150">
        <v>70000</v>
      </c>
      <c r="S356" s="150">
        <v>3.7589999999999999</v>
      </c>
      <c r="T356" s="150">
        <v>97.585999999999999</v>
      </c>
      <c r="U356" s="150">
        <v>256.77800000000002</v>
      </c>
      <c r="W356" s="4" t="s">
        <v>37</v>
      </c>
      <c r="X356" s="166">
        <v>9.9999999999999995E-7</v>
      </c>
      <c r="Y356" s="166">
        <v>5.0825136860817403E-3</v>
      </c>
      <c r="Z356" s="166">
        <v>2.6408304673965501E-3</v>
      </c>
    </row>
    <row r="357" spans="1:26">
      <c r="A357" s="4" t="s">
        <v>256</v>
      </c>
      <c r="B357" s="4">
        <v>7207</v>
      </c>
      <c r="C357" s="4" t="s">
        <v>165</v>
      </c>
      <c r="D357" s="4" t="s">
        <v>166</v>
      </c>
      <c r="E357" s="4" t="s">
        <v>167</v>
      </c>
      <c r="F357" s="4" t="s">
        <v>153</v>
      </c>
      <c r="G357" s="4" t="s">
        <v>154</v>
      </c>
      <c r="H357" s="4" t="s">
        <v>31</v>
      </c>
      <c r="I357" s="4" t="s">
        <v>163</v>
      </c>
      <c r="J357" s="4" t="s">
        <v>168</v>
      </c>
      <c r="K357" s="4" t="s">
        <v>158</v>
      </c>
      <c r="L357" s="4" t="s">
        <v>169</v>
      </c>
      <c r="M357" s="150">
        <v>0</v>
      </c>
      <c r="N357" s="4" t="s">
        <v>170</v>
      </c>
      <c r="O357" s="165">
        <v>0.05</v>
      </c>
      <c r="P357" s="166">
        <v>0</v>
      </c>
      <c r="R357" s="150">
        <v>30000</v>
      </c>
      <c r="S357" s="150">
        <v>4.0199999999999996</v>
      </c>
      <c r="T357" s="150">
        <v>104.837</v>
      </c>
      <c r="U357" s="150">
        <v>126.43899999999999</v>
      </c>
      <c r="W357" s="4" t="s">
        <v>37</v>
      </c>
      <c r="X357" s="166">
        <v>0</v>
      </c>
      <c r="Y357" s="166">
        <v>2.5026678386784098E-3</v>
      </c>
      <c r="Z357" s="166">
        <v>1.3003647183979501E-3</v>
      </c>
    </row>
    <row r="358" spans="1:26">
      <c r="A358" s="4" t="s">
        <v>256</v>
      </c>
      <c r="B358" s="4">
        <v>7207</v>
      </c>
      <c r="C358" s="4" t="s">
        <v>171</v>
      </c>
      <c r="D358" s="4" t="s">
        <v>172</v>
      </c>
      <c r="E358" s="4" t="s">
        <v>173</v>
      </c>
      <c r="F358" s="4" t="s">
        <v>153</v>
      </c>
      <c r="G358" s="4" t="s">
        <v>154</v>
      </c>
      <c r="H358" s="4" t="s">
        <v>31</v>
      </c>
      <c r="I358" s="4" t="s">
        <v>156</v>
      </c>
      <c r="J358" s="4" t="s">
        <v>168</v>
      </c>
      <c r="K358" s="4" t="s">
        <v>158</v>
      </c>
      <c r="L358" s="4" t="s">
        <v>159</v>
      </c>
      <c r="M358" s="150">
        <v>0</v>
      </c>
      <c r="N358" s="4" t="s">
        <v>175</v>
      </c>
      <c r="O358" s="165">
        <v>5.3749999999999999E-2</v>
      </c>
      <c r="P358" s="166">
        <v>0</v>
      </c>
      <c r="R358" s="150">
        <v>35000</v>
      </c>
      <c r="S358" s="150">
        <v>3.7589999999999999</v>
      </c>
      <c r="T358" s="150">
        <v>99.781000000000006</v>
      </c>
      <c r="U358" s="150">
        <v>131.27600000000001</v>
      </c>
      <c r="W358" s="4" t="s">
        <v>37</v>
      </c>
      <c r="X358" s="166">
        <v>1.7E-5</v>
      </c>
      <c r="Y358" s="166">
        <v>2.5984095885573499E-3</v>
      </c>
      <c r="Z358" s="166">
        <v>1.35011130949412E-3</v>
      </c>
    </row>
    <row r="359" spans="1:26">
      <c r="A359" s="4" t="s">
        <v>256</v>
      </c>
      <c r="B359" s="4">
        <v>7207</v>
      </c>
      <c r="C359" s="4" t="s">
        <v>171</v>
      </c>
      <c r="D359" s="4" t="s">
        <v>176</v>
      </c>
      <c r="E359" s="4" t="s">
        <v>177</v>
      </c>
      <c r="F359" s="4" t="s">
        <v>153</v>
      </c>
      <c r="G359" s="4" t="s">
        <v>154</v>
      </c>
      <c r="H359" s="4" t="s">
        <v>31</v>
      </c>
      <c r="I359" s="4" t="s">
        <v>163</v>
      </c>
      <c r="J359" s="4" t="s">
        <v>168</v>
      </c>
      <c r="K359" s="4" t="s">
        <v>158</v>
      </c>
      <c r="L359" s="4" t="s">
        <v>159</v>
      </c>
      <c r="M359" s="150">
        <v>7.49</v>
      </c>
      <c r="N359" s="4" t="s">
        <v>178</v>
      </c>
      <c r="O359" s="165">
        <v>5.5E-2</v>
      </c>
      <c r="P359" s="166">
        <v>5.8720000000000001E-2</v>
      </c>
      <c r="R359" s="150">
        <v>38000</v>
      </c>
      <c r="S359" s="150">
        <v>3.7589999999999999</v>
      </c>
      <c r="T359" s="150">
        <v>97.03</v>
      </c>
      <c r="U359" s="150">
        <v>138.6</v>
      </c>
      <c r="W359" s="4" t="s">
        <v>37</v>
      </c>
      <c r="X359" s="166">
        <v>1.2999999999999999E-5</v>
      </c>
      <c r="Y359" s="166">
        <v>2.7433645223704098E-3</v>
      </c>
      <c r="Z359" s="166">
        <v>1.4254286483654901E-3</v>
      </c>
    </row>
    <row r="360" spans="1:26">
      <c r="A360" s="4" t="s">
        <v>256</v>
      </c>
      <c r="B360" s="4">
        <v>7207</v>
      </c>
      <c r="C360" s="4" t="s">
        <v>171</v>
      </c>
      <c r="D360" s="4" t="s">
        <v>179</v>
      </c>
      <c r="E360" s="4" t="s">
        <v>180</v>
      </c>
      <c r="F360" s="4" t="s">
        <v>153</v>
      </c>
      <c r="G360" s="4" t="s">
        <v>154</v>
      </c>
      <c r="H360" s="4" t="s">
        <v>31</v>
      </c>
      <c r="I360" s="4" t="s">
        <v>163</v>
      </c>
      <c r="J360" s="4" t="s">
        <v>168</v>
      </c>
      <c r="K360" s="4" t="s">
        <v>158</v>
      </c>
      <c r="L360" s="4" t="s">
        <v>159</v>
      </c>
      <c r="M360" s="150">
        <v>0</v>
      </c>
      <c r="N360" s="4" t="s">
        <v>181</v>
      </c>
      <c r="O360" s="165">
        <v>5.7500000000000002E-2</v>
      </c>
      <c r="P360" s="166">
        <v>0</v>
      </c>
      <c r="R360" s="150">
        <v>45000</v>
      </c>
      <c r="S360" s="150">
        <v>3.7589999999999999</v>
      </c>
      <c r="T360" s="150">
        <v>91.872</v>
      </c>
      <c r="U360" s="150">
        <v>155.40600000000001</v>
      </c>
      <c r="W360" s="4" t="s">
        <v>37</v>
      </c>
      <c r="X360" s="166">
        <v>1.5E-5</v>
      </c>
      <c r="Y360" s="166">
        <v>3.0760229725382399E-3</v>
      </c>
      <c r="Z360" s="166">
        <v>1.5982751225119001E-3</v>
      </c>
    </row>
    <row r="361" spans="1:26">
      <c r="A361" s="4" t="s">
        <v>256</v>
      </c>
      <c r="B361" s="4">
        <v>7207</v>
      </c>
      <c r="C361" s="4" t="s">
        <v>171</v>
      </c>
      <c r="D361" s="4" t="s">
        <v>182</v>
      </c>
      <c r="E361" s="4" t="s">
        <v>183</v>
      </c>
      <c r="F361" s="4" t="s">
        <v>153</v>
      </c>
      <c r="G361" s="4" t="s">
        <v>154</v>
      </c>
      <c r="H361" s="4" t="s">
        <v>31</v>
      </c>
      <c r="I361" s="4" t="s">
        <v>163</v>
      </c>
      <c r="J361" s="4" t="s">
        <v>168</v>
      </c>
      <c r="K361" s="4" t="s">
        <v>158</v>
      </c>
      <c r="L361" s="4" t="s">
        <v>169</v>
      </c>
      <c r="M361" s="150">
        <v>0</v>
      </c>
      <c r="N361" s="4" t="s">
        <v>184</v>
      </c>
      <c r="O361" s="165">
        <v>1.4999999999999999E-2</v>
      </c>
      <c r="P361" s="166">
        <v>0</v>
      </c>
      <c r="R361" s="150">
        <v>130000</v>
      </c>
      <c r="S361" s="150">
        <v>4.0199999999999996</v>
      </c>
      <c r="T361" s="150">
        <v>93.265000000000001</v>
      </c>
      <c r="U361" s="150">
        <v>487.428</v>
      </c>
      <c r="W361" s="4" t="s">
        <v>37</v>
      </c>
      <c r="X361" s="166">
        <v>4.6E-5</v>
      </c>
      <c r="Y361" s="166">
        <v>9.6478797335353902E-3</v>
      </c>
      <c r="Z361" s="166">
        <v>5.01295546254398E-3</v>
      </c>
    </row>
    <row r="362" spans="1:26">
      <c r="A362" s="4" t="s">
        <v>256</v>
      </c>
      <c r="B362" s="4">
        <v>7207</v>
      </c>
      <c r="C362" s="4" t="s">
        <v>185</v>
      </c>
      <c r="D362" s="4" t="s">
        <v>186</v>
      </c>
      <c r="E362" s="4" t="s">
        <v>187</v>
      </c>
      <c r="F362" s="4" t="s">
        <v>153</v>
      </c>
      <c r="G362" s="4" t="s">
        <v>154</v>
      </c>
      <c r="H362" s="4" t="s">
        <v>155</v>
      </c>
      <c r="I362" s="4" t="s">
        <v>163</v>
      </c>
      <c r="J362" s="4" t="s">
        <v>157</v>
      </c>
      <c r="K362" s="4" t="s">
        <v>158</v>
      </c>
      <c r="L362" s="4" t="s">
        <v>159</v>
      </c>
      <c r="M362" s="150">
        <v>13.79</v>
      </c>
      <c r="N362" s="4" t="s">
        <v>188</v>
      </c>
      <c r="O362" s="165">
        <v>1.125E-2</v>
      </c>
      <c r="P362" s="166">
        <v>4.761E-2</v>
      </c>
      <c r="R362" s="150">
        <v>65000</v>
      </c>
      <c r="S362" s="150">
        <v>3.7589999999999999</v>
      </c>
      <c r="T362" s="150">
        <v>61.451000000000001</v>
      </c>
      <c r="U362" s="150">
        <v>150.14599999999999</v>
      </c>
      <c r="W362" s="4" t="s">
        <v>37</v>
      </c>
      <c r="X362" s="166">
        <v>9.9999999999999995E-7</v>
      </c>
      <c r="Y362" s="166">
        <v>2.9719050293560202E-3</v>
      </c>
      <c r="Z362" s="166">
        <v>1.5441763333023E-3</v>
      </c>
    </row>
    <row r="363" spans="1:26">
      <c r="A363" s="4" t="s">
        <v>256</v>
      </c>
      <c r="B363" s="4">
        <v>7207</v>
      </c>
      <c r="C363" s="4" t="s">
        <v>185</v>
      </c>
      <c r="D363" s="4" t="s">
        <v>189</v>
      </c>
      <c r="E363" s="4" t="s">
        <v>190</v>
      </c>
      <c r="F363" s="4" t="s">
        <v>153</v>
      </c>
      <c r="G363" s="4" t="s">
        <v>154</v>
      </c>
      <c r="H363" s="4" t="s">
        <v>155</v>
      </c>
      <c r="I363" s="4" t="s">
        <v>163</v>
      </c>
      <c r="J363" s="4" t="s">
        <v>157</v>
      </c>
      <c r="K363" s="4" t="s">
        <v>158</v>
      </c>
      <c r="L363" s="4" t="s">
        <v>159</v>
      </c>
      <c r="M363" s="150">
        <v>13.91</v>
      </c>
      <c r="N363" s="4" t="s">
        <v>191</v>
      </c>
      <c r="O363" s="165">
        <v>1.125E-2</v>
      </c>
      <c r="P363" s="166">
        <v>4.777E-2</v>
      </c>
      <c r="R363" s="150">
        <v>119000</v>
      </c>
      <c r="S363" s="150">
        <v>3.7589999999999999</v>
      </c>
      <c r="T363" s="150">
        <v>61.134</v>
      </c>
      <c r="U363" s="150">
        <v>273.464</v>
      </c>
      <c r="W363" s="4" t="s">
        <v>37</v>
      </c>
      <c r="X363" s="166">
        <v>0</v>
      </c>
      <c r="Y363" s="166">
        <v>5.4127952168475102E-3</v>
      </c>
      <c r="Z363" s="166">
        <v>2.8124419146324298E-3</v>
      </c>
    </row>
    <row r="364" spans="1:26">
      <c r="A364" s="4" t="s">
        <v>256</v>
      </c>
      <c r="B364" s="4">
        <v>7207</v>
      </c>
      <c r="C364" s="4" t="s">
        <v>185</v>
      </c>
      <c r="D364" s="4" t="s">
        <v>192</v>
      </c>
      <c r="E364" s="4" t="s">
        <v>193</v>
      </c>
      <c r="F364" s="4" t="s">
        <v>153</v>
      </c>
      <c r="G364" s="4" t="s">
        <v>154</v>
      </c>
      <c r="H364" s="4" t="s">
        <v>155</v>
      </c>
      <c r="I364" s="4" t="s">
        <v>163</v>
      </c>
      <c r="J364" s="4" t="s">
        <v>157</v>
      </c>
      <c r="K364" s="4" t="s">
        <v>158</v>
      </c>
      <c r="L364" s="4" t="s">
        <v>159</v>
      </c>
      <c r="M364" s="150">
        <v>6.28</v>
      </c>
      <c r="N364" s="4" t="s">
        <v>194</v>
      </c>
      <c r="O364" s="165">
        <v>1.125E-2</v>
      </c>
      <c r="P364" s="166">
        <v>4.5710000000000001E-2</v>
      </c>
      <c r="R364" s="150">
        <v>25000</v>
      </c>
      <c r="S364" s="150">
        <v>3.7589999999999999</v>
      </c>
      <c r="T364" s="150">
        <v>82.048000000000002</v>
      </c>
      <c r="U364" s="150">
        <v>77.103999999999999</v>
      </c>
      <c r="W364" s="4" t="s">
        <v>37</v>
      </c>
      <c r="X364" s="166">
        <v>0</v>
      </c>
      <c r="Y364" s="166">
        <v>1.5261621416797001E-3</v>
      </c>
      <c r="Z364" s="166">
        <v>7.9298074355841795E-4</v>
      </c>
    </row>
    <row r="365" spans="1:26">
      <c r="A365" s="4" t="s">
        <v>256</v>
      </c>
      <c r="B365" s="4">
        <v>7207</v>
      </c>
      <c r="C365" s="4" t="s">
        <v>185</v>
      </c>
      <c r="D365" s="4" t="s">
        <v>277</v>
      </c>
      <c r="E365" s="4" t="s">
        <v>278</v>
      </c>
      <c r="F365" s="4" t="s">
        <v>153</v>
      </c>
      <c r="G365" s="4" t="s">
        <v>154</v>
      </c>
      <c r="H365" s="4" t="s">
        <v>155</v>
      </c>
      <c r="I365" s="4" t="s">
        <v>163</v>
      </c>
      <c r="J365" s="4" t="s">
        <v>157</v>
      </c>
      <c r="K365" s="4" t="s">
        <v>158</v>
      </c>
      <c r="L365" s="4" t="s">
        <v>159</v>
      </c>
      <c r="M365" s="150">
        <v>0.25</v>
      </c>
      <c r="N365" s="4" t="s">
        <v>279</v>
      </c>
      <c r="O365" s="165">
        <v>1.2500000000000001E-2</v>
      </c>
      <c r="P365" s="166">
        <v>5.3370000000000001E-2</v>
      </c>
      <c r="R365" s="150">
        <v>10000</v>
      </c>
      <c r="S365" s="150">
        <v>3.7589999999999999</v>
      </c>
      <c r="T365" s="150">
        <v>99.718000000000004</v>
      </c>
      <c r="U365" s="150">
        <v>37.484000000000002</v>
      </c>
      <c r="W365" s="4" t="s">
        <v>37</v>
      </c>
      <c r="X365" s="166">
        <v>0</v>
      </c>
      <c r="Y365" s="166">
        <v>7.4194088674425004E-4</v>
      </c>
      <c r="Z365" s="166">
        <v>3.8550611365533599E-4</v>
      </c>
    </row>
    <row r="366" spans="1:26">
      <c r="A366" s="4" t="s">
        <v>256</v>
      </c>
      <c r="B366" s="4">
        <v>7207</v>
      </c>
      <c r="C366" s="4" t="s">
        <v>185</v>
      </c>
      <c r="D366" s="4" t="s">
        <v>195</v>
      </c>
      <c r="E366" s="4" t="s">
        <v>196</v>
      </c>
      <c r="F366" s="4" t="s">
        <v>153</v>
      </c>
      <c r="G366" s="4" t="s">
        <v>154</v>
      </c>
      <c r="H366" s="4" t="s">
        <v>155</v>
      </c>
      <c r="I366" s="4" t="s">
        <v>163</v>
      </c>
      <c r="J366" s="4" t="s">
        <v>157</v>
      </c>
      <c r="K366" s="4" t="s">
        <v>158</v>
      </c>
      <c r="L366" s="4" t="s">
        <v>159</v>
      </c>
      <c r="M366" s="150">
        <v>0.41</v>
      </c>
      <c r="N366" s="4" t="s">
        <v>197</v>
      </c>
      <c r="O366" s="165">
        <v>1.4999999999999999E-2</v>
      </c>
      <c r="P366" s="166">
        <v>5.3100000000000001E-2</v>
      </c>
      <c r="R366" s="150">
        <v>30000</v>
      </c>
      <c r="S366" s="150">
        <v>3.7589999999999999</v>
      </c>
      <c r="T366" s="150">
        <v>98.971999999999994</v>
      </c>
      <c r="U366" s="150">
        <v>111.611</v>
      </c>
      <c r="W366" s="4" t="s">
        <v>37</v>
      </c>
      <c r="X366" s="166">
        <v>9.9999999999999995E-7</v>
      </c>
      <c r="Y366" s="166">
        <v>2.2091719329453102E-3</v>
      </c>
      <c r="Z366" s="166">
        <v>1.1478667660483901E-3</v>
      </c>
    </row>
    <row r="367" spans="1:26">
      <c r="A367" s="4" t="s">
        <v>256</v>
      </c>
      <c r="B367" s="4">
        <v>7207</v>
      </c>
      <c r="C367" s="4" t="s">
        <v>185</v>
      </c>
      <c r="D367" s="4" t="s">
        <v>198</v>
      </c>
      <c r="E367" s="4" t="s">
        <v>199</v>
      </c>
      <c r="F367" s="4" t="s">
        <v>153</v>
      </c>
      <c r="G367" s="4" t="s">
        <v>154</v>
      </c>
      <c r="H367" s="4" t="s">
        <v>155</v>
      </c>
      <c r="I367" s="4" t="s">
        <v>163</v>
      </c>
      <c r="J367" s="4" t="s">
        <v>157</v>
      </c>
      <c r="K367" s="4" t="s">
        <v>158</v>
      </c>
      <c r="L367" s="4" t="s">
        <v>159</v>
      </c>
      <c r="M367" s="150">
        <v>6.41</v>
      </c>
      <c r="N367" s="4" t="s">
        <v>200</v>
      </c>
      <c r="O367" s="165">
        <v>1.6250000000000001E-2</v>
      </c>
      <c r="P367" s="166">
        <v>4.598E-2</v>
      </c>
      <c r="R367" s="150">
        <v>12000</v>
      </c>
      <c r="S367" s="150">
        <v>3.7589999999999999</v>
      </c>
      <c r="T367" s="150">
        <v>83.989000000000004</v>
      </c>
      <c r="U367" s="150">
        <v>37.886000000000003</v>
      </c>
      <c r="W367" s="4" t="s">
        <v>37</v>
      </c>
      <c r="X367" s="166">
        <v>0</v>
      </c>
      <c r="Y367" s="166">
        <v>7.49888678210796E-4</v>
      </c>
      <c r="Z367" s="166">
        <v>3.8963571785312698E-4</v>
      </c>
    </row>
    <row r="368" spans="1:26">
      <c r="A368" s="4" t="s">
        <v>256</v>
      </c>
      <c r="B368" s="4">
        <v>7207</v>
      </c>
      <c r="C368" s="4" t="s">
        <v>185</v>
      </c>
      <c r="D368" s="4" t="s">
        <v>201</v>
      </c>
      <c r="E368" s="4" t="s">
        <v>202</v>
      </c>
      <c r="F368" s="4" t="s">
        <v>153</v>
      </c>
      <c r="G368" s="4" t="s">
        <v>154</v>
      </c>
      <c r="H368" s="4" t="s">
        <v>155</v>
      </c>
      <c r="I368" s="4" t="s">
        <v>163</v>
      </c>
      <c r="J368" s="4" t="s">
        <v>157</v>
      </c>
      <c r="K368" s="4" t="s">
        <v>158</v>
      </c>
      <c r="L368" s="4" t="s">
        <v>159</v>
      </c>
      <c r="M368" s="150">
        <v>13.72</v>
      </c>
      <c r="N368" s="4" t="s">
        <v>203</v>
      </c>
      <c r="O368" s="165">
        <v>0.02</v>
      </c>
      <c r="P368" s="166">
        <v>4.8329999999999998E-2</v>
      </c>
      <c r="R368" s="150">
        <v>340000</v>
      </c>
      <c r="S368" s="150">
        <v>3.7589999999999999</v>
      </c>
      <c r="T368" s="150">
        <v>68.769000000000005</v>
      </c>
      <c r="U368" s="150">
        <v>878.91300000000001</v>
      </c>
      <c r="W368" s="4" t="s">
        <v>37</v>
      </c>
      <c r="X368" s="166">
        <v>0</v>
      </c>
      <c r="Y368" s="166">
        <v>1.7396732023857501E-2</v>
      </c>
      <c r="Z368" s="166">
        <v>9.0391925726724404E-3</v>
      </c>
    </row>
    <row r="369" spans="1:26">
      <c r="A369" s="4" t="s">
        <v>256</v>
      </c>
      <c r="B369" s="4">
        <v>7207</v>
      </c>
      <c r="C369" s="4" t="s">
        <v>185</v>
      </c>
      <c r="D369" s="4" t="s">
        <v>204</v>
      </c>
      <c r="E369" s="4" t="s">
        <v>205</v>
      </c>
      <c r="F369" s="4" t="s">
        <v>153</v>
      </c>
      <c r="G369" s="4" t="s">
        <v>154</v>
      </c>
      <c r="H369" s="4" t="s">
        <v>155</v>
      </c>
      <c r="I369" s="4" t="s">
        <v>163</v>
      </c>
      <c r="J369" s="4" t="s">
        <v>157</v>
      </c>
      <c r="K369" s="4" t="s">
        <v>158</v>
      </c>
      <c r="L369" s="4" t="s">
        <v>159</v>
      </c>
      <c r="M369" s="150">
        <v>0.33</v>
      </c>
      <c r="N369" s="4" t="s">
        <v>206</v>
      </c>
      <c r="O369" s="165">
        <v>2.1250000000000002E-2</v>
      </c>
      <c r="P369" s="166">
        <v>5.314E-2</v>
      </c>
      <c r="R369" s="150">
        <v>30000</v>
      </c>
      <c r="S369" s="150">
        <v>3.7589999999999999</v>
      </c>
      <c r="T369" s="150">
        <v>99.724000000000004</v>
      </c>
      <c r="U369" s="150">
        <v>112.458</v>
      </c>
      <c r="W369" s="4" t="s">
        <v>37</v>
      </c>
      <c r="X369" s="166">
        <v>0</v>
      </c>
      <c r="Y369" s="166">
        <v>2.2259406271244401E-3</v>
      </c>
      <c r="Z369" s="166">
        <v>1.15657963554994E-3</v>
      </c>
    </row>
    <row r="370" spans="1:26">
      <c r="A370" s="4" t="s">
        <v>256</v>
      </c>
      <c r="B370" s="4">
        <v>7207</v>
      </c>
      <c r="C370" s="4" t="s">
        <v>185</v>
      </c>
      <c r="D370" s="4" t="s">
        <v>207</v>
      </c>
      <c r="E370" s="4" t="s">
        <v>208</v>
      </c>
      <c r="F370" s="4" t="s">
        <v>153</v>
      </c>
      <c r="G370" s="4" t="s">
        <v>154</v>
      </c>
      <c r="H370" s="4" t="s">
        <v>155</v>
      </c>
      <c r="I370" s="4" t="s">
        <v>163</v>
      </c>
      <c r="J370" s="4" t="s">
        <v>157</v>
      </c>
      <c r="K370" s="4" t="s">
        <v>158</v>
      </c>
      <c r="L370" s="4" t="s">
        <v>159</v>
      </c>
      <c r="M370" s="150">
        <v>0.49</v>
      </c>
      <c r="N370" s="4" t="s">
        <v>209</v>
      </c>
      <c r="O370" s="165">
        <v>2.1250000000000002E-2</v>
      </c>
      <c r="P370" s="166">
        <v>5.3620000000000001E-2</v>
      </c>
      <c r="R370" s="150">
        <v>30000</v>
      </c>
      <c r="S370" s="150">
        <v>3.7589999999999999</v>
      </c>
      <c r="T370" s="150">
        <v>98.905000000000001</v>
      </c>
      <c r="U370" s="150">
        <v>111.535</v>
      </c>
      <c r="W370" s="4" t="s">
        <v>37</v>
      </c>
      <c r="X370" s="166">
        <v>1.016E-3</v>
      </c>
      <c r="Y370" s="166">
        <v>2.2076583109557901E-3</v>
      </c>
      <c r="Z370" s="166">
        <v>1.1470803010602099E-3</v>
      </c>
    </row>
    <row r="371" spans="1:26">
      <c r="A371" s="4" t="s">
        <v>256</v>
      </c>
      <c r="B371" s="4">
        <v>7207</v>
      </c>
      <c r="C371" s="4" t="s">
        <v>185</v>
      </c>
      <c r="D371" s="4" t="s">
        <v>210</v>
      </c>
      <c r="E371" s="4" t="s">
        <v>211</v>
      </c>
      <c r="F371" s="4" t="s">
        <v>153</v>
      </c>
      <c r="G371" s="4" t="s">
        <v>154</v>
      </c>
      <c r="H371" s="4" t="s">
        <v>155</v>
      </c>
      <c r="I371" s="4" t="s">
        <v>163</v>
      </c>
      <c r="J371" s="4" t="s">
        <v>157</v>
      </c>
      <c r="K371" s="4" t="s">
        <v>158</v>
      </c>
      <c r="L371" s="4" t="s">
        <v>159</v>
      </c>
      <c r="M371" s="150">
        <v>13.37</v>
      </c>
      <c r="N371" s="4" t="s">
        <v>212</v>
      </c>
      <c r="O371" s="165">
        <v>2.375E-2</v>
      </c>
      <c r="P371" s="166">
        <v>4.8349999999999997E-2</v>
      </c>
      <c r="R371" s="150">
        <v>14000</v>
      </c>
      <c r="S371" s="150">
        <v>3.7589999999999999</v>
      </c>
      <c r="T371" s="150">
        <v>73.477999999999994</v>
      </c>
      <c r="U371" s="150">
        <v>38.667999999999999</v>
      </c>
      <c r="W371" s="4" t="s">
        <v>37</v>
      </c>
      <c r="X371" s="166">
        <v>0</v>
      </c>
      <c r="Y371" s="166">
        <v>7.65379446092295E-4</v>
      </c>
      <c r="Z371" s="166">
        <v>3.9768458782407401E-4</v>
      </c>
    </row>
    <row r="372" spans="1:26">
      <c r="A372" s="4" t="s">
        <v>256</v>
      </c>
      <c r="B372" s="4">
        <v>7207</v>
      </c>
      <c r="C372" s="4" t="s">
        <v>213</v>
      </c>
      <c r="D372" s="4" t="s">
        <v>214</v>
      </c>
      <c r="E372" s="4" t="s">
        <v>215</v>
      </c>
      <c r="F372" s="4" t="s">
        <v>153</v>
      </c>
      <c r="G372" s="4" t="s">
        <v>154</v>
      </c>
      <c r="H372" s="4" t="s">
        <v>155</v>
      </c>
      <c r="I372" s="4" t="s">
        <v>163</v>
      </c>
      <c r="J372" s="4" t="s">
        <v>157</v>
      </c>
      <c r="K372" s="4" t="s">
        <v>158</v>
      </c>
      <c r="L372" s="4" t="s">
        <v>159</v>
      </c>
      <c r="M372" s="150">
        <v>15.14</v>
      </c>
      <c r="N372" s="4" t="s">
        <v>216</v>
      </c>
      <c r="O372" s="165">
        <v>2.5000000000000001E-2</v>
      </c>
      <c r="P372" s="166">
        <v>4.8439999999999997E-2</v>
      </c>
      <c r="R372" s="150">
        <v>30000</v>
      </c>
      <c r="S372" s="150">
        <v>3.7589999999999999</v>
      </c>
      <c r="T372" s="150">
        <v>71.188000000000002</v>
      </c>
      <c r="U372" s="150">
        <v>80.278000000000006</v>
      </c>
      <c r="W372" s="4" t="s">
        <v>37</v>
      </c>
      <c r="X372" s="166">
        <v>9.9999999999999995E-7</v>
      </c>
      <c r="Y372" s="166">
        <v>1.5889874912890501E-3</v>
      </c>
      <c r="Z372" s="166">
        <v>8.2562425572987701E-4</v>
      </c>
    </row>
    <row r="373" spans="1:26">
      <c r="A373" s="4" t="s">
        <v>256</v>
      </c>
      <c r="B373" s="4">
        <v>7207</v>
      </c>
      <c r="C373" s="4" t="s">
        <v>185</v>
      </c>
      <c r="D373" s="4" t="s">
        <v>217</v>
      </c>
      <c r="E373" s="4" t="s">
        <v>218</v>
      </c>
      <c r="F373" s="4" t="s">
        <v>153</v>
      </c>
      <c r="G373" s="4" t="s">
        <v>154</v>
      </c>
      <c r="H373" s="4" t="s">
        <v>155</v>
      </c>
      <c r="I373" s="4" t="s">
        <v>163</v>
      </c>
      <c r="J373" s="4" t="s">
        <v>157</v>
      </c>
      <c r="K373" s="4" t="s">
        <v>158</v>
      </c>
      <c r="L373" s="4" t="s">
        <v>159</v>
      </c>
      <c r="M373" s="150">
        <v>4.54</v>
      </c>
      <c r="N373" s="4" t="s">
        <v>219</v>
      </c>
      <c r="O373" s="165">
        <v>3.2500000000000001E-2</v>
      </c>
      <c r="P373" s="166">
        <v>4.6359999999999998E-2</v>
      </c>
      <c r="Q373" s="150">
        <v>0.97499999999999998</v>
      </c>
      <c r="R373" s="150">
        <v>60000</v>
      </c>
      <c r="S373" s="150">
        <v>3.7589999999999999</v>
      </c>
      <c r="T373" s="150">
        <v>94.882999999999996</v>
      </c>
      <c r="U373" s="150">
        <v>217.66399999999999</v>
      </c>
      <c r="W373" s="4" t="s">
        <v>37</v>
      </c>
      <c r="X373" s="166">
        <v>0</v>
      </c>
      <c r="Y373" s="166">
        <v>4.3083165068697896E-3</v>
      </c>
      <c r="Z373" s="166">
        <v>2.2385642611619798E-3</v>
      </c>
    </row>
    <row r="374" spans="1:26">
      <c r="A374" s="4" t="s">
        <v>256</v>
      </c>
      <c r="B374" s="4">
        <v>7207</v>
      </c>
      <c r="C374" s="4" t="s">
        <v>185</v>
      </c>
      <c r="D374" s="4" t="s">
        <v>280</v>
      </c>
      <c r="E374" s="4" t="s">
        <v>281</v>
      </c>
      <c r="F374" s="4" t="s">
        <v>153</v>
      </c>
      <c r="G374" s="4" t="s">
        <v>154</v>
      </c>
      <c r="H374" s="4" t="s">
        <v>155</v>
      </c>
      <c r="I374" s="4" t="s">
        <v>163</v>
      </c>
      <c r="J374" s="4" t="s">
        <v>157</v>
      </c>
      <c r="K374" s="4" t="s">
        <v>158</v>
      </c>
      <c r="L374" s="4" t="s">
        <v>159</v>
      </c>
      <c r="M374" s="150">
        <v>0.25</v>
      </c>
      <c r="N374" s="4" t="s">
        <v>279</v>
      </c>
      <c r="O374" s="165">
        <v>3.2500000000000001E-2</v>
      </c>
      <c r="P374" s="166">
        <v>5.3839999999999999E-2</v>
      </c>
      <c r="R374" s="150">
        <v>10000</v>
      </c>
      <c r="S374" s="150">
        <v>3.7589999999999999</v>
      </c>
      <c r="T374" s="150">
        <v>100.7</v>
      </c>
      <c r="U374" s="150">
        <v>37.853000000000002</v>
      </c>
      <c r="W374" s="4" t="s">
        <v>37</v>
      </c>
      <c r="X374" s="166">
        <v>0</v>
      </c>
      <c r="Y374" s="166">
        <v>7.4924670915695198E-4</v>
      </c>
      <c r="Z374" s="166">
        <v>3.8930215624538101E-4</v>
      </c>
    </row>
    <row r="375" spans="1:26">
      <c r="A375" s="4" t="s">
        <v>256</v>
      </c>
      <c r="B375" s="4">
        <v>7207</v>
      </c>
      <c r="C375" s="4" t="s">
        <v>185</v>
      </c>
      <c r="D375" s="4" t="s">
        <v>220</v>
      </c>
      <c r="E375" s="4" t="s">
        <v>221</v>
      </c>
      <c r="F375" s="4" t="s">
        <v>153</v>
      </c>
      <c r="G375" s="4" t="s">
        <v>154</v>
      </c>
      <c r="H375" s="4" t="s">
        <v>155</v>
      </c>
      <c r="I375" s="4" t="s">
        <v>163</v>
      </c>
      <c r="J375" s="4" t="s">
        <v>157</v>
      </c>
      <c r="K375" s="4" t="s">
        <v>158</v>
      </c>
      <c r="L375" s="4" t="s">
        <v>159</v>
      </c>
      <c r="M375" s="150">
        <v>13.65</v>
      </c>
      <c r="N375" s="4" t="s">
        <v>222</v>
      </c>
      <c r="O375" s="165">
        <v>3.3750000000000002E-2</v>
      </c>
      <c r="P375" s="166">
        <v>4.8439999999999997E-2</v>
      </c>
      <c r="R375" s="150">
        <v>41000</v>
      </c>
      <c r="S375" s="150">
        <v>3.7589999999999999</v>
      </c>
      <c r="T375" s="150">
        <v>83.524000000000001</v>
      </c>
      <c r="U375" s="150">
        <v>128.727</v>
      </c>
      <c r="W375" s="4" t="s">
        <v>37</v>
      </c>
      <c r="X375" s="166">
        <v>9.7599999999999998E-4</v>
      </c>
      <c r="Y375" s="166">
        <v>2.54794937154325E-3</v>
      </c>
      <c r="Z375" s="166">
        <v>1.3238926140389201E-3</v>
      </c>
    </row>
    <row r="376" spans="1:26">
      <c r="A376" s="4" t="s">
        <v>256</v>
      </c>
      <c r="B376" s="4">
        <v>7207</v>
      </c>
      <c r="C376" s="4" t="s">
        <v>185</v>
      </c>
      <c r="D376" s="4" t="s">
        <v>223</v>
      </c>
      <c r="E376" s="4" t="s">
        <v>224</v>
      </c>
      <c r="F376" s="4" t="s">
        <v>153</v>
      </c>
      <c r="G376" s="4" t="s">
        <v>154</v>
      </c>
      <c r="H376" s="4" t="s">
        <v>155</v>
      </c>
      <c r="I376" s="4" t="s">
        <v>163</v>
      </c>
      <c r="J376" s="4" t="s">
        <v>157</v>
      </c>
      <c r="K376" s="4" t="s">
        <v>158</v>
      </c>
      <c r="L376" s="4" t="s">
        <v>159</v>
      </c>
      <c r="M376" s="150">
        <v>10.99</v>
      </c>
      <c r="N376" s="4" t="s">
        <v>225</v>
      </c>
      <c r="O376" s="165">
        <v>3.5000000000000003E-2</v>
      </c>
      <c r="P376" s="166">
        <v>4.6379999999999998E-2</v>
      </c>
      <c r="R376" s="150">
        <v>57000</v>
      </c>
      <c r="S376" s="150">
        <v>3.7589999999999999</v>
      </c>
      <c r="T376" s="150">
        <v>91.01</v>
      </c>
      <c r="U376" s="150">
        <v>195</v>
      </c>
      <c r="W376" s="4" t="s">
        <v>37</v>
      </c>
      <c r="X376" s="166">
        <v>2.2000000000000001E-3</v>
      </c>
      <c r="Y376" s="166">
        <v>3.8597270109189301E-3</v>
      </c>
      <c r="Z376" s="166">
        <v>2.0054810111344999E-3</v>
      </c>
    </row>
    <row r="377" spans="1:26">
      <c r="A377" s="4" t="s">
        <v>256</v>
      </c>
      <c r="B377" s="4">
        <v>7207</v>
      </c>
      <c r="C377" s="4" t="s">
        <v>185</v>
      </c>
      <c r="D377" s="4" t="s">
        <v>226</v>
      </c>
      <c r="E377" s="4" t="s">
        <v>227</v>
      </c>
      <c r="F377" s="4" t="s">
        <v>153</v>
      </c>
      <c r="G377" s="4" t="s">
        <v>154</v>
      </c>
      <c r="H377" s="4" t="s">
        <v>155</v>
      </c>
      <c r="I377" s="4" t="s">
        <v>163</v>
      </c>
      <c r="J377" s="4" t="s">
        <v>157</v>
      </c>
      <c r="K377" s="4" t="s">
        <v>158</v>
      </c>
      <c r="L377" s="4" t="s">
        <v>159</v>
      </c>
      <c r="M377" s="150">
        <v>13.21</v>
      </c>
      <c r="N377" s="4" t="s">
        <v>228</v>
      </c>
      <c r="O377" s="165">
        <v>3.6249999999999998E-2</v>
      </c>
      <c r="P377" s="166">
        <v>4.8460000000000003E-2</v>
      </c>
      <c r="R377" s="150">
        <v>40000</v>
      </c>
      <c r="S377" s="150">
        <v>3.7589999999999999</v>
      </c>
      <c r="T377" s="150">
        <v>87.751000000000005</v>
      </c>
      <c r="U377" s="150">
        <v>131.94300000000001</v>
      </c>
      <c r="W377" s="4" t="s">
        <v>37</v>
      </c>
      <c r="X377" s="166">
        <v>0</v>
      </c>
      <c r="Y377" s="166">
        <v>2.6116002364222199E-3</v>
      </c>
      <c r="Z377" s="166">
        <v>1.3569650568557099E-3</v>
      </c>
    </row>
    <row r="378" spans="1:26">
      <c r="A378" s="4" t="s">
        <v>256</v>
      </c>
      <c r="B378" s="4">
        <v>7207</v>
      </c>
      <c r="C378" s="4" t="s">
        <v>150</v>
      </c>
      <c r="D378" s="4" t="s">
        <v>229</v>
      </c>
      <c r="E378" s="4" t="s">
        <v>230</v>
      </c>
      <c r="F378" s="4" t="s">
        <v>153</v>
      </c>
      <c r="G378" s="4" t="s">
        <v>154</v>
      </c>
      <c r="H378" s="4" t="s">
        <v>155</v>
      </c>
      <c r="I378" s="4" t="s">
        <v>163</v>
      </c>
      <c r="J378" s="4" t="s">
        <v>157</v>
      </c>
      <c r="K378" s="4" t="s">
        <v>158</v>
      </c>
      <c r="L378" s="4" t="s">
        <v>159</v>
      </c>
      <c r="M378" s="150">
        <v>0.78500000000000003</v>
      </c>
      <c r="N378" s="4" t="s">
        <v>231</v>
      </c>
      <c r="O378" s="165">
        <v>0</v>
      </c>
      <c r="P378" s="166">
        <v>5.2290000000000003E-2</v>
      </c>
      <c r="R378" s="150">
        <v>30000</v>
      </c>
      <c r="S378" s="150">
        <v>3.7589999999999999</v>
      </c>
      <c r="T378" s="150">
        <v>96.399000000000001</v>
      </c>
      <c r="U378" s="150">
        <v>108.709</v>
      </c>
      <c r="W378" s="4" t="s">
        <v>37</v>
      </c>
      <c r="X378" s="166">
        <v>9.9999999999999995E-7</v>
      </c>
      <c r="Y378" s="166">
        <v>2.1517205686210198E-3</v>
      </c>
      <c r="Z378" s="166">
        <v>1.11801553048427E-3</v>
      </c>
    </row>
    <row r="379" spans="1:26">
      <c r="A379" s="4" t="s">
        <v>256</v>
      </c>
      <c r="B379" s="4">
        <v>7207</v>
      </c>
      <c r="C379" s="4" t="s">
        <v>185</v>
      </c>
      <c r="D379" s="4" t="s">
        <v>232</v>
      </c>
      <c r="E379" s="4" t="s">
        <v>233</v>
      </c>
      <c r="F379" s="4" t="s">
        <v>153</v>
      </c>
      <c r="G379" s="4" t="s">
        <v>154</v>
      </c>
      <c r="H379" s="4" t="s">
        <v>155</v>
      </c>
      <c r="I379" s="4" t="s">
        <v>163</v>
      </c>
      <c r="J379" s="4" t="s">
        <v>157</v>
      </c>
      <c r="K379" s="4" t="s">
        <v>158</v>
      </c>
      <c r="L379" s="4" t="s">
        <v>159</v>
      </c>
      <c r="M379" s="150">
        <v>0.45</v>
      </c>
      <c r="N379" s="4" t="s">
        <v>234</v>
      </c>
      <c r="O379" s="165">
        <v>0</v>
      </c>
      <c r="P379" s="166">
        <v>5.3769999999999998E-2</v>
      </c>
      <c r="R379" s="150">
        <v>50000</v>
      </c>
      <c r="S379" s="150">
        <v>3.7589999999999999</v>
      </c>
      <c r="T379" s="150">
        <v>98.069000000000003</v>
      </c>
      <c r="U379" s="150">
        <v>184.32</v>
      </c>
      <c r="W379" s="4" t="s">
        <v>37</v>
      </c>
      <c r="X379" s="166">
        <v>9.9999999999999995E-7</v>
      </c>
      <c r="Y379" s="166">
        <v>3.6483353855758E-3</v>
      </c>
      <c r="Z379" s="166">
        <v>1.8956437378405101E-3</v>
      </c>
    </row>
    <row r="380" spans="1:26">
      <c r="A380" s="4" t="s">
        <v>256</v>
      </c>
      <c r="B380" s="4">
        <v>7207</v>
      </c>
      <c r="C380" s="4" t="s">
        <v>150</v>
      </c>
      <c r="D380" s="4" t="s">
        <v>235</v>
      </c>
      <c r="E380" s="4" t="s">
        <v>236</v>
      </c>
      <c r="F380" s="4" t="s">
        <v>153</v>
      </c>
      <c r="G380" s="4" t="s">
        <v>154</v>
      </c>
      <c r="H380" s="4" t="s">
        <v>155</v>
      </c>
      <c r="I380" s="4" t="s">
        <v>163</v>
      </c>
      <c r="J380" s="4" t="s">
        <v>157</v>
      </c>
      <c r="K380" s="4" t="s">
        <v>158</v>
      </c>
      <c r="L380" s="4" t="s">
        <v>159</v>
      </c>
      <c r="M380" s="150">
        <v>0.21</v>
      </c>
      <c r="N380" s="4" t="s">
        <v>237</v>
      </c>
      <c r="O380" s="165">
        <v>0</v>
      </c>
      <c r="P380" s="166">
        <v>5.3929999999999999E-2</v>
      </c>
      <c r="R380" s="150">
        <v>40000</v>
      </c>
      <c r="S380" s="150">
        <v>3.7589999999999999</v>
      </c>
      <c r="T380" s="150">
        <v>99.358999999999995</v>
      </c>
      <c r="U380" s="150">
        <v>149.39599999999999</v>
      </c>
      <c r="W380" s="4" t="s">
        <v>37</v>
      </c>
      <c r="X380" s="166">
        <v>9.9999999999999995E-7</v>
      </c>
      <c r="Y380" s="166">
        <v>2.95706353696089E-3</v>
      </c>
      <c r="Z380" s="166">
        <v>1.5364648212986901E-3</v>
      </c>
    </row>
    <row r="381" spans="1:26">
      <c r="A381" s="4" t="s">
        <v>256</v>
      </c>
      <c r="B381" s="4">
        <v>7207</v>
      </c>
      <c r="C381" s="4" t="s">
        <v>185</v>
      </c>
      <c r="D381" s="4" t="s">
        <v>238</v>
      </c>
      <c r="E381" s="4" t="s">
        <v>239</v>
      </c>
      <c r="F381" s="4" t="s">
        <v>153</v>
      </c>
      <c r="G381" s="4" t="s">
        <v>154</v>
      </c>
      <c r="H381" s="4" t="s">
        <v>155</v>
      </c>
      <c r="I381" s="4" t="s">
        <v>163</v>
      </c>
      <c r="J381" s="4" t="s">
        <v>157</v>
      </c>
      <c r="K381" s="4" t="s">
        <v>158</v>
      </c>
      <c r="L381" s="4" t="s">
        <v>159</v>
      </c>
      <c r="M381" s="150">
        <v>13.63</v>
      </c>
      <c r="N381" s="4" t="s">
        <v>240</v>
      </c>
      <c r="O381" s="165">
        <v>2.8750000000000001E-2</v>
      </c>
      <c r="P381" s="166">
        <v>4.8419999999999998E-2</v>
      </c>
      <c r="R381" s="150">
        <v>60000</v>
      </c>
      <c r="S381" s="150">
        <v>3.7589999999999999</v>
      </c>
      <c r="T381" s="150">
        <v>77.813000000000002</v>
      </c>
      <c r="U381" s="150">
        <v>175.49799999999999</v>
      </c>
      <c r="W381" s="4" t="s">
        <v>37</v>
      </c>
      <c r="X381" s="166">
        <v>0</v>
      </c>
      <c r="Y381" s="166">
        <v>3.47371782379465E-3</v>
      </c>
      <c r="Z381" s="166">
        <v>1.8049139521919299E-3</v>
      </c>
    </row>
    <row r="382" spans="1:26">
      <c r="A382" s="4" t="s">
        <v>256</v>
      </c>
      <c r="B382" s="4">
        <v>7207</v>
      </c>
      <c r="C382" s="4" t="s">
        <v>185</v>
      </c>
      <c r="D382" s="4" t="s">
        <v>241</v>
      </c>
      <c r="E382" s="4" t="s">
        <v>242</v>
      </c>
      <c r="F382" s="4" t="s">
        <v>153</v>
      </c>
      <c r="G382" s="4" t="s">
        <v>154</v>
      </c>
      <c r="H382" s="4" t="s">
        <v>155</v>
      </c>
      <c r="I382" s="4" t="s">
        <v>163</v>
      </c>
      <c r="J382" s="4" t="s">
        <v>157</v>
      </c>
      <c r="K382" s="4" t="s">
        <v>158</v>
      </c>
      <c r="L382" s="4" t="s">
        <v>159</v>
      </c>
      <c r="M382" s="150">
        <v>0.26</v>
      </c>
      <c r="N382" s="4" t="s">
        <v>243</v>
      </c>
      <c r="O382" s="165">
        <v>0</v>
      </c>
      <c r="P382" s="166">
        <v>5.3800000000000001E-2</v>
      </c>
      <c r="R382" s="150">
        <v>70000</v>
      </c>
      <c r="S382" s="150">
        <v>3.7589999999999999</v>
      </c>
      <c r="T382" s="150">
        <v>99.057000000000002</v>
      </c>
      <c r="U382" s="150">
        <v>260.649</v>
      </c>
      <c r="W382" s="4" t="s">
        <v>37</v>
      </c>
      <c r="X382" s="166">
        <v>0</v>
      </c>
      <c r="Y382" s="166">
        <v>5.1591374790409998E-3</v>
      </c>
      <c r="Z382" s="166">
        <v>2.6806435322444498E-3</v>
      </c>
    </row>
    <row r="383" spans="1:26">
      <c r="A383" s="4" t="s">
        <v>256</v>
      </c>
      <c r="B383" s="4">
        <v>7207</v>
      </c>
      <c r="C383" s="4" t="s">
        <v>185</v>
      </c>
      <c r="D383" s="4" t="s">
        <v>244</v>
      </c>
      <c r="E383" s="4" t="s">
        <v>245</v>
      </c>
      <c r="F383" s="4" t="s">
        <v>153</v>
      </c>
      <c r="G383" s="4" t="s">
        <v>154</v>
      </c>
      <c r="H383" s="4" t="s">
        <v>155</v>
      </c>
      <c r="I383" s="4" t="s">
        <v>163</v>
      </c>
      <c r="J383" s="4" t="s">
        <v>157</v>
      </c>
      <c r="K383" s="4" t="s">
        <v>158</v>
      </c>
      <c r="L383" s="4" t="s">
        <v>159</v>
      </c>
      <c r="M383" s="150">
        <v>6.94</v>
      </c>
      <c r="N383" s="4" t="s">
        <v>246</v>
      </c>
      <c r="O383" s="165">
        <v>1.8749999999999999E-2</v>
      </c>
      <c r="P383" s="166">
        <v>4.6089999999999999E-2</v>
      </c>
      <c r="R383" s="150">
        <v>60000</v>
      </c>
      <c r="S383" s="150">
        <v>3.7589999999999999</v>
      </c>
      <c r="T383" s="150">
        <v>84.495999999999995</v>
      </c>
      <c r="U383" s="150">
        <v>190.57300000000001</v>
      </c>
      <c r="W383" s="4" t="s">
        <v>37</v>
      </c>
      <c r="X383" s="166">
        <v>0</v>
      </c>
      <c r="Y383" s="166">
        <v>3.7720963080162002E-3</v>
      </c>
      <c r="Z383" s="166">
        <v>1.95994885039706E-3</v>
      </c>
    </row>
    <row r="384" spans="1:26">
      <c r="A384" s="4" t="s">
        <v>256</v>
      </c>
      <c r="B384" s="4">
        <v>7207</v>
      </c>
      <c r="C384" s="4" t="s">
        <v>185</v>
      </c>
      <c r="D384" s="4" t="s">
        <v>247</v>
      </c>
      <c r="E384" s="4" t="s">
        <v>248</v>
      </c>
      <c r="F384" s="4" t="s">
        <v>153</v>
      </c>
      <c r="G384" s="4" t="s">
        <v>154</v>
      </c>
      <c r="H384" s="4" t="s">
        <v>155</v>
      </c>
      <c r="I384" s="4" t="s">
        <v>163</v>
      </c>
      <c r="J384" s="4" t="s">
        <v>157</v>
      </c>
      <c r="K384" s="4" t="s">
        <v>158</v>
      </c>
      <c r="L384" s="4" t="s">
        <v>159</v>
      </c>
      <c r="M384" s="150">
        <v>13.51</v>
      </c>
      <c r="N384" s="4" t="s">
        <v>249</v>
      </c>
      <c r="O384" s="165">
        <v>2.75E-2</v>
      </c>
      <c r="P384" s="166">
        <v>4.8379999999999999E-2</v>
      </c>
      <c r="R384" s="150">
        <v>59000</v>
      </c>
      <c r="S384" s="150">
        <v>3.7589999999999999</v>
      </c>
      <c r="T384" s="150">
        <v>76.775999999999996</v>
      </c>
      <c r="U384" s="150">
        <v>170.274</v>
      </c>
      <c r="W384" s="4" t="s">
        <v>37</v>
      </c>
      <c r="X384" s="166">
        <v>0</v>
      </c>
      <c r="Y384" s="166">
        <v>3.3703049959929801E-3</v>
      </c>
      <c r="Z384" s="166">
        <v>1.7511815348791801E-3</v>
      </c>
    </row>
    <row r="385" spans="1:26">
      <c r="A385" s="4" t="s">
        <v>256</v>
      </c>
      <c r="B385" s="4">
        <v>7207</v>
      </c>
      <c r="C385" s="4" t="s">
        <v>185</v>
      </c>
      <c r="D385" s="4" t="s">
        <v>250</v>
      </c>
      <c r="E385" s="4" t="s">
        <v>251</v>
      </c>
      <c r="F385" s="4" t="s">
        <v>153</v>
      </c>
      <c r="G385" s="4" t="s">
        <v>154</v>
      </c>
      <c r="H385" s="4" t="s">
        <v>155</v>
      </c>
      <c r="I385" s="4" t="s">
        <v>163</v>
      </c>
      <c r="J385" s="4" t="s">
        <v>157</v>
      </c>
      <c r="K385" s="4" t="s">
        <v>158</v>
      </c>
      <c r="L385" s="4" t="s">
        <v>159</v>
      </c>
      <c r="M385" s="150">
        <v>14.19</v>
      </c>
      <c r="N385" s="4" t="s">
        <v>252</v>
      </c>
      <c r="O385" s="165">
        <v>0.03</v>
      </c>
      <c r="P385" s="166">
        <v>4.8489999999999998E-2</v>
      </c>
      <c r="R385" s="150">
        <v>75000</v>
      </c>
      <c r="S385" s="150">
        <v>3.7589999999999999</v>
      </c>
      <c r="T385" s="150">
        <v>78.266000000000005</v>
      </c>
      <c r="U385" s="150">
        <v>220.65</v>
      </c>
      <c r="W385" s="4" t="s">
        <v>37</v>
      </c>
      <c r="X385" s="166">
        <v>1.7849999999999999E-3</v>
      </c>
      <c r="Y385" s="166">
        <v>4.3674328747274902E-3</v>
      </c>
      <c r="Z385" s="166">
        <v>2.26928061826456E-3</v>
      </c>
    </row>
    <row r="386" spans="1:26">
      <c r="A386" s="4" t="s">
        <v>256</v>
      </c>
      <c r="B386" s="4">
        <v>7207</v>
      </c>
      <c r="C386" s="4" t="s">
        <v>185</v>
      </c>
      <c r="D386" s="4" t="s">
        <v>253</v>
      </c>
      <c r="E386" s="4" t="s">
        <v>254</v>
      </c>
      <c r="F386" s="4" t="s">
        <v>153</v>
      </c>
      <c r="G386" s="4" t="s">
        <v>154</v>
      </c>
      <c r="H386" s="4" t="s">
        <v>155</v>
      </c>
      <c r="I386" s="4" t="s">
        <v>163</v>
      </c>
      <c r="J386" s="4" t="s">
        <v>157</v>
      </c>
      <c r="K386" s="4" t="s">
        <v>158</v>
      </c>
      <c r="L386" s="4" t="s">
        <v>159</v>
      </c>
      <c r="M386" s="150">
        <v>14.5</v>
      </c>
      <c r="N386" s="4" t="s">
        <v>255</v>
      </c>
      <c r="O386" s="165">
        <v>2.8750000000000001E-2</v>
      </c>
      <c r="P386" s="166">
        <v>4.8439999999999997E-2</v>
      </c>
      <c r="R386" s="150">
        <v>30000</v>
      </c>
      <c r="S386" s="150">
        <v>3.7589999999999999</v>
      </c>
      <c r="T386" s="150">
        <v>76.787000000000006</v>
      </c>
      <c r="U386" s="150">
        <v>86.593000000000004</v>
      </c>
      <c r="W386" s="4" t="s">
        <v>37</v>
      </c>
      <c r="X386" s="166">
        <v>9.9999999999999995E-7</v>
      </c>
      <c r="Y386" s="166">
        <v>1.7139687739696199E-3</v>
      </c>
      <c r="Z386" s="166">
        <v>8.9056345698790599E-4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F4:F20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N28" sqref="N28"/>
    </sheetView>
  </sheetViews>
  <sheetFormatPr defaultColWidth="11.6640625" defaultRowHeight="13.8"/>
  <cols>
    <col min="1" max="21" width="11.6640625" style="4" customWidth="1"/>
    <col min="22" max="22" width="11.6640625" style="145" customWidth="1"/>
    <col min="23" max="32" width="11.6640625" style="4" customWidth="1"/>
    <col min="33" max="16384" width="11.6640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322</v>
      </c>
      <c r="N1" s="19" t="s">
        <v>298</v>
      </c>
      <c r="O1" s="19" t="s">
        <v>9</v>
      </c>
      <c r="P1" s="19" t="s">
        <v>10</v>
      </c>
      <c r="Q1" s="19" t="s">
        <v>366</v>
      </c>
      <c r="R1" s="19" t="s">
        <v>11</v>
      </c>
      <c r="S1" s="19" t="s">
        <v>12</v>
      </c>
      <c r="T1" s="19" t="s">
        <v>1099</v>
      </c>
      <c r="U1" s="19" t="s">
        <v>13</v>
      </c>
      <c r="V1" s="159" t="s">
        <v>14</v>
      </c>
      <c r="W1" s="163" t="s">
        <v>15</v>
      </c>
      <c r="X1" s="19" t="s">
        <v>600</v>
      </c>
      <c r="Y1" s="19" t="s">
        <v>1020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338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 ht="14.4">
      <c r="A2" s="18" t="s">
        <v>26</v>
      </c>
      <c r="B2" s="18">
        <v>13711</v>
      </c>
      <c r="C2" s="18" t="s">
        <v>2460</v>
      </c>
      <c r="D2" s="18" t="s">
        <v>2461</v>
      </c>
      <c r="E2" s="18" t="s">
        <v>1552</v>
      </c>
      <c r="F2" s="18" t="s">
        <v>3036</v>
      </c>
      <c r="G2" s="18" t="s">
        <v>3037</v>
      </c>
      <c r="H2" s="18" t="s">
        <v>511</v>
      </c>
      <c r="I2" s="18" t="s">
        <v>97</v>
      </c>
      <c r="J2" s="18" t="s">
        <v>31</v>
      </c>
      <c r="K2" s="18" t="s">
        <v>31</v>
      </c>
      <c r="L2" s="18" t="s">
        <v>50</v>
      </c>
      <c r="M2" s="18" t="s">
        <v>636</v>
      </c>
      <c r="N2" s="18" t="s">
        <v>312</v>
      </c>
      <c r="O2" s="4" t="s">
        <v>357</v>
      </c>
      <c r="P2" s="18" t="s">
        <v>358</v>
      </c>
      <c r="Q2" s="18" t="s">
        <v>596</v>
      </c>
      <c r="R2" s="18" t="s">
        <v>35</v>
      </c>
      <c r="S2" s="151">
        <v>0.92600000000000005</v>
      </c>
      <c r="T2" s="20" t="s">
        <v>1557</v>
      </c>
      <c r="U2" s="18" t="s">
        <v>3038</v>
      </c>
      <c r="V2" s="167">
        <v>4.5499999999999999E-2</v>
      </c>
      <c r="W2" s="166">
        <v>4.598E-2</v>
      </c>
      <c r="X2" s="18" t="s">
        <v>602</v>
      </c>
      <c r="Y2" s="18" t="s">
        <v>312</v>
      </c>
      <c r="Z2" s="151">
        <v>3000</v>
      </c>
      <c r="AA2" s="151">
        <v>1</v>
      </c>
      <c r="AB2" s="151">
        <v>1002.87</v>
      </c>
      <c r="AC2" s="18"/>
      <c r="AD2" s="151">
        <v>30.085999999999999</v>
      </c>
      <c r="AE2" s="18"/>
      <c r="AG2" s="18" t="s">
        <v>37</v>
      </c>
      <c r="AH2" s="166">
        <v>1.4E-5</v>
      </c>
      <c r="AI2" s="166">
        <v>1</v>
      </c>
      <c r="AJ2" s="166">
        <v>8.1956116358197198E-4</v>
      </c>
    </row>
    <row r="3" spans="1:36" ht="14.4">
      <c r="A3" s="18" t="s">
        <v>256</v>
      </c>
      <c r="B3" s="18">
        <v>556</v>
      </c>
      <c r="C3" s="18" t="s">
        <v>2460</v>
      </c>
      <c r="D3" s="18" t="s">
        <v>2461</v>
      </c>
      <c r="E3" s="18" t="s">
        <v>1552</v>
      </c>
      <c r="F3" s="18" t="s">
        <v>3036</v>
      </c>
      <c r="G3" s="18" t="s">
        <v>3037</v>
      </c>
      <c r="H3" s="18" t="s">
        <v>511</v>
      </c>
      <c r="I3" s="18" t="s">
        <v>97</v>
      </c>
      <c r="J3" s="18" t="s">
        <v>31</v>
      </c>
      <c r="K3" s="18" t="s">
        <v>31</v>
      </c>
      <c r="L3" s="18" t="s">
        <v>50</v>
      </c>
      <c r="M3" s="18" t="s">
        <v>636</v>
      </c>
      <c r="N3" s="18" t="s">
        <v>312</v>
      </c>
      <c r="O3" s="4" t="s">
        <v>357</v>
      </c>
      <c r="P3" s="18" t="s">
        <v>358</v>
      </c>
      <c r="Q3" s="18" t="s">
        <v>596</v>
      </c>
      <c r="R3" s="18" t="s">
        <v>35</v>
      </c>
      <c r="S3" s="151">
        <v>0.92600000000000005</v>
      </c>
      <c r="T3" s="20" t="s">
        <v>1557</v>
      </c>
      <c r="U3" s="18" t="s">
        <v>3038</v>
      </c>
      <c r="V3" s="167">
        <v>4.5499999999999999E-2</v>
      </c>
      <c r="W3" s="168">
        <v>4.598E-2</v>
      </c>
      <c r="X3" s="18" t="s">
        <v>602</v>
      </c>
      <c r="Y3" s="18" t="s">
        <v>312</v>
      </c>
      <c r="Z3" s="151">
        <v>29000</v>
      </c>
      <c r="AA3" s="151">
        <v>1</v>
      </c>
      <c r="AB3" s="151">
        <v>1002.87</v>
      </c>
      <c r="AC3" s="18"/>
      <c r="AD3" s="151">
        <v>290.83199999999999</v>
      </c>
      <c r="AE3" s="18"/>
      <c r="AG3" s="18" t="s">
        <v>37</v>
      </c>
      <c r="AH3" s="166">
        <v>1.35E-4</v>
      </c>
      <c r="AI3" s="166">
        <v>1</v>
      </c>
      <c r="AJ3" s="166">
        <v>9.1186691524362004E-4</v>
      </c>
    </row>
    <row r="4" spans="1:36" ht="14.4">
      <c r="A4" s="18" t="s">
        <v>256</v>
      </c>
      <c r="B4" s="18">
        <v>7205</v>
      </c>
      <c r="C4" s="18" t="s">
        <v>2460</v>
      </c>
      <c r="D4" s="18" t="s">
        <v>2461</v>
      </c>
      <c r="E4" s="18" t="s">
        <v>1552</v>
      </c>
      <c r="F4" s="18" t="s">
        <v>3036</v>
      </c>
      <c r="G4" s="18" t="s">
        <v>3037</v>
      </c>
      <c r="H4" s="18" t="s">
        <v>511</v>
      </c>
      <c r="I4" s="18" t="s">
        <v>97</v>
      </c>
      <c r="J4" s="18" t="s">
        <v>31</v>
      </c>
      <c r="K4" s="18" t="s">
        <v>31</v>
      </c>
      <c r="L4" s="18" t="s">
        <v>50</v>
      </c>
      <c r="M4" s="18" t="s">
        <v>636</v>
      </c>
      <c r="N4" s="18" t="s">
        <v>312</v>
      </c>
      <c r="O4" s="4" t="s">
        <v>357</v>
      </c>
      <c r="P4" s="18" t="s">
        <v>358</v>
      </c>
      <c r="Q4" s="18" t="s">
        <v>596</v>
      </c>
      <c r="R4" s="18" t="s">
        <v>35</v>
      </c>
      <c r="S4" s="151">
        <v>0.92600000000000005</v>
      </c>
      <c r="T4" s="20" t="s">
        <v>1557</v>
      </c>
      <c r="U4" s="18" t="s">
        <v>3038</v>
      </c>
      <c r="V4" s="167">
        <v>4.5499999999999999E-2</v>
      </c>
      <c r="W4" s="168">
        <v>4.598E-2</v>
      </c>
      <c r="X4" s="18" t="s">
        <v>602</v>
      </c>
      <c r="Y4" s="18" t="s">
        <v>312</v>
      </c>
      <c r="Z4" s="151">
        <v>153000</v>
      </c>
      <c r="AA4" s="151">
        <v>1</v>
      </c>
      <c r="AB4" s="151">
        <v>1002.87</v>
      </c>
      <c r="AC4" s="18"/>
      <c r="AD4" s="151">
        <v>1534.3910000000001</v>
      </c>
      <c r="AE4" s="18"/>
      <c r="AG4" s="18" t="s">
        <v>37</v>
      </c>
      <c r="AH4" s="166">
        <v>7.1000000000000002E-4</v>
      </c>
      <c r="AI4" s="166">
        <v>1</v>
      </c>
      <c r="AJ4" s="166">
        <v>8.3423768793961005E-4</v>
      </c>
    </row>
    <row r="5" spans="1:36" ht="14.4">
      <c r="A5" s="18" t="s">
        <v>256</v>
      </c>
      <c r="B5" s="18">
        <v>7206</v>
      </c>
      <c r="C5" s="18" t="s">
        <v>2460</v>
      </c>
      <c r="D5" s="18" t="s">
        <v>2461</v>
      </c>
      <c r="E5" s="18" t="s">
        <v>1552</v>
      </c>
      <c r="F5" s="18" t="s">
        <v>3036</v>
      </c>
      <c r="G5" s="18" t="s">
        <v>3037</v>
      </c>
      <c r="H5" s="18" t="s">
        <v>511</v>
      </c>
      <c r="I5" s="18" t="s">
        <v>97</v>
      </c>
      <c r="J5" s="18" t="s">
        <v>31</v>
      </c>
      <c r="K5" s="18" t="s">
        <v>31</v>
      </c>
      <c r="L5" s="18" t="s">
        <v>50</v>
      </c>
      <c r="M5" s="18" t="s">
        <v>636</v>
      </c>
      <c r="N5" s="18" t="s">
        <v>312</v>
      </c>
      <c r="O5" s="4" t="s">
        <v>357</v>
      </c>
      <c r="P5" s="18" t="s">
        <v>358</v>
      </c>
      <c r="Q5" s="18" t="s">
        <v>596</v>
      </c>
      <c r="R5" s="18" t="s">
        <v>35</v>
      </c>
      <c r="S5" s="151">
        <v>0.92600000000000005</v>
      </c>
      <c r="T5" s="20" t="s">
        <v>1557</v>
      </c>
      <c r="U5" s="18" t="s">
        <v>3038</v>
      </c>
      <c r="V5" s="167">
        <v>4.5499999999999999E-2</v>
      </c>
      <c r="W5" s="168">
        <v>4.598E-2</v>
      </c>
      <c r="X5" s="18" t="s">
        <v>602</v>
      </c>
      <c r="Y5" s="18" t="s">
        <v>312</v>
      </c>
      <c r="Z5" s="151">
        <v>6000</v>
      </c>
      <c r="AA5" s="151">
        <v>1</v>
      </c>
      <c r="AB5" s="151">
        <v>1002.87</v>
      </c>
      <c r="AC5" s="18"/>
      <c r="AD5" s="151">
        <v>60.171999999999997</v>
      </c>
      <c r="AE5" s="18"/>
      <c r="AG5" s="18" t="s">
        <v>37</v>
      </c>
      <c r="AH5" s="166">
        <v>2.8E-5</v>
      </c>
      <c r="AI5" s="166">
        <v>1</v>
      </c>
      <c r="AJ5" s="166">
        <v>8.98514075952976E-4</v>
      </c>
    </row>
    <row r="6" spans="1:36" ht="14.4">
      <c r="A6" s="18" t="s">
        <v>256</v>
      </c>
      <c r="B6" s="18">
        <v>7207</v>
      </c>
      <c r="C6" s="18" t="s">
        <v>2460</v>
      </c>
      <c r="D6" s="18" t="s">
        <v>2461</v>
      </c>
      <c r="E6" s="18" t="s">
        <v>1552</v>
      </c>
      <c r="F6" s="18" t="s">
        <v>3036</v>
      </c>
      <c r="G6" s="18" t="s">
        <v>3037</v>
      </c>
      <c r="H6" s="18" t="s">
        <v>511</v>
      </c>
      <c r="I6" s="18" t="s">
        <v>97</v>
      </c>
      <c r="J6" s="18" t="s">
        <v>31</v>
      </c>
      <c r="K6" s="18" t="s">
        <v>31</v>
      </c>
      <c r="L6" s="18" t="s">
        <v>50</v>
      </c>
      <c r="M6" s="18" t="s">
        <v>636</v>
      </c>
      <c r="N6" s="18" t="s">
        <v>312</v>
      </c>
      <c r="O6" s="4" t="s">
        <v>357</v>
      </c>
      <c r="P6" s="18" t="s">
        <v>358</v>
      </c>
      <c r="Q6" s="18" t="s">
        <v>596</v>
      </c>
      <c r="R6" s="18" t="s">
        <v>35</v>
      </c>
      <c r="S6" s="151">
        <v>0.92600000000000005</v>
      </c>
      <c r="T6" s="20" t="s">
        <v>1557</v>
      </c>
      <c r="U6" s="18" t="s">
        <v>3038</v>
      </c>
      <c r="V6" s="167">
        <v>4.5499999999999999E-2</v>
      </c>
      <c r="W6" s="168">
        <v>4.598E-2</v>
      </c>
      <c r="X6" s="18" t="s">
        <v>602</v>
      </c>
      <c r="Y6" s="18" t="s">
        <v>312</v>
      </c>
      <c r="Z6" s="151">
        <v>9000</v>
      </c>
      <c r="AA6" s="151">
        <v>1</v>
      </c>
      <c r="AB6" s="151">
        <v>1002.87</v>
      </c>
      <c r="AC6" s="18"/>
      <c r="AD6" s="151">
        <v>90.257999999999996</v>
      </c>
      <c r="AE6" s="18"/>
      <c r="AG6" s="18" t="s">
        <v>37</v>
      </c>
      <c r="AH6" s="166">
        <v>4.1999999999999998E-5</v>
      </c>
      <c r="AI6" s="166">
        <v>1</v>
      </c>
      <c r="AJ6" s="166">
        <v>9.2826222761037598E-4</v>
      </c>
    </row>
    <row r="7" spans="1:36" ht="14.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6"/>
      <c r="W7" s="18"/>
      <c r="X7" s="18"/>
      <c r="Y7" s="18"/>
      <c r="Z7" s="18"/>
      <c r="AA7" s="18"/>
      <c r="AB7" s="18"/>
      <c r="AC7" s="18"/>
      <c r="AD7" s="18"/>
      <c r="AE7" s="18"/>
    </row>
    <row r="8" spans="1:36" ht="14.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6"/>
      <c r="W8" s="18"/>
      <c r="X8" s="18"/>
      <c r="Y8" s="18"/>
      <c r="Z8" s="18"/>
    </row>
    <row r="9" spans="1:36" ht="14.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6"/>
      <c r="W9" s="18"/>
      <c r="X9" s="18"/>
      <c r="Y9" s="18"/>
      <c r="Z9" s="18"/>
      <c r="AB9" s="20"/>
      <c r="AC9" s="20"/>
      <c r="AD9" s="27"/>
      <c r="AG9" s="18"/>
    </row>
    <row r="10" spans="1:36" ht="14.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6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 ht="14.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6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 ht="14.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6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 ht="14.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6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 ht="14.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6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 ht="14.4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6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 ht="14.4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6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 ht="14.4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6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 ht="14.4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6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 ht="14.4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6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 ht="14.4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 ht="14.4">
      <c r="T21" s="2"/>
    </row>
    <row r="22" spans="1:33" ht="14.4">
      <c r="T22" s="2"/>
    </row>
    <row r="23" spans="1:33" ht="14.4">
      <c r="T23" s="2"/>
    </row>
    <row r="24" spans="1:33" ht="14.4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122"/>
  <sheetViews>
    <sheetView rightToLeft="1" zoomScale="70" zoomScaleNormal="70" workbookViewId="0"/>
  </sheetViews>
  <sheetFormatPr defaultColWidth="11.6640625" defaultRowHeight="14.4"/>
  <cols>
    <col min="1" max="4" width="11.6640625" style="11" customWidth="1"/>
    <col min="5" max="5" width="11.6640625" style="4" customWidth="1"/>
    <col min="6" max="21" width="11.6640625" style="11" customWidth="1"/>
    <col min="22" max="22" width="11.6640625" style="190" customWidth="1"/>
    <col min="23" max="23" width="11.6640625" style="11" customWidth="1"/>
    <col min="24" max="25" width="11.6640625" style="4" customWidth="1"/>
    <col min="26" max="26" width="11.6640625" style="11" customWidth="1"/>
    <col min="27" max="16384" width="11.6640625" style="11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516</v>
      </c>
      <c r="M1" s="19" t="s">
        <v>8</v>
      </c>
      <c r="N1" s="19" t="s">
        <v>322</v>
      </c>
      <c r="O1" s="19" t="s">
        <v>298</v>
      </c>
      <c r="P1" s="19" t="s">
        <v>9</v>
      </c>
      <c r="Q1" s="19" t="s">
        <v>10</v>
      </c>
      <c r="R1" s="19" t="s">
        <v>366</v>
      </c>
      <c r="S1" s="19" t="s">
        <v>11</v>
      </c>
      <c r="T1" s="19" t="s">
        <v>12</v>
      </c>
      <c r="U1" s="19" t="s">
        <v>13</v>
      </c>
      <c r="V1" s="159" t="s">
        <v>14</v>
      </c>
      <c r="W1" s="163" t="s">
        <v>15</v>
      </c>
      <c r="X1" s="19" t="s">
        <v>600</v>
      </c>
      <c r="Y1" s="19" t="s">
        <v>1020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338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11" t="s">
        <v>26</v>
      </c>
      <c r="B2" s="27">
        <v>13711</v>
      </c>
      <c r="C2" s="27" t="s">
        <v>1602</v>
      </c>
      <c r="D2" s="27" t="s">
        <v>1603</v>
      </c>
      <c r="E2" s="18" t="s">
        <v>1552</v>
      </c>
      <c r="F2" s="27" t="s">
        <v>2159</v>
      </c>
      <c r="G2" s="27" t="s">
        <v>2160</v>
      </c>
      <c r="H2" s="18" t="s">
        <v>511</v>
      </c>
      <c r="I2" s="27" t="s">
        <v>1154</v>
      </c>
      <c r="J2" s="18" t="s">
        <v>31</v>
      </c>
      <c r="K2" s="18" t="s">
        <v>31</v>
      </c>
      <c r="L2" s="27" t="s">
        <v>517</v>
      </c>
      <c r="M2" s="18" t="s">
        <v>32</v>
      </c>
      <c r="N2" s="27" t="s">
        <v>654</v>
      </c>
      <c r="O2" s="27" t="s">
        <v>312</v>
      </c>
      <c r="P2" s="27" t="s">
        <v>2161</v>
      </c>
      <c r="Q2" s="27" t="s">
        <v>358</v>
      </c>
      <c r="R2" s="27" t="s">
        <v>596</v>
      </c>
      <c r="S2" s="18" t="s">
        <v>35</v>
      </c>
      <c r="T2" s="156">
        <v>0.499</v>
      </c>
      <c r="U2" s="27" t="s">
        <v>2162</v>
      </c>
      <c r="V2" s="187">
        <v>4.7500000000000001E-2</v>
      </c>
      <c r="W2" s="188">
        <v>5.5599999999999997E-2</v>
      </c>
      <c r="X2" s="18" t="s">
        <v>602</v>
      </c>
      <c r="Y2" s="18" t="s">
        <v>312</v>
      </c>
      <c r="Z2" s="156">
        <v>47597.86</v>
      </c>
      <c r="AA2" s="156">
        <v>1</v>
      </c>
      <c r="AB2" s="156">
        <v>99.65</v>
      </c>
      <c r="AC2" s="27"/>
      <c r="AD2" s="156">
        <v>47.430999999999997</v>
      </c>
      <c r="AE2" s="27"/>
      <c r="AF2" s="27"/>
      <c r="AG2" s="18" t="s">
        <v>37</v>
      </c>
      <c r="AH2" s="189">
        <v>5.6800000000000004E-4</v>
      </c>
      <c r="AI2" s="189">
        <v>5.3177969346496204E-3</v>
      </c>
      <c r="AJ2" s="189">
        <v>1.2920526347473501E-3</v>
      </c>
    </row>
    <row r="3" spans="1:36">
      <c r="A3" s="27" t="s">
        <v>26</v>
      </c>
      <c r="B3" s="27">
        <v>13711</v>
      </c>
      <c r="C3" s="27" t="s">
        <v>1638</v>
      </c>
      <c r="D3" s="27" t="s">
        <v>1639</v>
      </c>
      <c r="E3" s="18" t="s">
        <v>1552</v>
      </c>
      <c r="F3" s="27" t="s">
        <v>2163</v>
      </c>
      <c r="G3" s="27" t="s">
        <v>2164</v>
      </c>
      <c r="H3" s="18" t="s">
        <v>511</v>
      </c>
      <c r="I3" s="27" t="s">
        <v>1155</v>
      </c>
      <c r="J3" s="18" t="s">
        <v>31</v>
      </c>
      <c r="K3" s="18" t="s">
        <v>31</v>
      </c>
      <c r="L3" s="27" t="s">
        <v>517</v>
      </c>
      <c r="M3" s="18" t="s">
        <v>32</v>
      </c>
      <c r="N3" s="27" t="s">
        <v>649</v>
      </c>
      <c r="O3" s="27" t="s">
        <v>312</v>
      </c>
      <c r="P3" s="27" t="s">
        <v>2165</v>
      </c>
      <c r="Q3" s="27" t="s">
        <v>2165</v>
      </c>
      <c r="R3" s="27" t="s">
        <v>2165</v>
      </c>
      <c r="S3" s="18" t="s">
        <v>35</v>
      </c>
      <c r="T3" s="156">
        <v>3.6739999999999999</v>
      </c>
      <c r="U3" s="27" t="s">
        <v>2166</v>
      </c>
      <c r="V3" s="187">
        <v>4.8500000000000001E-2</v>
      </c>
      <c r="W3" s="188">
        <v>5.994E-2</v>
      </c>
      <c r="X3" s="18" t="s">
        <v>602</v>
      </c>
      <c r="Y3" s="18" t="s">
        <v>312</v>
      </c>
      <c r="Z3" s="156">
        <v>9000</v>
      </c>
      <c r="AA3" s="156">
        <v>1</v>
      </c>
      <c r="AB3" s="156">
        <v>96.5</v>
      </c>
      <c r="AC3" s="27"/>
      <c r="AD3" s="156">
        <v>8.6850000000000005</v>
      </c>
      <c r="AE3" s="27"/>
      <c r="AG3" s="18" t="s">
        <v>37</v>
      </c>
      <c r="AH3" s="189">
        <v>3.0000000000000001E-5</v>
      </c>
      <c r="AI3" s="189">
        <v>9.7372616886464596E-4</v>
      </c>
      <c r="AJ3" s="189">
        <v>2.3658396088922901E-4</v>
      </c>
    </row>
    <row r="4" spans="1:36">
      <c r="A4" s="27" t="s">
        <v>26</v>
      </c>
      <c r="B4" s="27">
        <v>13711</v>
      </c>
      <c r="C4" s="27" t="s">
        <v>1642</v>
      </c>
      <c r="D4" s="27" t="s">
        <v>1643</v>
      </c>
      <c r="E4" s="18" t="s">
        <v>1552</v>
      </c>
      <c r="F4" s="27" t="s">
        <v>2167</v>
      </c>
      <c r="G4" s="27" t="s">
        <v>2168</v>
      </c>
      <c r="H4" s="18" t="s">
        <v>511</v>
      </c>
      <c r="I4" s="27" t="s">
        <v>1154</v>
      </c>
      <c r="J4" s="18" t="s">
        <v>31</v>
      </c>
      <c r="K4" s="18" t="s">
        <v>31</v>
      </c>
      <c r="L4" s="27" t="s">
        <v>517</v>
      </c>
      <c r="M4" s="18" t="s">
        <v>32</v>
      </c>
      <c r="N4" s="27" t="s">
        <v>634</v>
      </c>
      <c r="O4" s="27" t="s">
        <v>312</v>
      </c>
      <c r="P4" s="27" t="s">
        <v>2169</v>
      </c>
      <c r="Q4" s="27" t="s">
        <v>358</v>
      </c>
      <c r="R4" s="27" t="s">
        <v>596</v>
      </c>
      <c r="S4" s="18" t="s">
        <v>35</v>
      </c>
      <c r="T4" s="156">
        <v>2.8690000000000002</v>
      </c>
      <c r="U4" s="27" t="s">
        <v>2170</v>
      </c>
      <c r="V4" s="187">
        <v>1.0800000000000001E-2</v>
      </c>
      <c r="W4" s="188">
        <v>5.0319999999999997E-2</v>
      </c>
      <c r="X4" s="18" t="s">
        <v>602</v>
      </c>
      <c r="Y4" s="18" t="s">
        <v>312</v>
      </c>
      <c r="Z4" s="156">
        <v>4167.38</v>
      </c>
      <c r="AA4" s="156">
        <v>1</v>
      </c>
      <c r="AB4" s="156">
        <v>89.46</v>
      </c>
      <c r="AC4" s="27"/>
      <c r="AD4" s="156">
        <v>3.7280000000000002</v>
      </c>
      <c r="AE4" s="27"/>
      <c r="AG4" s="18" t="s">
        <v>37</v>
      </c>
      <c r="AH4" s="189">
        <v>3.9999999999999998E-6</v>
      </c>
      <c r="AI4" s="189">
        <v>4.1798338236616903E-4</v>
      </c>
      <c r="AJ4" s="189">
        <v>1.0155644096673301E-4</v>
      </c>
    </row>
    <row r="5" spans="1:36">
      <c r="A5" s="27" t="s">
        <v>26</v>
      </c>
      <c r="B5" s="27">
        <v>13711</v>
      </c>
      <c r="C5" s="27" t="s">
        <v>2171</v>
      </c>
      <c r="D5" s="27" t="s">
        <v>2172</v>
      </c>
      <c r="E5" s="18" t="s">
        <v>1552</v>
      </c>
      <c r="F5" s="27" t="s">
        <v>2173</v>
      </c>
      <c r="G5" s="27" t="s">
        <v>2174</v>
      </c>
      <c r="H5" s="18" t="s">
        <v>511</v>
      </c>
      <c r="I5" s="27" t="s">
        <v>945</v>
      </c>
      <c r="J5" s="18" t="s">
        <v>31</v>
      </c>
      <c r="K5" s="18" t="s">
        <v>31</v>
      </c>
      <c r="L5" s="27" t="s">
        <v>517</v>
      </c>
      <c r="M5" s="18" t="s">
        <v>32</v>
      </c>
      <c r="N5" s="27" t="s">
        <v>666</v>
      </c>
      <c r="O5" s="27" t="s">
        <v>312</v>
      </c>
      <c r="P5" s="27" t="s">
        <v>2161</v>
      </c>
      <c r="Q5" s="27" t="s">
        <v>358</v>
      </c>
      <c r="R5" s="27" t="s">
        <v>596</v>
      </c>
      <c r="S5" s="18" t="s">
        <v>35</v>
      </c>
      <c r="T5" s="156">
        <v>1.915</v>
      </c>
      <c r="U5" s="27" t="s">
        <v>2175</v>
      </c>
      <c r="V5" s="187">
        <v>3.2000000000000001E-2</v>
      </c>
      <c r="W5" s="188">
        <v>3.2629999999999999E-2</v>
      </c>
      <c r="X5" s="18" t="s">
        <v>602</v>
      </c>
      <c r="Y5" s="18" t="s">
        <v>312</v>
      </c>
      <c r="Z5" s="156">
        <v>16941.18</v>
      </c>
      <c r="AA5" s="156">
        <v>1</v>
      </c>
      <c r="AB5" s="156">
        <v>105.65</v>
      </c>
      <c r="AC5" s="27"/>
      <c r="AD5" s="156">
        <v>17.898</v>
      </c>
      <c r="AE5" s="27"/>
      <c r="AG5" s="18" t="s">
        <v>37</v>
      </c>
      <c r="AH5" s="189">
        <v>2.1999999999999999E-5</v>
      </c>
      <c r="AI5" s="189">
        <v>2.0066894955960901E-3</v>
      </c>
      <c r="AJ5" s="189">
        <v>4.8756063493341899E-4</v>
      </c>
    </row>
    <row r="6" spans="1:36">
      <c r="A6" s="27" t="s">
        <v>26</v>
      </c>
      <c r="B6" s="27">
        <v>13711</v>
      </c>
      <c r="C6" s="27" t="s">
        <v>2176</v>
      </c>
      <c r="D6" s="27" t="s">
        <v>2177</v>
      </c>
      <c r="E6" s="18" t="s">
        <v>1552</v>
      </c>
      <c r="F6" s="27" t="s">
        <v>2178</v>
      </c>
      <c r="G6" s="27" t="s">
        <v>2179</v>
      </c>
      <c r="H6" s="18" t="s">
        <v>511</v>
      </c>
      <c r="I6" s="27" t="s">
        <v>1154</v>
      </c>
      <c r="J6" s="18" t="s">
        <v>31</v>
      </c>
      <c r="K6" s="18" t="s">
        <v>31</v>
      </c>
      <c r="L6" s="27" t="s">
        <v>517</v>
      </c>
      <c r="M6" s="18" t="s">
        <v>32</v>
      </c>
      <c r="N6" s="27" t="s">
        <v>639</v>
      </c>
      <c r="O6" s="27" t="s">
        <v>312</v>
      </c>
      <c r="P6" s="27" t="s">
        <v>2165</v>
      </c>
      <c r="Q6" s="27" t="s">
        <v>2165</v>
      </c>
      <c r="R6" s="27" t="s">
        <v>2165</v>
      </c>
      <c r="S6" s="18" t="s">
        <v>35</v>
      </c>
      <c r="T6" s="156">
        <v>2.4489999999999998</v>
      </c>
      <c r="U6" s="27" t="s">
        <v>2180</v>
      </c>
      <c r="V6" s="187">
        <v>8.2500000000000004E-2</v>
      </c>
      <c r="W6" s="188">
        <v>7.1529999999999996E-2</v>
      </c>
      <c r="X6" s="18" t="s">
        <v>602</v>
      </c>
      <c r="Y6" s="18" t="s">
        <v>312</v>
      </c>
      <c r="Z6" s="158">
        <v>27300</v>
      </c>
      <c r="AA6" s="158">
        <v>1</v>
      </c>
      <c r="AB6" s="158">
        <v>102.96</v>
      </c>
      <c r="AC6" s="27"/>
      <c r="AD6" s="158">
        <v>28.108000000000001</v>
      </c>
      <c r="AG6" s="11" t="s">
        <v>37</v>
      </c>
      <c r="AH6" s="189">
        <v>3.39E-4</v>
      </c>
      <c r="AI6" s="189">
        <v>3.15136131865757E-3</v>
      </c>
      <c r="AJ6" s="189">
        <v>7.6567886003354199E-4</v>
      </c>
    </row>
    <row r="7" spans="1:36">
      <c r="A7" s="27" t="s">
        <v>26</v>
      </c>
      <c r="B7" s="27">
        <v>13711</v>
      </c>
      <c r="C7" s="27" t="s">
        <v>1646</v>
      </c>
      <c r="D7" s="27" t="s">
        <v>1647</v>
      </c>
      <c r="E7" s="18" t="s">
        <v>1552</v>
      </c>
      <c r="F7" s="27" t="s">
        <v>2181</v>
      </c>
      <c r="G7" s="27" t="s">
        <v>2182</v>
      </c>
      <c r="H7" s="18" t="s">
        <v>511</v>
      </c>
      <c r="I7" s="27" t="s">
        <v>1154</v>
      </c>
      <c r="J7" s="18" t="s">
        <v>31</v>
      </c>
      <c r="K7" s="18" t="s">
        <v>31</v>
      </c>
      <c r="L7" s="27" t="s">
        <v>517</v>
      </c>
      <c r="M7" s="18" t="s">
        <v>32</v>
      </c>
      <c r="N7" s="27" t="s">
        <v>629</v>
      </c>
      <c r="O7" s="27" t="s">
        <v>312</v>
      </c>
      <c r="P7" s="27" t="s">
        <v>2165</v>
      </c>
      <c r="Q7" s="27" t="s">
        <v>2165</v>
      </c>
      <c r="R7" s="27" t="s">
        <v>2165</v>
      </c>
      <c r="S7" s="18" t="s">
        <v>35</v>
      </c>
      <c r="T7" s="156">
        <v>2.91</v>
      </c>
      <c r="U7" s="27" t="s">
        <v>2183</v>
      </c>
      <c r="V7" s="187">
        <v>6.0499999999999998E-2</v>
      </c>
      <c r="W7" s="188">
        <v>7.0010000000000003E-2</v>
      </c>
      <c r="X7" s="18" t="s">
        <v>602</v>
      </c>
      <c r="Y7" s="18" t="s">
        <v>312</v>
      </c>
      <c r="Z7" s="158">
        <v>13000</v>
      </c>
      <c r="AA7" s="158">
        <v>1</v>
      </c>
      <c r="AB7" s="158">
        <v>99.16</v>
      </c>
      <c r="AC7" s="27"/>
      <c r="AD7" s="158">
        <v>12.891</v>
      </c>
      <c r="AG7" s="11" t="s">
        <v>37</v>
      </c>
      <c r="AH7" s="189">
        <v>5.8999999999999998E-5</v>
      </c>
      <c r="AI7" s="189">
        <v>1.4452630164191601E-3</v>
      </c>
      <c r="AJ7" s="189">
        <v>3.51152161546444E-4</v>
      </c>
    </row>
    <row r="8" spans="1:36">
      <c r="A8" s="27" t="s">
        <v>26</v>
      </c>
      <c r="B8" s="27">
        <v>13711</v>
      </c>
      <c r="C8" s="27" t="s">
        <v>1646</v>
      </c>
      <c r="D8" s="27" t="s">
        <v>1647</v>
      </c>
      <c r="E8" s="18" t="s">
        <v>1552</v>
      </c>
      <c r="F8" s="27" t="s">
        <v>2184</v>
      </c>
      <c r="G8" s="27" t="s">
        <v>2185</v>
      </c>
      <c r="H8" s="18" t="s">
        <v>511</v>
      </c>
      <c r="I8" s="27" t="s">
        <v>1154</v>
      </c>
      <c r="J8" s="18" t="s">
        <v>31</v>
      </c>
      <c r="K8" s="18" t="s">
        <v>31</v>
      </c>
      <c r="L8" s="27" t="s">
        <v>517</v>
      </c>
      <c r="M8" s="18" t="s">
        <v>32</v>
      </c>
      <c r="N8" s="27" t="s">
        <v>629</v>
      </c>
      <c r="O8" s="27" t="s">
        <v>312</v>
      </c>
      <c r="P8" s="27" t="s">
        <v>2165</v>
      </c>
      <c r="Q8" s="27" t="s">
        <v>2165</v>
      </c>
      <c r="R8" s="27" t="s">
        <v>2165</v>
      </c>
      <c r="S8" s="18" t="s">
        <v>35</v>
      </c>
      <c r="T8" s="156">
        <v>3.544</v>
      </c>
      <c r="U8" s="27" t="s">
        <v>149</v>
      </c>
      <c r="V8" s="187">
        <v>5.5E-2</v>
      </c>
      <c r="W8" s="188">
        <v>7.1720000000000006E-2</v>
      </c>
      <c r="X8" s="18" t="s">
        <v>602</v>
      </c>
      <c r="Y8" s="18" t="s">
        <v>312</v>
      </c>
      <c r="Z8" s="156">
        <v>6000</v>
      </c>
      <c r="AA8" s="156">
        <v>1</v>
      </c>
      <c r="AB8" s="156">
        <v>96.11</v>
      </c>
      <c r="AC8" s="27"/>
      <c r="AD8" s="156">
        <v>5.7670000000000003</v>
      </c>
      <c r="AE8" s="27"/>
      <c r="AG8" s="18" t="s">
        <v>37</v>
      </c>
      <c r="AH8" s="189">
        <v>2.9E-5</v>
      </c>
      <c r="AI8" s="189">
        <v>6.4652726832180405E-4</v>
      </c>
      <c r="AJ8" s="189">
        <v>1.5708521230441299E-4</v>
      </c>
    </row>
    <row r="9" spans="1:36">
      <c r="A9" s="27" t="s">
        <v>26</v>
      </c>
      <c r="B9" s="27">
        <v>13711</v>
      </c>
      <c r="C9" s="27" t="s">
        <v>1646</v>
      </c>
      <c r="D9" s="27" t="s">
        <v>1647</v>
      </c>
      <c r="E9" s="18" t="s">
        <v>1552</v>
      </c>
      <c r="F9" s="27" t="s">
        <v>2186</v>
      </c>
      <c r="G9" s="27" t="s">
        <v>2187</v>
      </c>
      <c r="H9" s="18" t="s">
        <v>511</v>
      </c>
      <c r="I9" s="27" t="s">
        <v>1154</v>
      </c>
      <c r="J9" s="18" t="s">
        <v>31</v>
      </c>
      <c r="K9" s="18" t="s">
        <v>31</v>
      </c>
      <c r="L9" s="27" t="s">
        <v>517</v>
      </c>
      <c r="M9" s="18" t="s">
        <v>32</v>
      </c>
      <c r="N9" s="27" t="s">
        <v>629</v>
      </c>
      <c r="O9" s="27" t="s">
        <v>312</v>
      </c>
      <c r="P9" s="27" t="s">
        <v>2165</v>
      </c>
      <c r="Q9" s="27" t="s">
        <v>2165</v>
      </c>
      <c r="R9" s="27" t="s">
        <v>2165</v>
      </c>
      <c r="S9" s="18" t="s">
        <v>35</v>
      </c>
      <c r="T9" s="156">
        <v>0.98599999999999999</v>
      </c>
      <c r="U9" s="27" t="s">
        <v>2188</v>
      </c>
      <c r="V9" s="187">
        <v>3.5499999999999997E-2</v>
      </c>
      <c r="W9" s="188">
        <v>5.9659999999999998E-2</v>
      </c>
      <c r="X9" s="18" t="s">
        <v>602</v>
      </c>
      <c r="Y9" s="18" t="s">
        <v>312</v>
      </c>
      <c r="Z9" s="156">
        <v>27500</v>
      </c>
      <c r="AA9" s="156">
        <v>1</v>
      </c>
      <c r="AB9" s="156">
        <v>97.8</v>
      </c>
      <c r="AC9" s="27"/>
      <c r="AD9" s="156">
        <v>26.895</v>
      </c>
      <c r="AE9" s="27"/>
      <c r="AG9" s="18" t="s">
        <v>37</v>
      </c>
      <c r="AH9" s="189">
        <v>9.6000000000000002E-5</v>
      </c>
      <c r="AI9" s="189">
        <v>3.0153558217172901E-3</v>
      </c>
      <c r="AJ9" s="189">
        <v>7.3263392378996098E-4</v>
      </c>
    </row>
    <row r="10" spans="1:36">
      <c r="A10" s="27" t="s">
        <v>26</v>
      </c>
      <c r="B10" s="27">
        <v>13711</v>
      </c>
      <c r="C10" s="27" t="s">
        <v>2189</v>
      </c>
      <c r="D10" s="27" t="s">
        <v>2190</v>
      </c>
      <c r="E10" s="18" t="s">
        <v>1552</v>
      </c>
      <c r="F10" s="27" t="s">
        <v>2191</v>
      </c>
      <c r="G10" s="27" t="s">
        <v>2192</v>
      </c>
      <c r="H10" s="18" t="s">
        <v>511</v>
      </c>
      <c r="I10" s="27" t="s">
        <v>945</v>
      </c>
      <c r="J10" s="18" t="s">
        <v>31</v>
      </c>
      <c r="K10" s="18" t="s">
        <v>31</v>
      </c>
      <c r="L10" s="27" t="s">
        <v>517</v>
      </c>
      <c r="M10" s="18" t="s">
        <v>32</v>
      </c>
      <c r="N10" s="27" t="s">
        <v>639</v>
      </c>
      <c r="O10" s="27" t="s">
        <v>312</v>
      </c>
      <c r="P10" s="27" t="s">
        <v>2161</v>
      </c>
      <c r="Q10" s="27" t="s">
        <v>358</v>
      </c>
      <c r="R10" s="27" t="s">
        <v>596</v>
      </c>
      <c r="S10" s="18" t="s">
        <v>35</v>
      </c>
      <c r="T10" s="156">
        <v>4.2439999999999998</v>
      </c>
      <c r="U10" s="27" t="s">
        <v>2193</v>
      </c>
      <c r="V10" s="187">
        <v>0.03</v>
      </c>
      <c r="W10" s="188">
        <v>3.5970000000000002E-2</v>
      </c>
      <c r="X10" s="18" t="s">
        <v>602</v>
      </c>
      <c r="Y10" s="18" t="s">
        <v>312</v>
      </c>
      <c r="Z10" s="156">
        <v>1897</v>
      </c>
      <c r="AA10" s="156">
        <v>1</v>
      </c>
      <c r="AB10" s="156">
        <v>100.49</v>
      </c>
      <c r="AC10" s="27"/>
      <c r="AD10" s="156">
        <v>1.9059999999999999</v>
      </c>
      <c r="AE10" s="27"/>
      <c r="AG10" s="18" t="s">
        <v>37</v>
      </c>
      <c r="AH10" s="189">
        <v>3.9999999999999998E-6</v>
      </c>
      <c r="AI10" s="189">
        <v>2.1372592045983699E-4</v>
      </c>
      <c r="AJ10" s="189">
        <v>5.1928485054521703E-5</v>
      </c>
    </row>
    <row r="11" spans="1:36">
      <c r="A11" s="27" t="s">
        <v>26</v>
      </c>
      <c r="B11" s="27">
        <v>13711</v>
      </c>
      <c r="C11" s="27" t="s">
        <v>2189</v>
      </c>
      <c r="D11" s="27" t="s">
        <v>2190</v>
      </c>
      <c r="E11" s="18" t="s">
        <v>1552</v>
      </c>
      <c r="F11" s="27" t="s">
        <v>2194</v>
      </c>
      <c r="G11" s="27" t="s">
        <v>2192</v>
      </c>
      <c r="H11" s="18" t="s">
        <v>511</v>
      </c>
      <c r="I11" s="27" t="s">
        <v>945</v>
      </c>
      <c r="J11" s="18" t="s">
        <v>31</v>
      </c>
      <c r="K11" s="18" t="s">
        <v>31</v>
      </c>
      <c r="L11" s="16" t="s">
        <v>519</v>
      </c>
      <c r="M11" s="18" t="s">
        <v>342</v>
      </c>
      <c r="N11" s="27" t="s">
        <v>639</v>
      </c>
      <c r="O11" s="27" t="s">
        <v>312</v>
      </c>
      <c r="P11" s="27" t="s">
        <v>2161</v>
      </c>
      <c r="Q11" s="27" t="s">
        <v>358</v>
      </c>
      <c r="R11" s="27" t="s">
        <v>596</v>
      </c>
      <c r="S11" s="18" t="s">
        <v>35</v>
      </c>
      <c r="T11" s="156">
        <v>4.21</v>
      </c>
      <c r="U11" s="27" t="s">
        <v>2193</v>
      </c>
      <c r="V11" s="187">
        <v>0.03</v>
      </c>
      <c r="W11" s="188">
        <v>3.4880000000000001E-2</v>
      </c>
      <c r="X11" s="18" t="s">
        <v>602</v>
      </c>
      <c r="Y11" s="18" t="s">
        <v>312</v>
      </c>
      <c r="Z11" s="156">
        <v>44288</v>
      </c>
      <c r="AA11" s="156">
        <v>1</v>
      </c>
      <c r="AB11" s="156">
        <v>100.247</v>
      </c>
      <c r="AC11" s="27"/>
      <c r="AD11" s="156">
        <v>44.396999999999998</v>
      </c>
      <c r="AE11" s="27"/>
      <c r="AG11" s="18" t="s">
        <v>37</v>
      </c>
      <c r="AH11" s="189">
        <v>0</v>
      </c>
      <c r="AI11" s="189">
        <v>4.97764210379397E-3</v>
      </c>
      <c r="AJ11" s="189">
        <v>1.20940601419563E-3</v>
      </c>
    </row>
    <row r="12" spans="1:36">
      <c r="A12" s="27" t="s">
        <v>26</v>
      </c>
      <c r="B12" s="27">
        <v>13711</v>
      </c>
      <c r="C12" s="27" t="s">
        <v>2189</v>
      </c>
      <c r="D12" s="27" t="s">
        <v>2190</v>
      </c>
      <c r="E12" s="18" t="s">
        <v>1552</v>
      </c>
      <c r="F12" s="27" t="s">
        <v>2195</v>
      </c>
      <c r="G12" s="27" t="s">
        <v>2192</v>
      </c>
      <c r="H12" s="18" t="s">
        <v>511</v>
      </c>
      <c r="I12" s="27" t="s">
        <v>945</v>
      </c>
      <c r="J12" s="18" t="s">
        <v>31</v>
      </c>
      <c r="K12" s="18" t="s">
        <v>31</v>
      </c>
      <c r="L12" s="16" t="s">
        <v>519</v>
      </c>
      <c r="M12" s="18" t="s">
        <v>32</v>
      </c>
      <c r="N12" s="27" t="s">
        <v>639</v>
      </c>
      <c r="O12" s="27" t="s">
        <v>312</v>
      </c>
      <c r="P12" s="27" t="s">
        <v>2161</v>
      </c>
      <c r="Q12" s="27" t="s">
        <v>358</v>
      </c>
      <c r="R12" s="27" t="s">
        <v>596</v>
      </c>
      <c r="S12" s="18" t="s">
        <v>35</v>
      </c>
      <c r="T12" s="156">
        <v>4.21</v>
      </c>
      <c r="U12" s="27" t="s">
        <v>2193</v>
      </c>
      <c r="V12" s="187">
        <v>0.03</v>
      </c>
      <c r="W12" s="188">
        <v>3.4880000000000001E-2</v>
      </c>
      <c r="X12" s="18" t="s">
        <v>602</v>
      </c>
      <c r="Y12" s="18" t="s">
        <v>312</v>
      </c>
      <c r="Z12" s="156">
        <v>38815</v>
      </c>
      <c r="AA12" s="156">
        <v>1</v>
      </c>
      <c r="AB12" s="156">
        <v>100.22199999999999</v>
      </c>
      <c r="AC12" s="27"/>
      <c r="AD12" s="156">
        <v>38.901000000000003</v>
      </c>
      <c r="AE12" s="27"/>
      <c r="AG12" s="18" t="s">
        <v>37</v>
      </c>
      <c r="AH12" s="189">
        <v>0</v>
      </c>
      <c r="AI12" s="189">
        <v>4.3614592823628404E-3</v>
      </c>
      <c r="AJ12" s="189">
        <v>1.0596935209019E-3</v>
      </c>
    </row>
    <row r="13" spans="1:36">
      <c r="A13" s="27" t="s">
        <v>26</v>
      </c>
      <c r="B13" s="27">
        <v>13711</v>
      </c>
      <c r="C13" s="27" t="s">
        <v>2189</v>
      </c>
      <c r="D13" s="27" t="s">
        <v>2190</v>
      </c>
      <c r="E13" s="18" t="s">
        <v>1552</v>
      </c>
      <c r="F13" s="27" t="s">
        <v>2196</v>
      </c>
      <c r="G13" s="27" t="s">
        <v>2197</v>
      </c>
      <c r="H13" s="18" t="s">
        <v>511</v>
      </c>
      <c r="I13" s="27" t="s">
        <v>1154</v>
      </c>
      <c r="J13" s="18" t="s">
        <v>31</v>
      </c>
      <c r="K13" s="18" t="s">
        <v>31</v>
      </c>
      <c r="L13" s="27" t="s">
        <v>517</v>
      </c>
      <c r="M13" s="18" t="s">
        <v>32</v>
      </c>
      <c r="N13" s="27" t="s">
        <v>639</v>
      </c>
      <c r="O13" s="27" t="s">
        <v>312</v>
      </c>
      <c r="P13" s="27" t="s">
        <v>2161</v>
      </c>
      <c r="Q13" s="27" t="s">
        <v>358</v>
      </c>
      <c r="R13" s="27" t="s">
        <v>596</v>
      </c>
      <c r="S13" s="18" t="s">
        <v>35</v>
      </c>
      <c r="T13" s="156">
        <v>1.3160000000000001</v>
      </c>
      <c r="U13" s="27" t="s">
        <v>2198</v>
      </c>
      <c r="V13" s="187">
        <v>3.9E-2</v>
      </c>
      <c r="W13" s="188">
        <v>5.5669999999999997E-2</v>
      </c>
      <c r="X13" s="18" t="s">
        <v>602</v>
      </c>
      <c r="Y13" s="18" t="s">
        <v>312</v>
      </c>
      <c r="Z13" s="156">
        <v>4000</v>
      </c>
      <c r="AA13" s="156">
        <v>1</v>
      </c>
      <c r="AB13" s="156">
        <v>98.89</v>
      </c>
      <c r="AC13" s="27"/>
      <c r="AD13" s="156">
        <v>3.956</v>
      </c>
      <c r="AE13" s="27"/>
      <c r="AG13" s="18" t="s">
        <v>37</v>
      </c>
      <c r="AH13" s="189">
        <v>5.0000000000000004E-6</v>
      </c>
      <c r="AI13" s="189">
        <v>4.4348546154991301E-4</v>
      </c>
      <c r="AJ13" s="189">
        <v>1.07752621265795E-4</v>
      </c>
    </row>
    <row r="14" spans="1:36">
      <c r="A14" s="27" t="s">
        <v>26</v>
      </c>
      <c r="B14" s="27">
        <v>13711</v>
      </c>
      <c r="C14" s="27" t="s">
        <v>2199</v>
      </c>
      <c r="D14" s="27" t="s">
        <v>2200</v>
      </c>
      <c r="E14" s="18" t="s">
        <v>1552</v>
      </c>
      <c r="F14" s="27" t="s">
        <v>2201</v>
      </c>
      <c r="G14" s="27" t="s">
        <v>2202</v>
      </c>
      <c r="H14" s="18" t="s">
        <v>511</v>
      </c>
      <c r="I14" s="27" t="s">
        <v>1154</v>
      </c>
      <c r="J14" s="18" t="s">
        <v>31</v>
      </c>
      <c r="K14" s="18" t="s">
        <v>31</v>
      </c>
      <c r="L14" s="27" t="s">
        <v>517</v>
      </c>
      <c r="M14" s="18" t="s">
        <v>32</v>
      </c>
      <c r="N14" s="27" t="s">
        <v>639</v>
      </c>
      <c r="O14" s="27" t="s">
        <v>312</v>
      </c>
      <c r="P14" s="27" t="s">
        <v>168</v>
      </c>
      <c r="Q14" s="27" t="s">
        <v>604</v>
      </c>
      <c r="R14" s="27" t="s">
        <v>596</v>
      </c>
      <c r="S14" s="18" t="s">
        <v>35</v>
      </c>
      <c r="T14" s="156">
        <v>1.4590000000000001</v>
      </c>
      <c r="U14" s="27" t="s">
        <v>2203</v>
      </c>
      <c r="V14" s="187">
        <v>0.04</v>
      </c>
      <c r="W14" s="188">
        <v>4.9189999999999998E-2</v>
      </c>
      <c r="X14" s="18" t="s">
        <v>602</v>
      </c>
      <c r="Y14" s="18" t="s">
        <v>312</v>
      </c>
      <c r="Z14" s="156">
        <v>29434.69</v>
      </c>
      <c r="AA14" s="156">
        <v>1</v>
      </c>
      <c r="AB14" s="156">
        <v>98.76</v>
      </c>
      <c r="AC14" s="27"/>
      <c r="AD14" s="156">
        <v>29.07</v>
      </c>
      <c r="AE14" s="27"/>
      <c r="AG14" s="18" t="s">
        <v>37</v>
      </c>
      <c r="AH14" s="189">
        <v>2.23E-4</v>
      </c>
      <c r="AI14" s="189">
        <v>3.2591741461304902E-3</v>
      </c>
      <c r="AJ14" s="189">
        <v>7.9187388957449795E-4</v>
      </c>
    </row>
    <row r="15" spans="1:36">
      <c r="A15" s="27" t="s">
        <v>26</v>
      </c>
      <c r="B15" s="27">
        <v>13711</v>
      </c>
      <c r="C15" s="27" t="s">
        <v>1662</v>
      </c>
      <c r="D15" s="27" t="s">
        <v>1663</v>
      </c>
      <c r="E15" s="18" t="s">
        <v>1552</v>
      </c>
      <c r="F15" s="27" t="s">
        <v>2204</v>
      </c>
      <c r="G15" s="27" t="s">
        <v>2205</v>
      </c>
      <c r="H15" s="18" t="s">
        <v>511</v>
      </c>
      <c r="I15" s="27" t="s">
        <v>1154</v>
      </c>
      <c r="J15" s="18" t="s">
        <v>31</v>
      </c>
      <c r="K15" s="18" t="s">
        <v>31</v>
      </c>
      <c r="L15" s="27" t="s">
        <v>517</v>
      </c>
      <c r="M15" s="18" t="s">
        <v>32</v>
      </c>
      <c r="N15" s="27" t="s">
        <v>653</v>
      </c>
      <c r="O15" s="27" t="s">
        <v>312</v>
      </c>
      <c r="P15" s="27" t="s">
        <v>2206</v>
      </c>
      <c r="Q15" s="27" t="s">
        <v>604</v>
      </c>
      <c r="R15" s="27" t="s">
        <v>596</v>
      </c>
      <c r="S15" s="18" t="s">
        <v>35</v>
      </c>
      <c r="T15" s="156">
        <v>8.0000000000000002E-3</v>
      </c>
      <c r="U15" s="27" t="s">
        <v>361</v>
      </c>
      <c r="V15" s="187">
        <v>5.5500000000000001E-2</v>
      </c>
      <c r="W15" s="188">
        <v>-0.20596</v>
      </c>
      <c r="X15" s="18" t="s">
        <v>602</v>
      </c>
      <c r="Y15" s="18" t="s">
        <v>312</v>
      </c>
      <c r="Z15" s="156">
        <v>79000.800000000003</v>
      </c>
      <c r="AA15" s="156">
        <v>1</v>
      </c>
      <c r="AB15" s="156">
        <v>102.57</v>
      </c>
      <c r="AC15" s="27"/>
      <c r="AD15" s="156">
        <v>81.031000000000006</v>
      </c>
      <c r="AE15" s="27"/>
      <c r="AG15" s="18" t="s">
        <v>37</v>
      </c>
      <c r="AH15" s="189">
        <v>2.3349999999999998E-3</v>
      </c>
      <c r="AI15" s="189">
        <v>9.0848730664016206E-3</v>
      </c>
      <c r="AJ15" s="189">
        <v>2.2073302771879601E-3</v>
      </c>
    </row>
    <row r="16" spans="1:36">
      <c r="A16" s="27" t="s">
        <v>26</v>
      </c>
      <c r="B16" s="27">
        <v>13711</v>
      </c>
      <c r="C16" s="27" t="s">
        <v>2207</v>
      </c>
      <c r="D16" s="27" t="s">
        <v>2208</v>
      </c>
      <c r="E16" s="18" t="s">
        <v>1552</v>
      </c>
      <c r="F16" s="27" t="s">
        <v>2209</v>
      </c>
      <c r="G16" s="27" t="s">
        <v>2210</v>
      </c>
      <c r="H16" s="18" t="s">
        <v>511</v>
      </c>
      <c r="I16" s="27" t="s">
        <v>1154</v>
      </c>
      <c r="J16" s="18" t="s">
        <v>31</v>
      </c>
      <c r="K16" s="18" t="s">
        <v>489</v>
      </c>
      <c r="L16" s="27" t="s">
        <v>517</v>
      </c>
      <c r="M16" s="18" t="s">
        <v>32</v>
      </c>
      <c r="N16" s="27" t="s">
        <v>653</v>
      </c>
      <c r="O16" s="27" t="s">
        <v>312</v>
      </c>
      <c r="P16" s="27" t="s">
        <v>2165</v>
      </c>
      <c r="Q16" s="27" t="s">
        <v>2165</v>
      </c>
      <c r="R16" s="27" t="s">
        <v>2165</v>
      </c>
      <c r="S16" s="18" t="s">
        <v>35</v>
      </c>
      <c r="T16" s="156">
        <v>0.68200000000000005</v>
      </c>
      <c r="U16" s="27" t="s">
        <v>2211</v>
      </c>
      <c r="V16" s="187">
        <v>7.2499999999999995E-2</v>
      </c>
      <c r="W16" s="188">
        <v>6.9190000000000002E-2</v>
      </c>
      <c r="X16" s="18" t="s">
        <v>602</v>
      </c>
      <c r="Y16" s="18" t="s">
        <v>312</v>
      </c>
      <c r="Z16" s="156">
        <v>10787.78</v>
      </c>
      <c r="AA16" s="156">
        <v>1</v>
      </c>
      <c r="AB16" s="156">
        <v>102.43</v>
      </c>
      <c r="AC16" s="27"/>
      <c r="AD16" s="156">
        <v>11.05</v>
      </c>
      <c r="AE16" s="27"/>
      <c r="AG16" s="18" t="s">
        <v>37</v>
      </c>
      <c r="AH16" s="189">
        <v>7.2000000000000002E-5</v>
      </c>
      <c r="AI16" s="189">
        <v>1.2388715304111201E-3</v>
      </c>
      <c r="AJ16" s="189">
        <v>3.0100570680904101E-4</v>
      </c>
    </row>
    <row r="17" spans="1:36">
      <c r="A17" s="27" t="s">
        <v>26</v>
      </c>
      <c r="B17" s="27">
        <v>13711</v>
      </c>
      <c r="C17" s="27" t="s">
        <v>2212</v>
      </c>
      <c r="D17" s="27" t="s">
        <v>2213</v>
      </c>
      <c r="E17" s="18" t="s">
        <v>1552</v>
      </c>
      <c r="F17" s="27" t="s">
        <v>2214</v>
      </c>
      <c r="G17" s="27" t="s">
        <v>2215</v>
      </c>
      <c r="H17" s="18" t="s">
        <v>511</v>
      </c>
      <c r="I17" s="27" t="s">
        <v>1154</v>
      </c>
      <c r="J17" s="18" t="s">
        <v>31</v>
      </c>
      <c r="K17" s="18" t="s">
        <v>155</v>
      </c>
      <c r="L17" s="27" t="s">
        <v>517</v>
      </c>
      <c r="M17" s="18" t="s">
        <v>32</v>
      </c>
      <c r="N17" s="27" t="s">
        <v>631</v>
      </c>
      <c r="O17" s="27" t="s">
        <v>312</v>
      </c>
      <c r="P17" s="27" t="s">
        <v>2161</v>
      </c>
      <c r="Q17" s="27" t="s">
        <v>358</v>
      </c>
      <c r="R17" s="27" t="s">
        <v>596</v>
      </c>
      <c r="S17" s="18" t="s">
        <v>35</v>
      </c>
      <c r="T17" s="156">
        <v>0.95399999999999996</v>
      </c>
      <c r="U17" s="27" t="s">
        <v>2216</v>
      </c>
      <c r="V17" s="187">
        <v>4.7500000000000001E-2</v>
      </c>
      <c r="W17" s="188">
        <v>6.0749999999999998E-2</v>
      </c>
      <c r="X17" s="18" t="s">
        <v>602</v>
      </c>
      <c r="Y17" s="18" t="s">
        <v>312</v>
      </c>
      <c r="Z17" s="156">
        <v>122207.88</v>
      </c>
      <c r="AA17" s="156">
        <v>1</v>
      </c>
      <c r="AB17" s="156">
        <v>99.82</v>
      </c>
      <c r="AC17" s="27"/>
      <c r="AD17" s="156">
        <v>121.988</v>
      </c>
      <c r="AE17" s="27"/>
      <c r="AG17" s="18" t="s">
        <v>37</v>
      </c>
      <c r="AH17" s="189">
        <v>1.4799999999999999E-4</v>
      </c>
      <c r="AI17" s="189">
        <v>1.3676777913418E-2</v>
      </c>
      <c r="AJ17" s="189">
        <v>3.3230146158355202E-3</v>
      </c>
    </row>
    <row r="18" spans="1:36">
      <c r="A18" s="27" t="s">
        <v>26</v>
      </c>
      <c r="B18" s="27">
        <v>13711</v>
      </c>
      <c r="C18" s="27" t="s">
        <v>2217</v>
      </c>
      <c r="D18" s="27" t="s">
        <v>2218</v>
      </c>
      <c r="E18" s="18" t="s">
        <v>504</v>
      </c>
      <c r="F18" s="27" t="s">
        <v>2219</v>
      </c>
      <c r="G18" s="27" t="s">
        <v>2220</v>
      </c>
      <c r="H18" s="18" t="s">
        <v>511</v>
      </c>
      <c r="I18" s="27" t="s">
        <v>1154</v>
      </c>
      <c r="J18" s="18" t="s">
        <v>31</v>
      </c>
      <c r="K18" s="18" t="s">
        <v>31</v>
      </c>
      <c r="L18" s="27" t="s">
        <v>517</v>
      </c>
      <c r="M18" s="18" t="s">
        <v>32</v>
      </c>
      <c r="N18" s="27" t="s">
        <v>653</v>
      </c>
      <c r="O18" s="27" t="s">
        <v>312</v>
      </c>
      <c r="P18" s="27" t="s">
        <v>2221</v>
      </c>
      <c r="Q18" s="27" t="s">
        <v>604</v>
      </c>
      <c r="R18" s="27" t="s">
        <v>596</v>
      </c>
      <c r="S18" s="18" t="s">
        <v>35</v>
      </c>
      <c r="T18" s="156">
        <v>0.59899999999999998</v>
      </c>
      <c r="U18" s="27" t="s">
        <v>2222</v>
      </c>
      <c r="V18" s="187">
        <v>7.7499999999999999E-2</v>
      </c>
      <c r="W18" s="188">
        <v>7.6840000000000006E-2</v>
      </c>
      <c r="X18" s="18" t="s">
        <v>602</v>
      </c>
      <c r="Y18" s="18" t="s">
        <v>312</v>
      </c>
      <c r="Z18" s="156">
        <v>41103</v>
      </c>
      <c r="AA18" s="156">
        <v>1</v>
      </c>
      <c r="AB18" s="156">
        <v>103</v>
      </c>
      <c r="AC18" s="27"/>
      <c r="AD18" s="156">
        <v>42.335999999999999</v>
      </c>
      <c r="AE18" s="27"/>
      <c r="AG18" s="18" t="s">
        <v>37</v>
      </c>
      <c r="AH18" s="189">
        <v>2.7399999999999999E-4</v>
      </c>
      <c r="AI18" s="189">
        <v>4.7465467726435003E-3</v>
      </c>
      <c r="AJ18" s="189">
        <v>1.15325732420989E-3</v>
      </c>
    </row>
    <row r="19" spans="1:36">
      <c r="A19" s="27" t="s">
        <v>26</v>
      </c>
      <c r="B19" s="27">
        <v>13711</v>
      </c>
      <c r="C19" s="27" t="s">
        <v>1670</v>
      </c>
      <c r="D19" s="27" t="s">
        <v>1671</v>
      </c>
      <c r="E19" s="18" t="s">
        <v>1552</v>
      </c>
      <c r="F19" s="27" t="s">
        <v>2223</v>
      </c>
      <c r="G19" s="27" t="s">
        <v>2224</v>
      </c>
      <c r="H19" s="18" t="s">
        <v>511</v>
      </c>
      <c r="I19" s="27" t="s">
        <v>1154</v>
      </c>
      <c r="J19" s="18" t="s">
        <v>31</v>
      </c>
      <c r="K19" s="18" t="s">
        <v>31</v>
      </c>
      <c r="L19" s="27" t="s">
        <v>517</v>
      </c>
      <c r="M19" s="18" t="s">
        <v>32</v>
      </c>
      <c r="N19" s="27" t="s">
        <v>652</v>
      </c>
      <c r="O19" s="27" t="s">
        <v>312</v>
      </c>
      <c r="P19" s="27" t="s">
        <v>2225</v>
      </c>
      <c r="Q19" s="27" t="s">
        <v>604</v>
      </c>
      <c r="R19" s="27" t="s">
        <v>596</v>
      </c>
      <c r="S19" s="18" t="s">
        <v>35</v>
      </c>
      <c r="T19" s="156">
        <v>0.99099999999999999</v>
      </c>
      <c r="U19" s="27" t="s">
        <v>2226</v>
      </c>
      <c r="V19" s="187">
        <v>3.39E-2</v>
      </c>
      <c r="W19" s="188">
        <v>4.795E-2</v>
      </c>
      <c r="X19" s="18" t="s">
        <v>602</v>
      </c>
      <c r="Y19" s="18" t="s">
        <v>312</v>
      </c>
      <c r="Z19" s="156">
        <v>31000</v>
      </c>
      <c r="AA19" s="156">
        <v>1</v>
      </c>
      <c r="AB19" s="156">
        <v>100.14</v>
      </c>
      <c r="AC19" s="27"/>
      <c r="AD19" s="156">
        <v>31.042999999999999</v>
      </c>
      <c r="AE19" s="27"/>
      <c r="AG19" s="18" t="s">
        <v>37</v>
      </c>
      <c r="AH19" s="189">
        <v>7.1000000000000005E-5</v>
      </c>
      <c r="AI19" s="189">
        <v>3.4804572194050399E-3</v>
      </c>
      <c r="AJ19" s="189">
        <v>8.4563851830382099E-4</v>
      </c>
    </row>
    <row r="20" spans="1:36">
      <c r="A20" s="11" t="s">
        <v>26</v>
      </c>
      <c r="B20" s="11">
        <v>13711</v>
      </c>
      <c r="C20" s="11" t="s">
        <v>1674</v>
      </c>
      <c r="D20" s="11" t="s">
        <v>1675</v>
      </c>
      <c r="E20" s="18" t="s">
        <v>1552</v>
      </c>
      <c r="F20" s="11" t="s">
        <v>2227</v>
      </c>
      <c r="G20" s="11" t="s">
        <v>2228</v>
      </c>
      <c r="H20" s="18" t="s">
        <v>511</v>
      </c>
      <c r="I20" s="27" t="s">
        <v>1155</v>
      </c>
      <c r="J20" s="18" t="s">
        <v>31</v>
      </c>
      <c r="K20" s="18" t="s">
        <v>155</v>
      </c>
      <c r="L20" s="27" t="s">
        <v>517</v>
      </c>
      <c r="M20" s="18" t="s">
        <v>32</v>
      </c>
      <c r="N20" s="27" t="s">
        <v>629</v>
      </c>
      <c r="O20" s="27" t="s">
        <v>312</v>
      </c>
      <c r="P20" s="11" t="s">
        <v>174</v>
      </c>
      <c r="Q20" s="27" t="s">
        <v>604</v>
      </c>
      <c r="R20" s="27" t="s">
        <v>596</v>
      </c>
      <c r="S20" s="11" t="s">
        <v>35</v>
      </c>
      <c r="T20" s="158">
        <v>4.093</v>
      </c>
      <c r="U20" s="11" t="s">
        <v>2229</v>
      </c>
      <c r="V20" s="174">
        <v>7.4999999999999997E-3</v>
      </c>
      <c r="W20" s="189">
        <v>6.0040000000000003E-2</v>
      </c>
      <c r="X20" s="18" t="s">
        <v>602</v>
      </c>
      <c r="Y20" s="18" t="s">
        <v>312</v>
      </c>
      <c r="Z20" s="158">
        <v>30000</v>
      </c>
      <c r="AA20" s="158">
        <v>1</v>
      </c>
      <c r="AB20" s="158">
        <v>81.400000000000006</v>
      </c>
      <c r="AD20" s="158">
        <v>24.42</v>
      </c>
      <c r="AG20" s="11" t="s">
        <v>37</v>
      </c>
      <c r="AH20" s="189">
        <v>5.5999999999999999E-5</v>
      </c>
      <c r="AI20" s="189">
        <v>2.7378690896574199E-3</v>
      </c>
      <c r="AJ20" s="189">
        <v>6.6521362405468803E-4</v>
      </c>
    </row>
    <row r="21" spans="1:36">
      <c r="A21" s="11" t="s">
        <v>26</v>
      </c>
      <c r="B21" s="11">
        <v>13711</v>
      </c>
      <c r="C21" s="11" t="s">
        <v>2230</v>
      </c>
      <c r="D21" s="11" t="s">
        <v>2231</v>
      </c>
      <c r="E21" s="4" t="s">
        <v>504</v>
      </c>
      <c r="F21" s="11" t="s">
        <v>2232</v>
      </c>
      <c r="G21" s="11" t="s">
        <v>2233</v>
      </c>
      <c r="H21" s="4" t="s">
        <v>511</v>
      </c>
      <c r="I21" s="11" t="s">
        <v>1154</v>
      </c>
      <c r="J21" s="11" t="s">
        <v>31</v>
      </c>
      <c r="K21" s="11" t="s">
        <v>155</v>
      </c>
      <c r="L21" s="11" t="s">
        <v>517</v>
      </c>
      <c r="M21" s="4" t="s">
        <v>50</v>
      </c>
      <c r="N21" s="11" t="s">
        <v>653</v>
      </c>
      <c r="O21" s="11" t="s">
        <v>312</v>
      </c>
      <c r="P21" s="11" t="s">
        <v>2234</v>
      </c>
      <c r="Q21" s="11" t="s">
        <v>358</v>
      </c>
      <c r="R21" s="11" t="s">
        <v>596</v>
      </c>
      <c r="S21" s="11" t="s">
        <v>35</v>
      </c>
      <c r="T21" s="158">
        <v>1.8839999999999999</v>
      </c>
      <c r="U21" s="11" t="s">
        <v>2235</v>
      </c>
      <c r="V21" s="174">
        <v>7.2499999999999995E-2</v>
      </c>
      <c r="W21" s="189">
        <v>7.6039999999999996E-2</v>
      </c>
      <c r="X21" s="4" t="s">
        <v>602</v>
      </c>
      <c r="Y21" s="4" t="s">
        <v>312</v>
      </c>
      <c r="Z21" s="158">
        <v>27000</v>
      </c>
      <c r="AA21" s="158">
        <v>1</v>
      </c>
      <c r="AB21" s="158">
        <v>101.9</v>
      </c>
      <c r="AD21" s="158">
        <v>27.513000000000002</v>
      </c>
      <c r="AG21" s="11" t="s">
        <v>37</v>
      </c>
      <c r="AH21" s="189">
        <v>2.0799999999999999E-4</v>
      </c>
      <c r="AI21" s="189">
        <v>3.0846434178437498E-3</v>
      </c>
      <c r="AJ21" s="189">
        <v>7.4946856832992001E-4</v>
      </c>
    </row>
    <row r="22" spans="1:36">
      <c r="A22" s="11" t="s">
        <v>26</v>
      </c>
      <c r="B22" s="11">
        <v>13711</v>
      </c>
      <c r="C22" s="11" t="s">
        <v>2236</v>
      </c>
      <c r="D22" s="11" t="s">
        <v>2237</v>
      </c>
      <c r="E22" s="4" t="s">
        <v>1552</v>
      </c>
      <c r="F22" s="11" t="s">
        <v>2238</v>
      </c>
      <c r="G22" s="11" t="s">
        <v>2239</v>
      </c>
      <c r="H22" s="4" t="s">
        <v>511</v>
      </c>
      <c r="I22" s="11" t="s">
        <v>945</v>
      </c>
      <c r="J22" s="11" t="s">
        <v>31</v>
      </c>
      <c r="K22" s="11" t="s">
        <v>31</v>
      </c>
      <c r="L22" s="11" t="s">
        <v>517</v>
      </c>
      <c r="M22" s="4" t="s">
        <v>32</v>
      </c>
      <c r="N22" s="11" t="s">
        <v>653</v>
      </c>
      <c r="O22" s="11" t="s">
        <v>312</v>
      </c>
      <c r="P22" s="11" t="s">
        <v>174</v>
      </c>
      <c r="Q22" s="11" t="s">
        <v>604</v>
      </c>
      <c r="R22" s="11" t="s">
        <v>596</v>
      </c>
      <c r="S22" s="11" t="s">
        <v>35</v>
      </c>
      <c r="T22" s="158">
        <v>0.99099999999999999</v>
      </c>
      <c r="U22" s="11" t="s">
        <v>2188</v>
      </c>
      <c r="V22" s="174">
        <v>1.2200000000000001E-2</v>
      </c>
      <c r="W22" s="189">
        <v>3.0630000000000001E-2</v>
      </c>
      <c r="X22" s="4" t="s">
        <v>602</v>
      </c>
      <c r="Y22" s="4" t="s">
        <v>312</v>
      </c>
      <c r="Z22" s="158">
        <v>12500</v>
      </c>
      <c r="AA22" s="158">
        <v>1</v>
      </c>
      <c r="AB22" s="158">
        <v>111.42</v>
      </c>
      <c r="AD22" s="158">
        <v>13.928000000000001</v>
      </c>
      <c r="AG22" s="11" t="s">
        <v>37</v>
      </c>
      <c r="AH22" s="189">
        <v>2.6999999999999999E-5</v>
      </c>
      <c r="AI22" s="189">
        <v>1.5614935195005599E-3</v>
      </c>
      <c r="AJ22" s="189">
        <v>3.7939241396485099E-4</v>
      </c>
    </row>
    <row r="23" spans="1:36">
      <c r="A23" s="11" t="s">
        <v>26</v>
      </c>
      <c r="B23" s="11">
        <v>13711</v>
      </c>
      <c r="C23" s="11" t="s">
        <v>2236</v>
      </c>
      <c r="D23" s="11" t="s">
        <v>2237</v>
      </c>
      <c r="E23" s="4" t="s">
        <v>1552</v>
      </c>
      <c r="F23" s="11" t="s">
        <v>2240</v>
      </c>
      <c r="G23" s="11" t="s">
        <v>2241</v>
      </c>
      <c r="H23" s="4" t="s">
        <v>511</v>
      </c>
      <c r="I23" s="11" t="s">
        <v>1154</v>
      </c>
      <c r="J23" s="11" t="s">
        <v>31</v>
      </c>
      <c r="K23" s="11" t="s">
        <v>31</v>
      </c>
      <c r="L23" s="11" t="s">
        <v>517</v>
      </c>
      <c r="M23" s="11" t="s">
        <v>32</v>
      </c>
      <c r="N23" s="11" t="s">
        <v>653</v>
      </c>
      <c r="O23" s="11" t="s">
        <v>312</v>
      </c>
      <c r="P23" s="11" t="s">
        <v>174</v>
      </c>
      <c r="Q23" s="11" t="s">
        <v>604</v>
      </c>
      <c r="R23" s="11" t="s">
        <v>596</v>
      </c>
      <c r="S23" s="11" t="s">
        <v>35</v>
      </c>
      <c r="T23" s="158">
        <v>2.7869999999999999</v>
      </c>
      <c r="U23" s="11" t="s">
        <v>2242</v>
      </c>
      <c r="V23" s="174">
        <v>2.3E-2</v>
      </c>
      <c r="W23" s="189">
        <v>5.5829999999999998E-2</v>
      </c>
      <c r="X23" s="4" t="s">
        <v>602</v>
      </c>
      <c r="Y23" s="4" t="s">
        <v>312</v>
      </c>
      <c r="Z23" s="158">
        <v>27820.73</v>
      </c>
      <c r="AA23" s="158">
        <v>1</v>
      </c>
      <c r="AB23" s="158">
        <v>92.02</v>
      </c>
      <c r="AD23" s="158">
        <v>25.600999999999999</v>
      </c>
      <c r="AG23" s="11" t="s">
        <v>37</v>
      </c>
      <c r="AH23" s="189">
        <v>3.6000000000000001E-5</v>
      </c>
      <c r="AI23" s="189">
        <v>2.8702370714394801E-3</v>
      </c>
      <c r="AJ23" s="189">
        <v>6.9737476178135399E-4</v>
      </c>
    </row>
    <row r="24" spans="1:36">
      <c r="A24" s="11" t="s">
        <v>26</v>
      </c>
      <c r="B24" s="11">
        <v>13711</v>
      </c>
      <c r="C24" s="11" t="s">
        <v>2243</v>
      </c>
      <c r="D24" s="11" t="s">
        <v>2244</v>
      </c>
      <c r="E24" s="4" t="s">
        <v>1552</v>
      </c>
      <c r="F24" s="11" t="s">
        <v>2245</v>
      </c>
      <c r="G24" s="11" t="s">
        <v>2246</v>
      </c>
      <c r="H24" s="11" t="s">
        <v>511</v>
      </c>
      <c r="I24" s="11" t="s">
        <v>1154</v>
      </c>
      <c r="J24" s="11" t="s">
        <v>31</v>
      </c>
      <c r="K24" s="11" t="s">
        <v>31</v>
      </c>
      <c r="L24" s="11" t="s">
        <v>517</v>
      </c>
      <c r="M24" s="11" t="s">
        <v>32</v>
      </c>
      <c r="N24" s="11" t="s">
        <v>635</v>
      </c>
      <c r="O24" s="11" t="s">
        <v>312</v>
      </c>
      <c r="P24" s="27" t="s">
        <v>2165</v>
      </c>
      <c r="Q24" s="27" t="s">
        <v>2165</v>
      </c>
      <c r="R24" s="27" t="s">
        <v>2165</v>
      </c>
      <c r="S24" s="11" t="s">
        <v>35</v>
      </c>
      <c r="T24" s="158">
        <v>2.2999999999999998</v>
      </c>
      <c r="U24" s="11" t="s">
        <v>2180</v>
      </c>
      <c r="V24" s="174">
        <v>8.5000000000000006E-2</v>
      </c>
      <c r="W24" s="189">
        <v>7.4560000000000001E-2</v>
      </c>
      <c r="X24" s="4" t="s">
        <v>602</v>
      </c>
      <c r="Y24" s="4" t="s">
        <v>312</v>
      </c>
      <c r="Z24" s="158">
        <v>30000</v>
      </c>
      <c r="AA24" s="158">
        <v>1</v>
      </c>
      <c r="AB24" s="158">
        <v>102.62</v>
      </c>
      <c r="AD24" s="158">
        <v>30.786000000000001</v>
      </c>
      <c r="AG24" s="11" t="s">
        <v>37</v>
      </c>
      <c r="AH24" s="189">
        <v>2.31E-4</v>
      </c>
      <c r="AI24" s="189">
        <v>3.4515985992708098E-3</v>
      </c>
      <c r="AJ24" s="189">
        <v>8.3862680713135305E-4</v>
      </c>
    </row>
    <row r="25" spans="1:36">
      <c r="A25" s="11" t="s">
        <v>26</v>
      </c>
      <c r="B25" s="11">
        <v>13711</v>
      </c>
      <c r="C25" s="11" t="s">
        <v>2247</v>
      </c>
      <c r="D25" s="11" t="s">
        <v>2248</v>
      </c>
      <c r="E25" s="4" t="s">
        <v>1552</v>
      </c>
      <c r="F25" s="11" t="s">
        <v>2249</v>
      </c>
      <c r="G25" s="11" t="s">
        <v>2250</v>
      </c>
      <c r="H25" s="11" t="s">
        <v>511</v>
      </c>
      <c r="I25" s="11" t="s">
        <v>1154</v>
      </c>
      <c r="J25" s="11" t="s">
        <v>31</v>
      </c>
      <c r="K25" s="11" t="s">
        <v>31</v>
      </c>
      <c r="L25" s="11" t="s">
        <v>517</v>
      </c>
      <c r="M25" s="11" t="s">
        <v>32</v>
      </c>
      <c r="N25" s="11" t="s">
        <v>635</v>
      </c>
      <c r="O25" s="11" t="s">
        <v>312</v>
      </c>
      <c r="P25" s="11" t="s">
        <v>174</v>
      </c>
      <c r="Q25" s="11" t="s">
        <v>604</v>
      </c>
      <c r="R25" s="11" t="s">
        <v>596</v>
      </c>
      <c r="S25" s="11" t="s">
        <v>35</v>
      </c>
      <c r="T25" s="158">
        <v>0.73799999999999999</v>
      </c>
      <c r="U25" s="11" t="s">
        <v>2251</v>
      </c>
      <c r="V25" s="174">
        <v>2.75E-2</v>
      </c>
      <c r="W25" s="189">
        <v>5.3370000000000001E-2</v>
      </c>
      <c r="X25" s="4" t="s">
        <v>602</v>
      </c>
      <c r="Y25" s="4" t="s">
        <v>312</v>
      </c>
      <c r="Z25" s="158">
        <v>29695</v>
      </c>
      <c r="AA25" s="158">
        <v>1</v>
      </c>
      <c r="AB25" s="158">
        <v>98.88</v>
      </c>
      <c r="AD25" s="158">
        <v>29.361999999999998</v>
      </c>
      <c r="AG25" s="11" t="s">
        <v>37</v>
      </c>
      <c r="AH25" s="189">
        <v>3.3300000000000002E-4</v>
      </c>
      <c r="AI25" s="189">
        <v>3.2919922671606201E-3</v>
      </c>
      <c r="AJ25" s="189">
        <v>7.9984763138252896E-4</v>
      </c>
    </row>
    <row r="26" spans="1:36">
      <c r="A26" s="11" t="s">
        <v>26</v>
      </c>
      <c r="B26" s="11">
        <v>13711</v>
      </c>
      <c r="C26" s="11" t="s">
        <v>1686</v>
      </c>
      <c r="D26" s="11" t="s">
        <v>1687</v>
      </c>
      <c r="E26" s="4" t="s">
        <v>1552</v>
      </c>
      <c r="F26" s="11" t="s">
        <v>2252</v>
      </c>
      <c r="G26" s="11" t="s">
        <v>2253</v>
      </c>
      <c r="H26" s="11" t="s">
        <v>511</v>
      </c>
      <c r="I26" s="11" t="s">
        <v>1155</v>
      </c>
      <c r="J26" s="11" t="s">
        <v>31</v>
      </c>
      <c r="K26" s="11" t="s">
        <v>31</v>
      </c>
      <c r="L26" s="11" t="s">
        <v>517</v>
      </c>
      <c r="M26" s="11" t="s">
        <v>32</v>
      </c>
      <c r="N26" s="11" t="s">
        <v>629</v>
      </c>
      <c r="O26" s="11" t="s">
        <v>312</v>
      </c>
      <c r="P26" s="27" t="s">
        <v>2165</v>
      </c>
      <c r="Q26" s="27" t="s">
        <v>2165</v>
      </c>
      <c r="R26" s="27" t="s">
        <v>2165</v>
      </c>
      <c r="S26" s="11" t="s">
        <v>35</v>
      </c>
      <c r="T26" s="158">
        <v>1.96</v>
      </c>
      <c r="U26" s="11" t="s">
        <v>2203</v>
      </c>
      <c r="V26" s="174">
        <v>2.5000000000000001E-2</v>
      </c>
      <c r="W26" s="189">
        <v>8.133E-2</v>
      </c>
      <c r="X26" s="4" t="s">
        <v>602</v>
      </c>
      <c r="Y26" s="4" t="s">
        <v>312</v>
      </c>
      <c r="Z26" s="158">
        <v>119000</v>
      </c>
      <c r="AA26" s="158">
        <v>1</v>
      </c>
      <c r="AB26" s="158">
        <v>90.1</v>
      </c>
      <c r="AD26" s="158">
        <v>107.21899999999999</v>
      </c>
      <c r="AG26" s="11" t="s">
        <v>37</v>
      </c>
      <c r="AH26" s="189">
        <v>3.5599999999999998E-4</v>
      </c>
      <c r="AI26" s="189">
        <v>1.20209494645364E-2</v>
      </c>
      <c r="AJ26" s="189">
        <v>2.9207018655822898E-3</v>
      </c>
    </row>
    <row r="27" spans="1:36">
      <c r="A27" s="11" t="s">
        <v>26</v>
      </c>
      <c r="B27" s="11">
        <v>13711</v>
      </c>
      <c r="C27" s="11" t="s">
        <v>1694</v>
      </c>
      <c r="D27" s="11" t="s">
        <v>1695</v>
      </c>
      <c r="E27" s="4" t="s">
        <v>1552</v>
      </c>
      <c r="F27" s="11" t="s">
        <v>2254</v>
      </c>
      <c r="G27" s="11" t="s">
        <v>2255</v>
      </c>
      <c r="H27" s="11" t="s">
        <v>511</v>
      </c>
      <c r="I27" s="11" t="s">
        <v>945</v>
      </c>
      <c r="J27" s="11" t="s">
        <v>31</v>
      </c>
      <c r="K27" s="11" t="s">
        <v>31</v>
      </c>
      <c r="L27" s="11" t="s">
        <v>517</v>
      </c>
      <c r="M27" s="11" t="s">
        <v>32</v>
      </c>
      <c r="N27" s="11" t="s">
        <v>652</v>
      </c>
      <c r="O27" s="11" t="s">
        <v>312</v>
      </c>
      <c r="P27" s="27" t="s">
        <v>2165</v>
      </c>
      <c r="Q27" s="27" t="s">
        <v>2165</v>
      </c>
      <c r="R27" s="27" t="s">
        <v>2165</v>
      </c>
      <c r="S27" s="11" t="s">
        <v>35</v>
      </c>
      <c r="T27" s="158">
        <v>2.5609999999999999</v>
      </c>
      <c r="U27" s="11" t="s">
        <v>2256</v>
      </c>
      <c r="V27" s="174">
        <v>1.9E-2</v>
      </c>
      <c r="W27" s="189">
        <v>3.7080000000000002E-2</v>
      </c>
      <c r="X27" s="4" t="s">
        <v>602</v>
      </c>
      <c r="Y27" s="4" t="s">
        <v>312</v>
      </c>
      <c r="Z27" s="158">
        <v>12335.43</v>
      </c>
      <c r="AA27" s="158">
        <v>1</v>
      </c>
      <c r="AB27" s="158">
        <v>104.67</v>
      </c>
      <c r="AD27" s="158">
        <v>12.911</v>
      </c>
      <c r="AG27" s="11" t="s">
        <v>37</v>
      </c>
      <c r="AH27" s="189">
        <v>2.0999999999999999E-5</v>
      </c>
      <c r="AI27" s="189">
        <v>1.44758320698604E-3</v>
      </c>
      <c r="AJ27" s="189">
        <v>3.5171589280055202E-4</v>
      </c>
    </row>
    <row r="28" spans="1:36">
      <c r="A28" s="11" t="s">
        <v>26</v>
      </c>
      <c r="B28" s="11">
        <v>13711</v>
      </c>
      <c r="C28" s="11" t="s">
        <v>1694</v>
      </c>
      <c r="D28" s="11" t="s">
        <v>1695</v>
      </c>
      <c r="E28" s="4" t="s">
        <v>1552</v>
      </c>
      <c r="F28" s="11" t="s">
        <v>2257</v>
      </c>
      <c r="G28" s="11" t="s">
        <v>2255</v>
      </c>
      <c r="H28" s="11" t="s">
        <v>511</v>
      </c>
      <c r="I28" s="11" t="s">
        <v>945</v>
      </c>
      <c r="J28" s="11" t="s">
        <v>31</v>
      </c>
      <c r="K28" s="11" t="s">
        <v>31</v>
      </c>
      <c r="L28" s="16" t="s">
        <v>519</v>
      </c>
      <c r="M28" s="11" t="s">
        <v>32</v>
      </c>
      <c r="N28" s="11" t="s">
        <v>652</v>
      </c>
      <c r="O28" s="11" t="s">
        <v>312</v>
      </c>
      <c r="P28" s="27" t="s">
        <v>2165</v>
      </c>
      <c r="Q28" s="27" t="s">
        <v>2165</v>
      </c>
      <c r="R28" s="27" t="s">
        <v>2165</v>
      </c>
      <c r="S28" s="11" t="s">
        <v>35</v>
      </c>
      <c r="T28" s="158">
        <v>2.59</v>
      </c>
      <c r="U28" s="11" t="s">
        <v>2256</v>
      </c>
      <c r="V28" s="174">
        <v>1.9E-2</v>
      </c>
      <c r="W28" s="189">
        <v>3.7190000000000001E-2</v>
      </c>
      <c r="X28" s="4" t="s">
        <v>602</v>
      </c>
      <c r="Y28" s="4" t="s">
        <v>312</v>
      </c>
      <c r="Z28" s="158">
        <v>20000</v>
      </c>
      <c r="AA28" s="158">
        <v>1</v>
      </c>
      <c r="AB28" s="158">
        <v>104.67</v>
      </c>
      <c r="AD28" s="158">
        <v>20.934000000000001</v>
      </c>
      <c r="AG28" s="11" t="s">
        <v>37</v>
      </c>
      <c r="AH28" s="189">
        <v>0</v>
      </c>
      <c r="AI28" s="189">
        <v>2.3470332318955098E-3</v>
      </c>
      <c r="AJ28" s="189">
        <v>5.7025315339725004E-4</v>
      </c>
    </row>
    <row r="29" spans="1:36">
      <c r="A29" s="11" t="s">
        <v>26</v>
      </c>
      <c r="B29" s="11">
        <v>13711</v>
      </c>
      <c r="C29" s="11" t="s">
        <v>2258</v>
      </c>
      <c r="D29" s="11" t="s">
        <v>2259</v>
      </c>
      <c r="E29" s="4" t="s">
        <v>1552</v>
      </c>
      <c r="F29" s="11" t="s">
        <v>2260</v>
      </c>
      <c r="G29" s="11" t="s">
        <v>2261</v>
      </c>
      <c r="H29" s="11" t="s">
        <v>511</v>
      </c>
      <c r="I29" s="11" t="s">
        <v>945</v>
      </c>
      <c r="J29" s="11" t="s">
        <v>31</v>
      </c>
      <c r="K29" s="11" t="s">
        <v>31</v>
      </c>
      <c r="L29" s="11" t="s">
        <v>517</v>
      </c>
      <c r="M29" s="11" t="s">
        <v>32</v>
      </c>
      <c r="N29" s="11" t="s">
        <v>652</v>
      </c>
      <c r="O29" s="11" t="s">
        <v>312</v>
      </c>
      <c r="P29" s="11" t="s">
        <v>2161</v>
      </c>
      <c r="Q29" s="11" t="s">
        <v>358</v>
      </c>
      <c r="R29" s="11" t="s">
        <v>596</v>
      </c>
      <c r="S29" s="11" t="s">
        <v>35</v>
      </c>
      <c r="T29" s="158">
        <v>3.6779999999999999</v>
      </c>
      <c r="U29" s="11" t="s">
        <v>2262</v>
      </c>
      <c r="V29" s="174">
        <v>1.83E-2</v>
      </c>
      <c r="W29" s="189">
        <v>3.1600000000000003E-2</v>
      </c>
      <c r="X29" s="4" t="s">
        <v>602</v>
      </c>
      <c r="Y29" s="4" t="s">
        <v>312</v>
      </c>
      <c r="Z29" s="158">
        <v>24829.69</v>
      </c>
      <c r="AA29" s="158">
        <v>1</v>
      </c>
      <c r="AB29" s="158">
        <v>108.49</v>
      </c>
      <c r="AD29" s="158">
        <v>26.937999999999999</v>
      </c>
      <c r="AG29" s="11" t="s">
        <v>37</v>
      </c>
      <c r="AH29" s="189">
        <v>1.27E-4</v>
      </c>
      <c r="AI29" s="189">
        <v>3.0201466083958298E-3</v>
      </c>
      <c r="AJ29" s="189">
        <v>7.3379792998022803E-4</v>
      </c>
    </row>
    <row r="30" spans="1:36">
      <c r="A30" s="11" t="s">
        <v>26</v>
      </c>
      <c r="B30" s="11">
        <v>13711</v>
      </c>
      <c r="C30" s="11" t="s">
        <v>2258</v>
      </c>
      <c r="D30" s="11" t="s">
        <v>2259</v>
      </c>
      <c r="E30" s="4" t="s">
        <v>1552</v>
      </c>
      <c r="F30" s="11" t="s">
        <v>2263</v>
      </c>
      <c r="G30" s="11" t="s">
        <v>2264</v>
      </c>
      <c r="H30" s="11" t="s">
        <v>511</v>
      </c>
      <c r="I30" s="11" t="s">
        <v>945</v>
      </c>
      <c r="J30" s="11" t="s">
        <v>31</v>
      </c>
      <c r="K30" s="11" t="s">
        <v>31</v>
      </c>
      <c r="L30" s="11" t="s">
        <v>517</v>
      </c>
      <c r="M30" s="11" t="s">
        <v>32</v>
      </c>
      <c r="N30" s="11" t="s">
        <v>652</v>
      </c>
      <c r="O30" s="11" t="s">
        <v>312</v>
      </c>
      <c r="P30" s="11" t="s">
        <v>2161</v>
      </c>
      <c r="Q30" s="11" t="s">
        <v>358</v>
      </c>
      <c r="R30" s="11" t="s">
        <v>596</v>
      </c>
      <c r="S30" s="11" t="s">
        <v>35</v>
      </c>
      <c r="T30" s="158">
        <v>4.1399999999999997</v>
      </c>
      <c r="U30" s="11" t="s">
        <v>2170</v>
      </c>
      <c r="V30" s="174">
        <v>1.5299999999999999E-2</v>
      </c>
      <c r="W30" s="189">
        <v>3.2820000000000002E-2</v>
      </c>
      <c r="X30" s="4" t="s">
        <v>602</v>
      </c>
      <c r="Y30" s="4" t="s">
        <v>312</v>
      </c>
      <c r="Z30" s="158">
        <v>50423.08</v>
      </c>
      <c r="AA30" s="158">
        <v>1</v>
      </c>
      <c r="AB30" s="158">
        <v>105.9</v>
      </c>
      <c r="AC30" s="158">
        <v>0.83799999999999997</v>
      </c>
      <c r="AD30" s="158">
        <v>54.235999999999997</v>
      </c>
      <c r="AG30" s="11" t="s">
        <v>37</v>
      </c>
      <c r="AH30" s="189">
        <v>1.3100000000000001E-4</v>
      </c>
      <c r="AI30" s="189">
        <v>6.0807435349331199E-3</v>
      </c>
      <c r="AJ30" s="189">
        <v>1.47742397877983E-3</v>
      </c>
    </row>
    <row r="31" spans="1:36">
      <c r="A31" s="11" t="s">
        <v>26</v>
      </c>
      <c r="B31" s="11">
        <v>13711</v>
      </c>
      <c r="C31" s="11" t="s">
        <v>1698</v>
      </c>
      <c r="D31" s="11" t="s">
        <v>1699</v>
      </c>
      <c r="E31" s="4" t="s">
        <v>1552</v>
      </c>
      <c r="F31" s="11" t="s">
        <v>2265</v>
      </c>
      <c r="G31" s="11" t="s">
        <v>2266</v>
      </c>
      <c r="H31" s="11" t="s">
        <v>511</v>
      </c>
      <c r="I31" s="11" t="s">
        <v>364</v>
      </c>
      <c r="J31" s="11" t="s">
        <v>31</v>
      </c>
      <c r="K31" s="11" t="s">
        <v>31</v>
      </c>
      <c r="L31" s="11" t="s">
        <v>517</v>
      </c>
      <c r="M31" s="11" t="s">
        <v>32</v>
      </c>
      <c r="N31" s="11" t="s">
        <v>628</v>
      </c>
      <c r="O31" s="11" t="s">
        <v>312</v>
      </c>
      <c r="P31" s="11" t="s">
        <v>2161</v>
      </c>
      <c r="Q31" s="11" t="s">
        <v>358</v>
      </c>
      <c r="R31" s="11" t="s">
        <v>596</v>
      </c>
      <c r="S31" s="11" t="s">
        <v>35</v>
      </c>
      <c r="T31" s="158">
        <v>0.76</v>
      </c>
      <c r="U31" s="11" t="s">
        <v>2267</v>
      </c>
      <c r="V31" s="174">
        <v>4.7E-2</v>
      </c>
      <c r="W31" s="189">
        <v>7.9450000000000007E-2</v>
      </c>
      <c r="X31" s="4" t="s">
        <v>602</v>
      </c>
      <c r="Y31" s="4" t="s">
        <v>312</v>
      </c>
      <c r="Z31" s="158">
        <v>9420</v>
      </c>
      <c r="AA31" s="158">
        <v>1</v>
      </c>
      <c r="AB31" s="158">
        <v>102.06</v>
      </c>
      <c r="AD31" s="158">
        <v>9.6140000000000008</v>
      </c>
      <c r="AG31" s="11" t="s">
        <v>37</v>
      </c>
      <c r="AH31" s="189">
        <v>2.5999999999999998E-5</v>
      </c>
      <c r="AI31" s="189">
        <v>1.0778876247812901E-3</v>
      </c>
      <c r="AJ31" s="189">
        <v>2.6189182525676602E-4</v>
      </c>
    </row>
    <row r="32" spans="1:36">
      <c r="A32" s="11" t="s">
        <v>26</v>
      </c>
      <c r="B32" s="11">
        <v>13711</v>
      </c>
      <c r="C32" s="11" t="s">
        <v>1706</v>
      </c>
      <c r="D32" s="11" t="s">
        <v>1707</v>
      </c>
      <c r="E32" s="4" t="s">
        <v>1552</v>
      </c>
      <c r="F32" s="11" t="s">
        <v>2268</v>
      </c>
      <c r="G32" s="11" t="s">
        <v>2269</v>
      </c>
      <c r="H32" s="11" t="s">
        <v>511</v>
      </c>
      <c r="I32" s="11" t="s">
        <v>945</v>
      </c>
      <c r="J32" s="11" t="s">
        <v>31</v>
      </c>
      <c r="K32" s="11" t="s">
        <v>31</v>
      </c>
      <c r="L32" s="11" t="s">
        <v>517</v>
      </c>
      <c r="M32" s="11" t="s">
        <v>32</v>
      </c>
      <c r="N32" s="11" t="s">
        <v>652</v>
      </c>
      <c r="O32" s="11" t="s">
        <v>312</v>
      </c>
      <c r="P32" s="11" t="s">
        <v>2225</v>
      </c>
      <c r="Q32" s="11" t="s">
        <v>604</v>
      </c>
      <c r="R32" s="11" t="s">
        <v>596</v>
      </c>
      <c r="S32" s="11" t="s">
        <v>35</v>
      </c>
      <c r="T32" s="158">
        <v>1.6759999999999999</v>
      </c>
      <c r="U32" s="11" t="s">
        <v>2270</v>
      </c>
      <c r="V32" s="174">
        <v>1.34E-2</v>
      </c>
      <c r="W32" s="189">
        <v>2.4400000000000002E-2</v>
      </c>
      <c r="X32" s="4" t="s">
        <v>602</v>
      </c>
      <c r="Y32" s="4" t="s">
        <v>312</v>
      </c>
      <c r="Z32" s="158">
        <v>118123.73</v>
      </c>
      <c r="AA32" s="158">
        <v>1</v>
      </c>
      <c r="AB32" s="158">
        <v>112.6</v>
      </c>
      <c r="AD32" s="158">
        <v>133.00700000000001</v>
      </c>
      <c r="AG32" s="11" t="s">
        <v>37</v>
      </c>
      <c r="AH32" s="189">
        <v>2.4000000000000001E-4</v>
      </c>
      <c r="AI32" s="189">
        <v>1.4912228913653401E-2</v>
      </c>
      <c r="AJ32" s="189">
        <v>3.6231892444593501E-3</v>
      </c>
    </row>
    <row r="33" spans="1:36">
      <c r="A33" s="11" t="s">
        <v>26</v>
      </c>
      <c r="B33" s="11">
        <v>13711</v>
      </c>
      <c r="C33" s="11" t="s">
        <v>1706</v>
      </c>
      <c r="D33" s="11" t="s">
        <v>1707</v>
      </c>
      <c r="E33" s="4" t="s">
        <v>1552</v>
      </c>
      <c r="F33" s="11" t="s">
        <v>2271</v>
      </c>
      <c r="G33" s="11" t="s">
        <v>2272</v>
      </c>
      <c r="H33" s="11" t="s">
        <v>511</v>
      </c>
      <c r="I33" s="11" t="s">
        <v>945</v>
      </c>
      <c r="J33" s="11" t="s">
        <v>31</v>
      </c>
      <c r="K33" s="11" t="s">
        <v>31</v>
      </c>
      <c r="L33" s="11" t="s">
        <v>517</v>
      </c>
      <c r="M33" s="11" t="s">
        <v>32</v>
      </c>
      <c r="N33" s="11" t="s">
        <v>652</v>
      </c>
      <c r="O33" s="11" t="s">
        <v>312</v>
      </c>
      <c r="P33" s="11" t="s">
        <v>2169</v>
      </c>
      <c r="Q33" s="11" t="s">
        <v>358</v>
      </c>
      <c r="R33" s="11" t="s">
        <v>596</v>
      </c>
      <c r="S33" s="11" t="s">
        <v>35</v>
      </c>
      <c r="T33" s="158">
        <v>5.5919999999999996</v>
      </c>
      <c r="U33" s="11" t="s">
        <v>2273</v>
      </c>
      <c r="V33" s="174">
        <v>2.5999999999999999E-2</v>
      </c>
      <c r="W33" s="189">
        <v>3.1829999999999997E-2</v>
      </c>
      <c r="X33" s="4" t="s">
        <v>602</v>
      </c>
      <c r="Y33" s="4" t="s">
        <v>312</v>
      </c>
      <c r="Z33" s="158">
        <v>103000</v>
      </c>
      <c r="AA33" s="158">
        <v>1</v>
      </c>
      <c r="AB33" s="158">
        <v>98.8</v>
      </c>
      <c r="AC33" s="158">
        <v>1.413</v>
      </c>
      <c r="AD33" s="158">
        <v>103.17700000000001</v>
      </c>
      <c r="AG33" s="11" t="s">
        <v>37</v>
      </c>
      <c r="AH33" s="189">
        <v>1.92E-4</v>
      </c>
      <c r="AI33" s="189">
        <v>1.1567786162699E-2</v>
      </c>
      <c r="AJ33" s="189">
        <v>2.8105978421859301E-3</v>
      </c>
    </row>
    <row r="34" spans="1:36">
      <c r="A34" s="11" t="s">
        <v>26</v>
      </c>
      <c r="B34" s="11">
        <v>13711</v>
      </c>
      <c r="C34" s="11" t="s">
        <v>1706</v>
      </c>
      <c r="D34" s="11" t="s">
        <v>1707</v>
      </c>
      <c r="E34" s="4" t="s">
        <v>1552</v>
      </c>
      <c r="F34" s="11" t="s">
        <v>2274</v>
      </c>
      <c r="G34" s="11" t="s">
        <v>2275</v>
      </c>
      <c r="H34" s="11" t="s">
        <v>511</v>
      </c>
      <c r="I34" s="11" t="s">
        <v>945</v>
      </c>
      <c r="J34" s="11" t="s">
        <v>31</v>
      </c>
      <c r="K34" s="11" t="s">
        <v>31</v>
      </c>
      <c r="L34" s="11" t="s">
        <v>517</v>
      </c>
      <c r="M34" s="11" t="s">
        <v>32</v>
      </c>
      <c r="N34" s="11" t="s">
        <v>652</v>
      </c>
      <c r="O34" s="11" t="s">
        <v>312</v>
      </c>
      <c r="P34" s="11" t="s">
        <v>2169</v>
      </c>
      <c r="Q34" s="11" t="s">
        <v>358</v>
      </c>
      <c r="R34" s="11" t="s">
        <v>596</v>
      </c>
      <c r="S34" s="11" t="s">
        <v>35</v>
      </c>
      <c r="T34" s="158">
        <v>3.1429999999999998</v>
      </c>
      <c r="U34" s="11" t="s">
        <v>2276</v>
      </c>
      <c r="V34" s="174">
        <v>1.8200000000000001E-2</v>
      </c>
      <c r="W34" s="189">
        <v>2.6210000000000001E-2</v>
      </c>
      <c r="X34" s="4" t="s">
        <v>602</v>
      </c>
      <c r="Y34" s="4" t="s">
        <v>312</v>
      </c>
      <c r="Z34" s="158">
        <v>16467</v>
      </c>
      <c r="AA34" s="158">
        <v>1</v>
      </c>
      <c r="AB34" s="158">
        <v>110.75</v>
      </c>
      <c r="AD34" s="158">
        <v>18.236999999999998</v>
      </c>
      <c r="AG34" s="11" t="s">
        <v>37</v>
      </c>
      <c r="AH34" s="189">
        <v>3.3000000000000003E-5</v>
      </c>
      <c r="AI34" s="189">
        <v>2.04467948429865E-3</v>
      </c>
      <c r="AJ34" s="189">
        <v>4.9679097328600398E-4</v>
      </c>
    </row>
    <row r="35" spans="1:36">
      <c r="A35" s="11" t="s">
        <v>26</v>
      </c>
      <c r="B35" s="11">
        <v>13711</v>
      </c>
      <c r="C35" s="11" t="s">
        <v>1706</v>
      </c>
      <c r="D35" s="11" t="s">
        <v>1707</v>
      </c>
      <c r="E35" s="4" t="s">
        <v>1552</v>
      </c>
      <c r="F35" s="11" t="s">
        <v>2277</v>
      </c>
      <c r="G35" s="11" t="s">
        <v>2278</v>
      </c>
      <c r="H35" s="11" t="s">
        <v>511</v>
      </c>
      <c r="I35" s="11" t="s">
        <v>945</v>
      </c>
      <c r="J35" s="11" t="s">
        <v>31</v>
      </c>
      <c r="K35" s="11" t="s">
        <v>31</v>
      </c>
      <c r="L35" s="11" t="s">
        <v>517</v>
      </c>
      <c r="M35" s="11" t="s">
        <v>32</v>
      </c>
      <c r="N35" s="11" t="s">
        <v>652</v>
      </c>
      <c r="O35" s="11" t="s">
        <v>312</v>
      </c>
      <c r="P35" s="11" t="s">
        <v>2169</v>
      </c>
      <c r="Q35" s="11" t="s">
        <v>358</v>
      </c>
      <c r="R35" s="11" t="s">
        <v>596</v>
      </c>
      <c r="S35" s="11" t="s">
        <v>35</v>
      </c>
      <c r="T35" s="158">
        <v>1.3640000000000001</v>
      </c>
      <c r="U35" s="11" t="s">
        <v>2279</v>
      </c>
      <c r="V35" s="174">
        <v>2E-3</v>
      </c>
      <c r="W35" s="189">
        <v>2.3019999999999999E-2</v>
      </c>
      <c r="X35" s="4" t="s">
        <v>602</v>
      </c>
      <c r="Y35" s="4" t="s">
        <v>312</v>
      </c>
      <c r="Z35" s="158">
        <v>86383.17</v>
      </c>
      <c r="AA35" s="158">
        <v>1</v>
      </c>
      <c r="AB35" s="158">
        <v>109.12</v>
      </c>
      <c r="AD35" s="158">
        <v>94.260999999999996</v>
      </c>
      <c r="AG35" s="11" t="s">
        <v>37</v>
      </c>
      <c r="AH35" s="189">
        <v>2.7399999999999999E-4</v>
      </c>
      <c r="AI35" s="189">
        <v>1.0568187591060599E-2</v>
      </c>
      <c r="AJ35" s="189">
        <v>2.5677277243444999E-3</v>
      </c>
    </row>
    <row r="36" spans="1:36">
      <c r="A36" s="11" t="s">
        <v>26</v>
      </c>
      <c r="B36" s="11">
        <v>13711</v>
      </c>
      <c r="C36" s="11" t="s">
        <v>2280</v>
      </c>
      <c r="D36" s="11" t="s">
        <v>2281</v>
      </c>
      <c r="E36" s="4" t="s">
        <v>1552</v>
      </c>
      <c r="F36" s="11" t="s">
        <v>2282</v>
      </c>
      <c r="G36" s="11" t="s">
        <v>2283</v>
      </c>
      <c r="H36" s="11" t="s">
        <v>511</v>
      </c>
      <c r="I36" s="11" t="s">
        <v>945</v>
      </c>
      <c r="J36" s="11" t="s">
        <v>31</v>
      </c>
      <c r="K36" s="11" t="s">
        <v>31</v>
      </c>
      <c r="L36" s="11" t="s">
        <v>517</v>
      </c>
      <c r="M36" s="11" t="s">
        <v>32</v>
      </c>
      <c r="N36" s="11" t="s">
        <v>636</v>
      </c>
      <c r="O36" s="11" t="s">
        <v>312</v>
      </c>
      <c r="P36" s="11" t="s">
        <v>157</v>
      </c>
      <c r="Q36" s="11" t="s">
        <v>604</v>
      </c>
      <c r="R36" s="11" t="s">
        <v>596</v>
      </c>
      <c r="S36" s="11" t="s">
        <v>35</v>
      </c>
      <c r="T36" s="158">
        <v>1.1910000000000001</v>
      </c>
      <c r="U36" s="11" t="s">
        <v>2284</v>
      </c>
      <c r="V36" s="174">
        <v>1E-3</v>
      </c>
      <c r="W36" s="189">
        <v>2.1839999999999998E-2</v>
      </c>
      <c r="X36" s="4" t="s">
        <v>602</v>
      </c>
      <c r="Y36" s="4" t="s">
        <v>312</v>
      </c>
      <c r="Z36" s="158">
        <v>4000</v>
      </c>
      <c r="AA36" s="158">
        <v>1</v>
      </c>
      <c r="AB36" s="158">
        <v>110.18</v>
      </c>
      <c r="AD36" s="158">
        <v>4.407</v>
      </c>
      <c r="AG36" s="11" t="s">
        <v>37</v>
      </c>
      <c r="AH36" s="189">
        <v>3.0000000000000001E-6</v>
      </c>
      <c r="AI36" s="189">
        <v>4.9411698001384802E-4</v>
      </c>
      <c r="AJ36" s="189">
        <v>1.20054442421532E-4</v>
      </c>
    </row>
    <row r="37" spans="1:36">
      <c r="A37" s="11" t="s">
        <v>26</v>
      </c>
      <c r="B37" s="11">
        <v>13711</v>
      </c>
      <c r="C37" s="11" t="s">
        <v>2280</v>
      </c>
      <c r="D37" s="11" t="s">
        <v>2281</v>
      </c>
      <c r="E37" s="4" t="s">
        <v>1552</v>
      </c>
      <c r="F37" s="11" t="s">
        <v>2285</v>
      </c>
      <c r="G37" s="11" t="s">
        <v>2286</v>
      </c>
      <c r="H37" s="11" t="s">
        <v>511</v>
      </c>
      <c r="I37" s="11" t="s">
        <v>945</v>
      </c>
      <c r="J37" s="11" t="s">
        <v>31</v>
      </c>
      <c r="K37" s="11" t="s">
        <v>31</v>
      </c>
      <c r="L37" s="11" t="s">
        <v>517</v>
      </c>
      <c r="M37" s="11" t="s">
        <v>32</v>
      </c>
      <c r="N37" s="11" t="s">
        <v>636</v>
      </c>
      <c r="O37" s="11" t="s">
        <v>312</v>
      </c>
      <c r="P37" s="11" t="s">
        <v>157</v>
      </c>
      <c r="Q37" s="11" t="s">
        <v>604</v>
      </c>
      <c r="R37" s="11" t="s">
        <v>596</v>
      </c>
      <c r="S37" s="11" t="s">
        <v>35</v>
      </c>
      <c r="T37" s="158">
        <v>2.4159999999999999</v>
      </c>
      <c r="U37" s="11" t="s">
        <v>2287</v>
      </c>
      <c r="V37" s="174">
        <v>1E-3</v>
      </c>
      <c r="W37" s="189">
        <v>2.0709999999999999E-2</v>
      </c>
      <c r="X37" s="4" t="s">
        <v>602</v>
      </c>
      <c r="Y37" s="4" t="s">
        <v>312</v>
      </c>
      <c r="Z37" s="158">
        <v>75000</v>
      </c>
      <c r="AA37" s="158">
        <v>1</v>
      </c>
      <c r="AB37" s="158">
        <v>105.49</v>
      </c>
      <c r="AD37" s="158">
        <v>79.117999999999995</v>
      </c>
      <c r="AG37" s="11" t="s">
        <v>37</v>
      </c>
      <c r="AH37" s="189">
        <v>1.6100000000000001E-4</v>
      </c>
      <c r="AI37" s="189">
        <v>8.8703258681806108E-3</v>
      </c>
      <c r="AJ37" s="189">
        <v>2.1552022482042099E-3</v>
      </c>
    </row>
    <row r="38" spans="1:36">
      <c r="A38" s="11" t="s">
        <v>26</v>
      </c>
      <c r="B38" s="11">
        <v>13711</v>
      </c>
      <c r="C38" s="11" t="s">
        <v>1911</v>
      </c>
      <c r="D38" s="11" t="s">
        <v>1912</v>
      </c>
      <c r="E38" s="4" t="s">
        <v>1552</v>
      </c>
      <c r="F38" s="11" t="s">
        <v>2288</v>
      </c>
      <c r="G38" s="11" t="s">
        <v>2289</v>
      </c>
      <c r="H38" s="11" t="s">
        <v>511</v>
      </c>
      <c r="I38" s="11" t="s">
        <v>1154</v>
      </c>
      <c r="J38" s="11" t="s">
        <v>31</v>
      </c>
      <c r="K38" s="11" t="s">
        <v>31</v>
      </c>
      <c r="L38" s="11" t="s">
        <v>517</v>
      </c>
      <c r="M38" s="11" t="s">
        <v>32</v>
      </c>
      <c r="N38" s="11" t="s">
        <v>628</v>
      </c>
      <c r="O38" s="11" t="s">
        <v>312</v>
      </c>
      <c r="P38" s="11" t="s">
        <v>2206</v>
      </c>
      <c r="Q38" s="11" t="s">
        <v>604</v>
      </c>
      <c r="R38" s="11" t="s">
        <v>596</v>
      </c>
      <c r="S38" s="11" t="s">
        <v>35</v>
      </c>
      <c r="T38" s="158">
        <v>3.2530000000000001</v>
      </c>
      <c r="U38" s="11" t="s">
        <v>2290</v>
      </c>
      <c r="V38" s="174">
        <v>7.2499999999999995E-2</v>
      </c>
      <c r="W38" s="189">
        <v>6.3E-2</v>
      </c>
      <c r="X38" s="4" t="s">
        <v>602</v>
      </c>
      <c r="Y38" s="4" t="s">
        <v>312</v>
      </c>
      <c r="Z38" s="158">
        <v>19000</v>
      </c>
      <c r="AA38" s="158">
        <v>1</v>
      </c>
      <c r="AB38" s="158">
        <v>104.56</v>
      </c>
      <c r="AD38" s="158">
        <v>19.866</v>
      </c>
      <c r="AG38" s="11" t="s">
        <v>37</v>
      </c>
      <c r="AH38" s="189">
        <v>2.5999999999999998E-5</v>
      </c>
      <c r="AI38" s="189">
        <v>2.2273383490077799E-3</v>
      </c>
      <c r="AJ38" s="189">
        <v>5.4117116875184498E-4</v>
      </c>
    </row>
    <row r="39" spans="1:36">
      <c r="A39" s="11" t="s">
        <v>26</v>
      </c>
      <c r="B39" s="11">
        <v>13711</v>
      </c>
      <c r="C39" s="11" t="s">
        <v>2291</v>
      </c>
      <c r="D39" s="11" t="s">
        <v>2292</v>
      </c>
      <c r="E39" s="4" t="s">
        <v>1552</v>
      </c>
      <c r="F39" s="11" t="s">
        <v>2293</v>
      </c>
      <c r="G39" s="11" t="s">
        <v>2294</v>
      </c>
      <c r="H39" s="11" t="s">
        <v>511</v>
      </c>
      <c r="I39" s="11" t="s">
        <v>1154</v>
      </c>
      <c r="J39" s="11" t="s">
        <v>31</v>
      </c>
      <c r="K39" s="11" t="s">
        <v>31</v>
      </c>
      <c r="L39" s="11" t="s">
        <v>517</v>
      </c>
      <c r="M39" s="11" t="s">
        <v>32</v>
      </c>
      <c r="N39" s="11" t="s">
        <v>651</v>
      </c>
      <c r="O39" s="11" t="s">
        <v>312</v>
      </c>
      <c r="P39" s="27" t="s">
        <v>2165</v>
      </c>
      <c r="Q39" s="27" t="s">
        <v>2165</v>
      </c>
      <c r="R39" s="27" t="s">
        <v>2165</v>
      </c>
      <c r="S39" s="11" t="s">
        <v>35</v>
      </c>
      <c r="T39" s="158">
        <v>3.8330000000000002</v>
      </c>
      <c r="U39" s="11" t="s">
        <v>2193</v>
      </c>
      <c r="V39" s="174">
        <v>7.5800000000000006E-2</v>
      </c>
      <c r="W39" s="189">
        <v>7.4499999999999997E-2</v>
      </c>
      <c r="X39" s="4" t="s">
        <v>602</v>
      </c>
      <c r="Y39" s="4" t="s">
        <v>312</v>
      </c>
      <c r="Z39" s="158">
        <v>12000</v>
      </c>
      <c r="AA39" s="158">
        <v>1</v>
      </c>
      <c r="AB39" s="158">
        <v>101.98</v>
      </c>
      <c r="AD39" s="158">
        <v>12.238</v>
      </c>
      <c r="AG39" s="11" t="s">
        <v>37</v>
      </c>
      <c r="AH39" s="189">
        <v>2.31E-4</v>
      </c>
      <c r="AI39" s="189">
        <v>1.3720289423256201E-3</v>
      </c>
      <c r="AJ39" s="189">
        <v>3.33358650521362E-4</v>
      </c>
    </row>
    <row r="40" spans="1:36">
      <c r="A40" s="11" t="s">
        <v>26</v>
      </c>
      <c r="B40" s="11">
        <v>13711</v>
      </c>
      <c r="C40" s="11" t="s">
        <v>2295</v>
      </c>
      <c r="D40" s="11" t="s">
        <v>2296</v>
      </c>
      <c r="E40" s="4" t="s">
        <v>1552</v>
      </c>
      <c r="F40" s="11" t="s">
        <v>2297</v>
      </c>
      <c r="G40" s="11" t="s">
        <v>2298</v>
      </c>
      <c r="H40" s="11" t="s">
        <v>511</v>
      </c>
      <c r="I40" s="11" t="s">
        <v>945</v>
      </c>
      <c r="J40" s="11" t="s">
        <v>31</v>
      </c>
      <c r="K40" s="11" t="s">
        <v>31</v>
      </c>
      <c r="L40" s="11" t="s">
        <v>517</v>
      </c>
      <c r="M40" s="11" t="s">
        <v>32</v>
      </c>
      <c r="N40" s="11" t="s">
        <v>652</v>
      </c>
      <c r="O40" s="11" t="s">
        <v>312</v>
      </c>
      <c r="P40" s="11" t="s">
        <v>2169</v>
      </c>
      <c r="Q40" s="11" t="s">
        <v>358</v>
      </c>
      <c r="R40" s="11" t="s">
        <v>596</v>
      </c>
      <c r="S40" s="11" t="s">
        <v>35</v>
      </c>
      <c r="T40" s="158">
        <v>1.21</v>
      </c>
      <c r="U40" s="11" t="s">
        <v>2299</v>
      </c>
      <c r="V40" s="174">
        <v>4.7500000000000001E-2</v>
      </c>
      <c r="W40" s="189">
        <v>2.843E-2</v>
      </c>
      <c r="X40" s="4" t="s">
        <v>602</v>
      </c>
      <c r="Y40" s="4" t="s">
        <v>312</v>
      </c>
      <c r="Z40" s="158">
        <v>6666.67</v>
      </c>
      <c r="AA40" s="158">
        <v>1</v>
      </c>
      <c r="AB40" s="158">
        <v>142.59</v>
      </c>
      <c r="AD40" s="158">
        <v>9.5060000000000002</v>
      </c>
      <c r="AG40" s="11" t="s">
        <v>37</v>
      </c>
      <c r="AH40" s="189">
        <v>6.9999999999999999E-6</v>
      </c>
      <c r="AI40" s="189">
        <v>1.0657738156992301E-3</v>
      </c>
      <c r="AJ40" s="189">
        <v>2.5894856150795298E-4</v>
      </c>
    </row>
    <row r="41" spans="1:36">
      <c r="A41" s="11" t="s">
        <v>26</v>
      </c>
      <c r="B41" s="11">
        <v>13711</v>
      </c>
      <c r="C41" s="11" t="s">
        <v>2300</v>
      </c>
      <c r="D41" s="11" t="s">
        <v>2301</v>
      </c>
      <c r="E41" s="4" t="s">
        <v>1552</v>
      </c>
      <c r="F41" s="11" t="s">
        <v>2302</v>
      </c>
      <c r="G41" s="11" t="s">
        <v>2303</v>
      </c>
      <c r="H41" s="11" t="s">
        <v>511</v>
      </c>
      <c r="I41" s="11" t="s">
        <v>1154</v>
      </c>
      <c r="J41" s="11" t="s">
        <v>31</v>
      </c>
      <c r="K41" s="11" t="s">
        <v>31</v>
      </c>
      <c r="L41" s="11" t="s">
        <v>517</v>
      </c>
      <c r="M41" s="11" t="s">
        <v>32</v>
      </c>
      <c r="N41" s="11" t="s">
        <v>635</v>
      </c>
      <c r="O41" s="11" t="s">
        <v>312</v>
      </c>
      <c r="P41" s="27" t="s">
        <v>2165</v>
      </c>
      <c r="Q41" s="27" t="s">
        <v>2165</v>
      </c>
      <c r="R41" s="27" t="s">
        <v>2165</v>
      </c>
      <c r="S41" s="11" t="s">
        <v>35</v>
      </c>
      <c r="T41" s="158">
        <v>1.8959999999999999</v>
      </c>
      <c r="U41" s="11" t="s">
        <v>2203</v>
      </c>
      <c r="V41" s="174">
        <v>3.8699999999999998E-2</v>
      </c>
      <c r="W41" s="189">
        <v>6.3070000000000001E-2</v>
      </c>
      <c r="X41" s="4" t="s">
        <v>602</v>
      </c>
      <c r="Y41" s="4" t="s">
        <v>312</v>
      </c>
      <c r="Z41" s="158">
        <v>23723.02</v>
      </c>
      <c r="AA41" s="158">
        <v>1</v>
      </c>
      <c r="AB41" s="158">
        <v>95.78</v>
      </c>
      <c r="AD41" s="158">
        <v>22.722000000000001</v>
      </c>
      <c r="AG41" s="11" t="s">
        <v>37</v>
      </c>
      <c r="AH41" s="189">
        <v>7.2000000000000002E-5</v>
      </c>
      <c r="AI41" s="189">
        <v>2.5474861217647301E-3</v>
      </c>
      <c r="AJ41" s="189">
        <v>6.1895672137493802E-4</v>
      </c>
    </row>
    <row r="42" spans="1:36">
      <c r="A42" s="11" t="s">
        <v>26</v>
      </c>
      <c r="B42" s="11">
        <v>13711</v>
      </c>
      <c r="C42" s="11" t="s">
        <v>1714</v>
      </c>
      <c r="D42" s="11" t="s">
        <v>1715</v>
      </c>
      <c r="E42" s="4" t="s">
        <v>1552</v>
      </c>
      <c r="F42" s="11" t="s">
        <v>2304</v>
      </c>
      <c r="G42" s="11" t="s">
        <v>2305</v>
      </c>
      <c r="H42" s="11" t="s">
        <v>511</v>
      </c>
      <c r="I42" s="11" t="s">
        <v>945</v>
      </c>
      <c r="J42" s="11" t="s">
        <v>31</v>
      </c>
      <c r="K42" s="11" t="s">
        <v>489</v>
      </c>
      <c r="L42" s="11" t="s">
        <v>517</v>
      </c>
      <c r="M42" s="11" t="s">
        <v>32</v>
      </c>
      <c r="N42" s="11" t="s">
        <v>653</v>
      </c>
      <c r="O42" s="11" t="s">
        <v>312</v>
      </c>
      <c r="P42" s="11" t="s">
        <v>2206</v>
      </c>
      <c r="Q42" s="11" t="s">
        <v>604</v>
      </c>
      <c r="R42" s="11" t="s">
        <v>596</v>
      </c>
      <c r="S42" s="11" t="s">
        <v>35</v>
      </c>
      <c r="T42" s="158">
        <v>3.7690000000000001</v>
      </c>
      <c r="U42" s="11" t="s">
        <v>2183</v>
      </c>
      <c r="V42" s="174">
        <v>1.7500000000000002E-2</v>
      </c>
      <c r="W42" s="189">
        <v>5.8099999999999999E-2</v>
      </c>
      <c r="X42" s="4" t="s">
        <v>602</v>
      </c>
      <c r="Y42" s="4" t="s">
        <v>312</v>
      </c>
      <c r="Z42" s="158">
        <v>8000</v>
      </c>
      <c r="AA42" s="158">
        <v>1</v>
      </c>
      <c r="AB42" s="158">
        <v>95.82</v>
      </c>
      <c r="AD42" s="158">
        <v>7.6660000000000004</v>
      </c>
      <c r="AG42" s="11" t="s">
        <v>37</v>
      </c>
      <c r="AH42" s="189">
        <v>6.9999999999999999E-6</v>
      </c>
      <c r="AI42" s="189">
        <v>8.5943527001137901E-4</v>
      </c>
      <c r="AJ42" s="189">
        <v>2.0881496955584E-4</v>
      </c>
    </row>
    <row r="43" spans="1:36">
      <c r="A43" s="11" t="s">
        <v>26</v>
      </c>
      <c r="B43" s="11">
        <v>13711</v>
      </c>
      <c r="C43" s="11" t="s">
        <v>1714</v>
      </c>
      <c r="D43" s="11" t="s">
        <v>1715</v>
      </c>
      <c r="E43" s="4" t="s">
        <v>1552</v>
      </c>
      <c r="F43" s="11" t="s">
        <v>2306</v>
      </c>
      <c r="G43" s="11" t="s">
        <v>2307</v>
      </c>
      <c r="H43" s="11" t="s">
        <v>511</v>
      </c>
      <c r="I43" s="11" t="s">
        <v>1155</v>
      </c>
      <c r="J43" s="11" t="s">
        <v>31</v>
      </c>
      <c r="K43" s="11" t="s">
        <v>489</v>
      </c>
      <c r="L43" s="11" t="s">
        <v>517</v>
      </c>
      <c r="M43" s="11" t="s">
        <v>32</v>
      </c>
      <c r="N43" s="11" t="s">
        <v>653</v>
      </c>
      <c r="O43" s="11" t="s">
        <v>312</v>
      </c>
      <c r="P43" s="11" t="s">
        <v>2206</v>
      </c>
      <c r="Q43" s="11" t="s">
        <v>604</v>
      </c>
      <c r="R43" s="11" t="s">
        <v>596</v>
      </c>
      <c r="S43" s="11" t="s">
        <v>35</v>
      </c>
      <c r="T43" s="158">
        <v>4.1059999999999999</v>
      </c>
      <c r="U43" s="11" t="s">
        <v>2170</v>
      </c>
      <c r="V43" s="174">
        <v>5.5E-2</v>
      </c>
      <c r="W43" s="189">
        <v>7.6819999999999999E-2</v>
      </c>
      <c r="X43" s="4" t="s">
        <v>602</v>
      </c>
      <c r="Y43" s="4" t="s">
        <v>312</v>
      </c>
      <c r="Z43" s="158">
        <v>10000</v>
      </c>
      <c r="AA43" s="158">
        <v>1</v>
      </c>
      <c r="AB43" s="158">
        <v>90.7</v>
      </c>
      <c r="AD43" s="158">
        <v>9.07</v>
      </c>
      <c r="AG43" s="11" t="s">
        <v>37</v>
      </c>
      <c r="AH43" s="189">
        <v>1.7E-5</v>
      </c>
      <c r="AI43" s="189">
        <v>1.0168907716295199E-3</v>
      </c>
      <c r="AJ43" s="189">
        <v>2.4707156307027098E-4</v>
      </c>
    </row>
    <row r="44" spans="1:36">
      <c r="A44" s="11" t="s">
        <v>26</v>
      </c>
      <c r="B44" s="11">
        <v>13711</v>
      </c>
      <c r="C44" s="11" t="s">
        <v>1714</v>
      </c>
      <c r="D44" s="11" t="s">
        <v>1715</v>
      </c>
      <c r="E44" s="4" t="s">
        <v>1552</v>
      </c>
      <c r="F44" s="11" t="s">
        <v>2308</v>
      </c>
      <c r="G44" s="11" t="s">
        <v>2309</v>
      </c>
      <c r="H44" s="11" t="s">
        <v>511</v>
      </c>
      <c r="I44" s="11" t="s">
        <v>945</v>
      </c>
      <c r="J44" s="11" t="s">
        <v>31</v>
      </c>
      <c r="K44" s="11" t="s">
        <v>489</v>
      </c>
      <c r="L44" s="11" t="s">
        <v>517</v>
      </c>
      <c r="M44" s="11" t="s">
        <v>32</v>
      </c>
      <c r="N44" s="11" t="s">
        <v>653</v>
      </c>
      <c r="O44" s="11" t="s">
        <v>312</v>
      </c>
      <c r="P44" s="11" t="s">
        <v>2206</v>
      </c>
      <c r="Q44" s="11" t="s">
        <v>604</v>
      </c>
      <c r="R44" s="11" t="s">
        <v>596</v>
      </c>
      <c r="S44" s="11" t="s">
        <v>35</v>
      </c>
      <c r="T44" s="158">
        <v>2.1059999999999999</v>
      </c>
      <c r="U44" s="11" t="s">
        <v>2180</v>
      </c>
      <c r="V44" s="174">
        <v>0.04</v>
      </c>
      <c r="W44" s="189">
        <v>5.1159999999999997E-2</v>
      </c>
      <c r="X44" s="4" t="s">
        <v>602</v>
      </c>
      <c r="Y44" s="4" t="s">
        <v>312</v>
      </c>
      <c r="Z44" s="158">
        <v>11000.67</v>
      </c>
      <c r="AA44" s="158">
        <v>1</v>
      </c>
      <c r="AB44" s="158">
        <v>110.28</v>
      </c>
      <c r="AD44" s="158">
        <v>12.132</v>
      </c>
      <c r="AG44" s="11" t="s">
        <v>37</v>
      </c>
      <c r="AH44" s="189">
        <v>5.0000000000000004E-6</v>
      </c>
      <c r="AI44" s="189">
        <v>1.3601378091145601E-3</v>
      </c>
      <c r="AJ44" s="189">
        <v>3.3046948980607299E-4</v>
      </c>
    </row>
    <row r="45" spans="1:36">
      <c r="A45" s="11" t="s">
        <v>26</v>
      </c>
      <c r="B45" s="11">
        <v>13711</v>
      </c>
      <c r="C45" s="11" t="s">
        <v>1714</v>
      </c>
      <c r="D45" s="11" t="s">
        <v>1715</v>
      </c>
      <c r="E45" s="4" t="s">
        <v>1552</v>
      </c>
      <c r="F45" s="11" t="s">
        <v>2310</v>
      </c>
      <c r="G45" s="11" t="s">
        <v>2311</v>
      </c>
      <c r="H45" s="11" t="s">
        <v>511</v>
      </c>
      <c r="I45" s="11" t="s">
        <v>945</v>
      </c>
      <c r="J45" s="11" t="s">
        <v>31</v>
      </c>
      <c r="K45" s="11" t="s">
        <v>489</v>
      </c>
      <c r="L45" s="11" t="s">
        <v>517</v>
      </c>
      <c r="M45" s="11" t="s">
        <v>32</v>
      </c>
      <c r="N45" s="11" t="s">
        <v>653</v>
      </c>
      <c r="O45" s="11" t="s">
        <v>312</v>
      </c>
      <c r="P45" s="11" t="s">
        <v>174</v>
      </c>
      <c r="Q45" s="11" t="s">
        <v>604</v>
      </c>
      <c r="R45" s="11" t="s">
        <v>596</v>
      </c>
      <c r="S45" s="11" t="s">
        <v>35</v>
      </c>
      <c r="T45" s="158">
        <v>4.8680000000000003</v>
      </c>
      <c r="U45" s="11" t="s">
        <v>2312</v>
      </c>
      <c r="V45" s="174">
        <v>4.8300000000000003E-2</v>
      </c>
      <c r="W45" s="189">
        <v>4.6039999999999998E-2</v>
      </c>
      <c r="X45" s="4" t="s">
        <v>602</v>
      </c>
      <c r="Y45" s="4" t="s">
        <v>312</v>
      </c>
      <c r="Z45" s="158">
        <v>34000</v>
      </c>
      <c r="AA45" s="158">
        <v>1</v>
      </c>
      <c r="AB45" s="158">
        <v>104.35</v>
      </c>
      <c r="AD45" s="158">
        <v>35.478999999999999</v>
      </c>
      <c r="AG45" s="11" t="s">
        <v>37</v>
      </c>
      <c r="AH45" s="189">
        <v>8.2999999999999998E-5</v>
      </c>
      <c r="AI45" s="189">
        <v>3.97775828959686E-3</v>
      </c>
      <c r="AJ45" s="189">
        <v>9.6646659163948699E-4</v>
      </c>
    </row>
    <row r="46" spans="1:36">
      <c r="A46" s="11" t="s">
        <v>26</v>
      </c>
      <c r="B46" s="11">
        <v>13711</v>
      </c>
      <c r="C46" s="11" t="s">
        <v>2313</v>
      </c>
      <c r="D46" s="11" t="s">
        <v>2314</v>
      </c>
      <c r="E46" s="4" t="s">
        <v>1552</v>
      </c>
      <c r="F46" s="11" t="s">
        <v>2315</v>
      </c>
      <c r="G46" s="11" t="s">
        <v>2316</v>
      </c>
      <c r="H46" s="11" t="s">
        <v>511</v>
      </c>
      <c r="I46" s="11" t="s">
        <v>945</v>
      </c>
      <c r="J46" s="11" t="s">
        <v>31</v>
      </c>
      <c r="K46" s="11" t="s">
        <v>31</v>
      </c>
      <c r="L46" s="11" t="s">
        <v>517</v>
      </c>
      <c r="M46" s="11" t="s">
        <v>32</v>
      </c>
      <c r="N46" s="11" t="s">
        <v>652</v>
      </c>
      <c r="O46" s="11" t="s">
        <v>312</v>
      </c>
      <c r="P46" s="11" t="s">
        <v>168</v>
      </c>
      <c r="Q46" s="11" t="s">
        <v>604</v>
      </c>
      <c r="R46" s="11" t="s">
        <v>596</v>
      </c>
      <c r="S46" s="11" t="s">
        <v>35</v>
      </c>
      <c r="T46" s="158">
        <v>1.405</v>
      </c>
      <c r="U46" s="11" t="s">
        <v>2317</v>
      </c>
      <c r="V46" s="174">
        <v>2.5000000000000001E-2</v>
      </c>
      <c r="W46" s="189">
        <v>2.4649999999999998E-2</v>
      </c>
      <c r="X46" s="4" t="s">
        <v>602</v>
      </c>
      <c r="Y46" s="4" t="s">
        <v>312</v>
      </c>
      <c r="Z46" s="158">
        <v>6216.6</v>
      </c>
      <c r="AA46" s="158">
        <v>1</v>
      </c>
      <c r="AB46" s="158">
        <v>114.98</v>
      </c>
      <c r="AD46" s="158">
        <v>7.1479999999999997</v>
      </c>
      <c r="AG46" s="11" t="s">
        <v>37</v>
      </c>
      <c r="AH46" s="189">
        <v>1.9000000000000001E-5</v>
      </c>
      <c r="AI46" s="189">
        <v>8.0138691575685399E-4</v>
      </c>
      <c r="AJ46" s="189">
        <v>1.94711097223181E-4</v>
      </c>
    </row>
    <row r="47" spans="1:36">
      <c r="A47" s="11" t="s">
        <v>26</v>
      </c>
      <c r="B47" s="11">
        <v>13711</v>
      </c>
      <c r="C47" s="11" t="s">
        <v>2318</v>
      </c>
      <c r="D47" s="11" t="s">
        <v>2319</v>
      </c>
      <c r="E47" s="4" t="s">
        <v>1552</v>
      </c>
      <c r="F47" s="11" t="s">
        <v>2320</v>
      </c>
      <c r="G47" s="11" t="s">
        <v>2321</v>
      </c>
      <c r="H47" s="11" t="s">
        <v>511</v>
      </c>
      <c r="I47" s="11" t="s">
        <v>945</v>
      </c>
      <c r="J47" s="11" t="s">
        <v>31</v>
      </c>
      <c r="K47" s="11" t="s">
        <v>31</v>
      </c>
      <c r="L47" s="11" t="s">
        <v>517</v>
      </c>
      <c r="M47" s="11" t="s">
        <v>32</v>
      </c>
      <c r="N47" s="11" t="s">
        <v>639</v>
      </c>
      <c r="O47" s="11" t="s">
        <v>312</v>
      </c>
      <c r="P47" s="11" t="s">
        <v>2161</v>
      </c>
      <c r="Q47" s="11" t="s">
        <v>358</v>
      </c>
      <c r="R47" s="11" t="s">
        <v>596</v>
      </c>
      <c r="S47" s="11" t="s">
        <v>35</v>
      </c>
      <c r="T47" s="158">
        <v>4.3819999999999997</v>
      </c>
      <c r="U47" s="11" t="s">
        <v>2322</v>
      </c>
      <c r="V47" s="174">
        <v>7.4999999999999997E-3</v>
      </c>
      <c r="W47" s="189">
        <v>3.9260000000000003E-2</v>
      </c>
      <c r="X47" s="4" t="s">
        <v>602</v>
      </c>
      <c r="Y47" s="4" t="s">
        <v>312</v>
      </c>
      <c r="Z47" s="158">
        <v>45000</v>
      </c>
      <c r="AA47" s="158">
        <v>1</v>
      </c>
      <c r="AB47" s="158">
        <v>96.11</v>
      </c>
      <c r="AD47" s="158">
        <v>43.249000000000002</v>
      </c>
      <c r="AG47" s="11" t="s">
        <v>37</v>
      </c>
      <c r="AH47" s="189">
        <v>4.3000000000000002E-5</v>
      </c>
      <c r="AI47" s="189">
        <v>4.8489545124135299E-3</v>
      </c>
      <c r="AJ47" s="189">
        <v>1.1781390922830999E-3</v>
      </c>
    </row>
    <row r="48" spans="1:36">
      <c r="A48" s="11" t="s">
        <v>26</v>
      </c>
      <c r="B48" s="11">
        <v>13711</v>
      </c>
      <c r="C48" s="11" t="s">
        <v>2323</v>
      </c>
      <c r="D48" s="11" t="s">
        <v>2324</v>
      </c>
      <c r="E48" s="4" t="s">
        <v>504</v>
      </c>
      <c r="F48" s="11" t="s">
        <v>2325</v>
      </c>
      <c r="G48" s="11" t="s">
        <v>2326</v>
      </c>
      <c r="H48" s="11" t="s">
        <v>511</v>
      </c>
      <c r="I48" s="11" t="s">
        <v>1154</v>
      </c>
      <c r="J48" s="11" t="s">
        <v>154</v>
      </c>
      <c r="K48" s="11" t="s">
        <v>155</v>
      </c>
      <c r="L48" s="11" t="s">
        <v>517</v>
      </c>
      <c r="M48" s="11" t="s">
        <v>32</v>
      </c>
      <c r="N48" s="11" t="s">
        <v>653</v>
      </c>
      <c r="O48" s="11" t="s">
        <v>312</v>
      </c>
      <c r="P48" s="11" t="s">
        <v>2327</v>
      </c>
      <c r="Q48" s="11" t="s">
        <v>358</v>
      </c>
      <c r="R48" s="11" t="s">
        <v>596</v>
      </c>
      <c r="S48" s="11" t="s">
        <v>35</v>
      </c>
      <c r="T48" s="158">
        <v>2.3919999999999999</v>
      </c>
      <c r="U48" s="11" t="s">
        <v>2328</v>
      </c>
      <c r="V48" s="174">
        <v>0.08</v>
      </c>
      <c r="W48" s="189">
        <v>0.16452</v>
      </c>
      <c r="X48" s="4" t="s">
        <v>602</v>
      </c>
      <c r="Y48" s="4" t="s">
        <v>312</v>
      </c>
      <c r="Z48" s="158">
        <v>3848.63</v>
      </c>
      <c r="AA48" s="158">
        <v>1</v>
      </c>
      <c r="AB48" s="158">
        <v>83.99</v>
      </c>
      <c r="AD48" s="158">
        <v>3.2320000000000002</v>
      </c>
      <c r="AG48" s="11" t="s">
        <v>37</v>
      </c>
      <c r="AH48" s="189">
        <v>3.9999999999999998E-6</v>
      </c>
      <c r="AI48" s="189">
        <v>3.6241049106028902E-4</v>
      </c>
      <c r="AJ48" s="189">
        <v>8.8054026054189399E-5</v>
      </c>
    </row>
    <row r="49" spans="1:36">
      <c r="A49" s="11" t="s">
        <v>26</v>
      </c>
      <c r="B49" s="11">
        <v>13711</v>
      </c>
      <c r="C49" s="11" t="s">
        <v>2329</v>
      </c>
      <c r="D49" s="11" t="s">
        <v>2330</v>
      </c>
      <c r="E49" s="4" t="s">
        <v>34</v>
      </c>
      <c r="F49" s="11" t="s">
        <v>2331</v>
      </c>
      <c r="G49" s="11" t="s">
        <v>2332</v>
      </c>
      <c r="H49" s="11" t="s">
        <v>511</v>
      </c>
      <c r="I49" s="11" t="s">
        <v>1154</v>
      </c>
      <c r="J49" s="11" t="s">
        <v>31</v>
      </c>
      <c r="K49" s="11" t="s">
        <v>155</v>
      </c>
      <c r="L49" s="11" t="s">
        <v>517</v>
      </c>
      <c r="M49" s="11" t="s">
        <v>32</v>
      </c>
      <c r="N49" s="11" t="s">
        <v>653</v>
      </c>
      <c r="O49" s="11" t="s">
        <v>312</v>
      </c>
      <c r="P49" s="11" t="s">
        <v>2234</v>
      </c>
      <c r="Q49" s="11" t="s">
        <v>358</v>
      </c>
      <c r="R49" s="11" t="s">
        <v>596</v>
      </c>
      <c r="S49" s="11" t="s">
        <v>35</v>
      </c>
      <c r="T49" s="158">
        <v>2.2709999999999999</v>
      </c>
      <c r="U49" s="11" t="s">
        <v>2333</v>
      </c>
      <c r="V49" s="174">
        <v>6.8000000000000005E-2</v>
      </c>
      <c r="W49" s="189">
        <v>6.3880000000000006E-2</v>
      </c>
      <c r="X49" s="4" t="s">
        <v>602</v>
      </c>
      <c r="Y49" s="4" t="s">
        <v>312</v>
      </c>
      <c r="Z49" s="158">
        <v>4850</v>
      </c>
      <c r="AA49" s="158">
        <v>1</v>
      </c>
      <c r="AB49" s="158">
        <v>101.14</v>
      </c>
      <c r="AD49" s="158">
        <v>4.9050000000000002</v>
      </c>
      <c r="AG49" s="11" t="s">
        <v>37</v>
      </c>
      <c r="AH49" s="189">
        <v>1.4E-5</v>
      </c>
      <c r="AI49" s="189">
        <v>5.4996076440645496E-4</v>
      </c>
      <c r="AJ49" s="189">
        <v>1.33622675591287E-4</v>
      </c>
    </row>
    <row r="50" spans="1:36">
      <c r="A50" s="11" t="s">
        <v>26</v>
      </c>
      <c r="B50" s="11">
        <v>13711</v>
      </c>
      <c r="C50" s="11" t="s">
        <v>1738</v>
      </c>
      <c r="D50" s="11" t="s">
        <v>1739</v>
      </c>
      <c r="E50" s="4" t="s">
        <v>1552</v>
      </c>
      <c r="F50" s="11" t="s">
        <v>2334</v>
      </c>
      <c r="G50" s="11" t="s">
        <v>2335</v>
      </c>
      <c r="H50" s="11" t="s">
        <v>511</v>
      </c>
      <c r="I50" s="11" t="s">
        <v>945</v>
      </c>
      <c r="J50" s="11" t="s">
        <v>31</v>
      </c>
      <c r="K50" s="11" t="s">
        <v>31</v>
      </c>
      <c r="L50" s="11" t="s">
        <v>517</v>
      </c>
      <c r="M50" s="11" t="s">
        <v>50</v>
      </c>
      <c r="N50" s="11" t="s">
        <v>629</v>
      </c>
      <c r="O50" s="11" t="s">
        <v>312</v>
      </c>
      <c r="P50" s="27" t="s">
        <v>2165</v>
      </c>
      <c r="Q50" s="27" t="s">
        <v>2165</v>
      </c>
      <c r="R50" s="27" t="s">
        <v>2165</v>
      </c>
      <c r="S50" s="11" t="s">
        <v>35</v>
      </c>
      <c r="T50" s="158">
        <v>4.6539999999999999</v>
      </c>
      <c r="U50" s="11" t="s">
        <v>2336</v>
      </c>
      <c r="V50" s="174">
        <v>4.7E-2</v>
      </c>
      <c r="W50" s="189">
        <v>4.7539999999999999E-2</v>
      </c>
      <c r="X50" s="4" t="s">
        <v>602</v>
      </c>
      <c r="Y50" s="4" t="s">
        <v>312</v>
      </c>
      <c r="Z50" s="158">
        <v>22000.13</v>
      </c>
      <c r="AA50" s="158">
        <v>1</v>
      </c>
      <c r="AB50" s="158">
        <v>102.67</v>
      </c>
      <c r="AD50" s="158">
        <v>22.588000000000001</v>
      </c>
      <c r="AG50" s="11" t="s">
        <v>37</v>
      </c>
      <c r="AH50" s="189">
        <v>5.0000000000000002E-5</v>
      </c>
      <c r="AI50" s="189">
        <v>2.5324205447114301E-3</v>
      </c>
      <c r="AJ50" s="189">
        <v>6.1529627349305805E-4</v>
      </c>
    </row>
    <row r="51" spans="1:36">
      <c r="A51" s="11" t="s">
        <v>26</v>
      </c>
      <c r="B51" s="11">
        <v>13711</v>
      </c>
      <c r="C51" s="11" t="s">
        <v>2337</v>
      </c>
      <c r="D51" s="11" t="s">
        <v>2338</v>
      </c>
      <c r="E51" s="4" t="s">
        <v>1552</v>
      </c>
      <c r="F51" s="11" t="s">
        <v>2339</v>
      </c>
      <c r="G51" s="11" t="s">
        <v>2340</v>
      </c>
      <c r="H51" s="11" t="s">
        <v>511</v>
      </c>
      <c r="I51" s="11" t="s">
        <v>945</v>
      </c>
      <c r="J51" s="11" t="s">
        <v>31</v>
      </c>
      <c r="K51" s="11" t="s">
        <v>31</v>
      </c>
      <c r="L51" s="11" t="s">
        <v>517</v>
      </c>
      <c r="M51" s="11" t="s">
        <v>32</v>
      </c>
      <c r="N51" s="11" t="s">
        <v>636</v>
      </c>
      <c r="O51" s="11" t="s">
        <v>312</v>
      </c>
      <c r="P51" s="11" t="s">
        <v>157</v>
      </c>
      <c r="Q51" s="11" t="s">
        <v>604</v>
      </c>
      <c r="R51" s="11" t="s">
        <v>596</v>
      </c>
      <c r="S51" s="11" t="s">
        <v>35</v>
      </c>
      <c r="T51" s="158">
        <v>3.9630000000000001</v>
      </c>
      <c r="U51" s="11" t="s">
        <v>2341</v>
      </c>
      <c r="V51" s="174">
        <v>2E-3</v>
      </c>
      <c r="W51" s="189">
        <v>2.5309999999999999E-2</v>
      </c>
      <c r="X51" s="4" t="s">
        <v>602</v>
      </c>
      <c r="Y51" s="4" t="s">
        <v>312</v>
      </c>
      <c r="Z51" s="158">
        <v>101801.17</v>
      </c>
      <c r="AA51" s="158">
        <v>1</v>
      </c>
      <c r="AB51" s="158">
        <v>100.85</v>
      </c>
      <c r="AD51" s="158">
        <v>102.666</v>
      </c>
      <c r="AG51" s="11" t="s">
        <v>37</v>
      </c>
      <c r="AH51" s="189">
        <v>2.5999999999999998E-5</v>
      </c>
      <c r="AI51" s="189">
        <v>1.15105398028398E-2</v>
      </c>
      <c r="AJ51" s="189">
        <v>2.7966888285483799E-3</v>
      </c>
    </row>
    <row r="52" spans="1:36">
      <c r="A52" s="11" t="s">
        <v>26</v>
      </c>
      <c r="B52" s="11">
        <v>13711</v>
      </c>
      <c r="C52" s="11" t="s">
        <v>2337</v>
      </c>
      <c r="D52" s="11" t="s">
        <v>2338</v>
      </c>
      <c r="E52" s="4" t="s">
        <v>1552</v>
      </c>
      <c r="F52" s="11" t="s">
        <v>2342</v>
      </c>
      <c r="G52" s="11" t="s">
        <v>2343</v>
      </c>
      <c r="H52" s="11" t="s">
        <v>511</v>
      </c>
      <c r="I52" s="11" t="s">
        <v>945</v>
      </c>
      <c r="J52" s="11" t="s">
        <v>31</v>
      </c>
      <c r="K52" s="11" t="s">
        <v>31</v>
      </c>
      <c r="L52" s="11" t="s">
        <v>517</v>
      </c>
      <c r="M52" s="11" t="s">
        <v>32</v>
      </c>
      <c r="N52" s="11" t="s">
        <v>636</v>
      </c>
      <c r="O52" s="11" t="s">
        <v>312</v>
      </c>
      <c r="P52" s="11" t="s">
        <v>157</v>
      </c>
      <c r="Q52" s="11" t="s">
        <v>604</v>
      </c>
      <c r="R52" s="11" t="s">
        <v>596</v>
      </c>
      <c r="S52" s="11" t="s">
        <v>35</v>
      </c>
      <c r="T52" s="158">
        <v>5.3019999999999996</v>
      </c>
      <c r="U52" s="11" t="s">
        <v>2344</v>
      </c>
      <c r="V52" s="174">
        <v>2.47E-2</v>
      </c>
      <c r="W52" s="189">
        <v>2.6040000000000001E-2</v>
      </c>
      <c r="X52" s="4" t="s">
        <v>602</v>
      </c>
      <c r="Y52" s="4" t="s">
        <v>312</v>
      </c>
      <c r="Z52" s="158">
        <v>60000</v>
      </c>
      <c r="AA52" s="158">
        <v>1</v>
      </c>
      <c r="AB52" s="158">
        <v>100.34</v>
      </c>
      <c r="AD52" s="158">
        <v>60.204000000000001</v>
      </c>
      <c r="AG52" s="11" t="s">
        <v>37</v>
      </c>
      <c r="AH52" s="189">
        <v>3.8000000000000002E-5</v>
      </c>
      <c r="AI52" s="189">
        <v>6.7498227139121602E-3</v>
      </c>
      <c r="AJ52" s="189">
        <v>1.6399885758635699E-3</v>
      </c>
    </row>
    <row r="53" spans="1:36">
      <c r="A53" s="11" t="s">
        <v>26</v>
      </c>
      <c r="B53" s="11">
        <v>13711</v>
      </c>
      <c r="C53" s="11" t="s">
        <v>2337</v>
      </c>
      <c r="D53" s="11" t="s">
        <v>2338</v>
      </c>
      <c r="E53" s="4" t="s">
        <v>1552</v>
      </c>
      <c r="F53" s="11" t="s">
        <v>2345</v>
      </c>
      <c r="G53" s="11" t="s">
        <v>2346</v>
      </c>
      <c r="H53" s="11" t="s">
        <v>511</v>
      </c>
      <c r="I53" s="11" t="s">
        <v>1154</v>
      </c>
      <c r="J53" s="11" t="s">
        <v>31</v>
      </c>
      <c r="K53" s="11" t="s">
        <v>31</v>
      </c>
      <c r="L53" s="11" t="s">
        <v>517</v>
      </c>
      <c r="M53" s="11" t="s">
        <v>32</v>
      </c>
      <c r="N53" s="11" t="s">
        <v>636</v>
      </c>
      <c r="O53" s="11" t="s">
        <v>312</v>
      </c>
      <c r="P53" s="11" t="s">
        <v>157</v>
      </c>
      <c r="Q53" s="11" t="s">
        <v>604</v>
      </c>
      <c r="R53" s="11" t="s">
        <v>596</v>
      </c>
      <c r="S53" s="11" t="s">
        <v>35</v>
      </c>
      <c r="T53" s="158">
        <v>0.42699999999999999</v>
      </c>
      <c r="U53" s="11" t="s">
        <v>160</v>
      </c>
      <c r="V53" s="174">
        <v>1.8700000000000001E-2</v>
      </c>
      <c r="W53" s="189">
        <v>4.6260000000000003E-2</v>
      </c>
      <c r="X53" s="4" t="s">
        <v>602</v>
      </c>
      <c r="Y53" s="4" t="s">
        <v>312</v>
      </c>
      <c r="Z53" s="158">
        <v>130000.7</v>
      </c>
      <c r="AA53" s="158">
        <v>1</v>
      </c>
      <c r="AB53" s="158">
        <v>99.98</v>
      </c>
      <c r="AD53" s="158">
        <v>129.97499999999999</v>
      </c>
      <c r="AG53" s="11" t="s">
        <v>37</v>
      </c>
      <c r="AH53" s="189">
        <v>4.6999999999999999E-4</v>
      </c>
      <c r="AI53" s="189">
        <v>1.45722241271169E-2</v>
      </c>
      <c r="AJ53" s="189">
        <v>3.54057907982355E-3</v>
      </c>
    </row>
    <row r="54" spans="1:36">
      <c r="A54" s="11" t="s">
        <v>26</v>
      </c>
      <c r="B54" s="11">
        <v>13711</v>
      </c>
      <c r="C54" s="11" t="s">
        <v>2337</v>
      </c>
      <c r="D54" s="11" t="s">
        <v>2338</v>
      </c>
      <c r="E54" s="4" t="s">
        <v>1552</v>
      </c>
      <c r="F54" s="11" t="s">
        <v>2347</v>
      </c>
      <c r="G54" s="11" t="s">
        <v>2348</v>
      </c>
      <c r="H54" s="11" t="s">
        <v>511</v>
      </c>
      <c r="I54" s="11" t="s">
        <v>1154</v>
      </c>
      <c r="J54" s="11" t="s">
        <v>31</v>
      </c>
      <c r="K54" s="11" t="s">
        <v>31</v>
      </c>
      <c r="L54" s="11" t="s">
        <v>517</v>
      </c>
      <c r="M54" s="11" t="s">
        <v>32</v>
      </c>
      <c r="N54" s="11" t="s">
        <v>636</v>
      </c>
      <c r="O54" s="11" t="s">
        <v>312</v>
      </c>
      <c r="P54" s="11" t="s">
        <v>157</v>
      </c>
      <c r="Q54" s="11" t="s">
        <v>604</v>
      </c>
      <c r="R54" s="11" t="s">
        <v>596</v>
      </c>
      <c r="S54" s="11" t="s">
        <v>35</v>
      </c>
      <c r="T54" s="158">
        <v>3.1379999999999999</v>
      </c>
      <c r="U54" s="11" t="s">
        <v>2349</v>
      </c>
      <c r="V54" s="174">
        <v>2.6800000000000001E-2</v>
      </c>
      <c r="W54" s="189">
        <v>5.0459999999999998E-2</v>
      </c>
      <c r="X54" s="4" t="s">
        <v>602</v>
      </c>
      <c r="Y54" s="4" t="s">
        <v>312</v>
      </c>
      <c r="Z54" s="158">
        <v>57000</v>
      </c>
      <c r="AA54" s="158">
        <v>1</v>
      </c>
      <c r="AB54" s="158">
        <v>94.27</v>
      </c>
      <c r="AD54" s="158">
        <v>53.734000000000002</v>
      </c>
      <c r="AG54" s="11" t="s">
        <v>37</v>
      </c>
      <c r="AH54" s="189">
        <v>2.5000000000000001E-5</v>
      </c>
      <c r="AI54" s="189">
        <v>6.0244219441745496E-3</v>
      </c>
      <c r="AJ54" s="189">
        <v>1.46373965411926E-3</v>
      </c>
    </row>
    <row r="55" spans="1:36">
      <c r="A55" s="11" t="s">
        <v>26</v>
      </c>
      <c r="B55" s="11">
        <v>13711</v>
      </c>
      <c r="C55" s="11" t="s">
        <v>2350</v>
      </c>
      <c r="D55" s="11" t="s">
        <v>2351</v>
      </c>
      <c r="E55" s="4" t="s">
        <v>1552</v>
      </c>
      <c r="F55" s="11" t="s">
        <v>2352</v>
      </c>
      <c r="G55" s="11" t="s">
        <v>2353</v>
      </c>
      <c r="H55" s="11" t="s">
        <v>511</v>
      </c>
      <c r="I55" s="11" t="s">
        <v>1154</v>
      </c>
      <c r="J55" s="11" t="s">
        <v>31</v>
      </c>
      <c r="K55" s="11" t="s">
        <v>31</v>
      </c>
      <c r="L55" s="11" t="s">
        <v>517</v>
      </c>
      <c r="M55" s="11" t="s">
        <v>32</v>
      </c>
      <c r="N55" s="11" t="s">
        <v>639</v>
      </c>
      <c r="O55" s="11" t="s">
        <v>312</v>
      </c>
      <c r="P55" s="11" t="s">
        <v>2354</v>
      </c>
      <c r="Q55" s="11" t="s">
        <v>358</v>
      </c>
      <c r="R55" s="11" t="s">
        <v>596</v>
      </c>
      <c r="S55" s="11" t="s">
        <v>35</v>
      </c>
      <c r="T55" s="158">
        <v>1.4279999999999999</v>
      </c>
      <c r="U55" s="11" t="s">
        <v>2355</v>
      </c>
      <c r="V55" s="174">
        <v>5.8000000000000003E-2</v>
      </c>
      <c r="W55" s="189">
        <v>7.8689999999999996E-2</v>
      </c>
      <c r="X55" s="4" t="s">
        <v>602</v>
      </c>
      <c r="Y55" s="4" t="s">
        <v>312</v>
      </c>
      <c r="Z55" s="158">
        <v>1500.52</v>
      </c>
      <c r="AA55" s="158">
        <v>1</v>
      </c>
      <c r="AB55" s="158">
        <v>96.03</v>
      </c>
      <c r="AD55" s="158">
        <v>1.4410000000000001</v>
      </c>
      <c r="AG55" s="11" t="s">
        <v>37</v>
      </c>
      <c r="AH55" s="189">
        <v>1.9999999999999999E-6</v>
      </c>
      <c r="AI55" s="189">
        <v>1.6155326378190701E-4</v>
      </c>
      <c r="AJ55" s="189">
        <v>3.9252217165603198E-5</v>
      </c>
    </row>
    <row r="56" spans="1:36">
      <c r="A56" s="11" t="s">
        <v>26</v>
      </c>
      <c r="B56" s="11">
        <v>13711</v>
      </c>
      <c r="C56" s="11" t="s">
        <v>2356</v>
      </c>
      <c r="D56" s="11" t="s">
        <v>2357</v>
      </c>
      <c r="E56" s="4" t="s">
        <v>1552</v>
      </c>
      <c r="F56" s="11" t="s">
        <v>2358</v>
      </c>
      <c r="G56" s="11" t="s">
        <v>2359</v>
      </c>
      <c r="H56" s="11" t="s">
        <v>511</v>
      </c>
      <c r="I56" s="11" t="s">
        <v>945</v>
      </c>
      <c r="J56" s="11" t="s">
        <v>31</v>
      </c>
      <c r="K56" s="11" t="s">
        <v>31</v>
      </c>
      <c r="L56" s="11" t="s">
        <v>517</v>
      </c>
      <c r="M56" s="11" t="s">
        <v>32</v>
      </c>
      <c r="N56" s="11" t="s">
        <v>628</v>
      </c>
      <c r="O56" s="11" t="s">
        <v>312</v>
      </c>
      <c r="P56" s="11" t="s">
        <v>2206</v>
      </c>
      <c r="Q56" s="11" t="s">
        <v>604</v>
      </c>
      <c r="R56" s="11" t="s">
        <v>596</v>
      </c>
      <c r="S56" s="11" t="s">
        <v>35</v>
      </c>
      <c r="T56" s="158">
        <v>5.9729999999999999</v>
      </c>
      <c r="U56" s="11" t="s">
        <v>2360</v>
      </c>
      <c r="V56" s="174">
        <v>3.3000000000000002E-2</v>
      </c>
      <c r="W56" s="189">
        <v>4.1739999999999999E-2</v>
      </c>
      <c r="X56" s="4" t="s">
        <v>602</v>
      </c>
      <c r="Y56" s="4" t="s">
        <v>312</v>
      </c>
      <c r="Z56" s="158">
        <v>13000.74</v>
      </c>
      <c r="AA56" s="158">
        <v>1</v>
      </c>
      <c r="AB56" s="158">
        <v>100.71</v>
      </c>
      <c r="AD56" s="158">
        <v>13.093</v>
      </c>
      <c r="AG56" s="11" t="s">
        <v>37</v>
      </c>
      <c r="AH56" s="189">
        <v>1.0000000000000001E-5</v>
      </c>
      <c r="AI56" s="189">
        <v>1.4679379152502999E-3</v>
      </c>
      <c r="AJ56" s="189">
        <v>3.5666142847360299E-4</v>
      </c>
    </row>
    <row r="57" spans="1:36">
      <c r="A57" s="11" t="s">
        <v>26</v>
      </c>
      <c r="B57" s="11">
        <v>13711</v>
      </c>
      <c r="C57" s="11" t="s">
        <v>2361</v>
      </c>
      <c r="D57" s="11" t="s">
        <v>2362</v>
      </c>
      <c r="E57" s="4" t="s">
        <v>1552</v>
      </c>
      <c r="F57" s="11" t="s">
        <v>2363</v>
      </c>
      <c r="G57" s="11" t="s">
        <v>2364</v>
      </c>
      <c r="H57" s="11" t="s">
        <v>511</v>
      </c>
      <c r="I57" s="11" t="s">
        <v>1154</v>
      </c>
      <c r="J57" s="11" t="s">
        <v>31</v>
      </c>
      <c r="K57" s="11" t="s">
        <v>31</v>
      </c>
      <c r="L57" s="11" t="s">
        <v>517</v>
      </c>
      <c r="M57" s="11" t="s">
        <v>32</v>
      </c>
      <c r="N57" s="11" t="s">
        <v>642</v>
      </c>
      <c r="O57" s="11" t="s">
        <v>312</v>
      </c>
      <c r="P57" s="11" t="s">
        <v>2206</v>
      </c>
      <c r="Q57" s="11" t="s">
        <v>604</v>
      </c>
      <c r="R57" s="11" t="s">
        <v>596</v>
      </c>
      <c r="S57" s="11" t="s">
        <v>35</v>
      </c>
      <c r="T57" s="158">
        <v>4.0739999999999998</v>
      </c>
      <c r="U57" s="11" t="s">
        <v>2365</v>
      </c>
      <c r="V57" s="174">
        <v>6.5199999999999994E-2</v>
      </c>
      <c r="W57" s="189">
        <v>6.3450000000000006E-2</v>
      </c>
      <c r="X57" s="4" t="s">
        <v>602</v>
      </c>
      <c r="Y57" s="4" t="s">
        <v>312</v>
      </c>
      <c r="Z57" s="158">
        <v>1</v>
      </c>
      <c r="AA57" s="158">
        <v>1</v>
      </c>
      <c r="AB57" s="158">
        <v>101.71</v>
      </c>
      <c r="AD57" s="158">
        <v>1E-3</v>
      </c>
      <c r="AG57" s="11" t="s">
        <v>37</v>
      </c>
      <c r="AH57" s="189">
        <v>0</v>
      </c>
      <c r="AI57" s="189">
        <v>1.14033032395191E-7</v>
      </c>
      <c r="AJ57" s="189">
        <v>2.77063381255538E-8</v>
      </c>
    </row>
    <row r="58" spans="1:36">
      <c r="A58" s="11" t="s">
        <v>26</v>
      </c>
      <c r="B58" s="11">
        <v>13711</v>
      </c>
      <c r="C58" s="11" t="s">
        <v>2361</v>
      </c>
      <c r="D58" s="11" t="s">
        <v>2362</v>
      </c>
      <c r="E58" s="4" t="s">
        <v>1552</v>
      </c>
      <c r="F58" s="11" t="s">
        <v>2366</v>
      </c>
      <c r="G58" s="11" t="s">
        <v>2364</v>
      </c>
      <c r="H58" s="11" t="s">
        <v>511</v>
      </c>
      <c r="I58" s="11" t="s">
        <v>1154</v>
      </c>
      <c r="J58" s="11" t="s">
        <v>31</v>
      </c>
      <c r="K58" s="11" t="s">
        <v>31</v>
      </c>
      <c r="L58" s="16" t="s">
        <v>519</v>
      </c>
      <c r="M58" s="11" t="s">
        <v>32</v>
      </c>
      <c r="N58" s="11" t="s">
        <v>642</v>
      </c>
      <c r="O58" s="11" t="s">
        <v>312</v>
      </c>
      <c r="P58" s="11" t="s">
        <v>2206</v>
      </c>
      <c r="Q58" s="11" t="s">
        <v>604</v>
      </c>
      <c r="R58" s="11" t="s">
        <v>596</v>
      </c>
      <c r="S58" s="11" t="s">
        <v>35</v>
      </c>
      <c r="T58" s="158">
        <v>4.0999999999999996</v>
      </c>
      <c r="U58" s="11" t="s">
        <v>2365</v>
      </c>
      <c r="V58" s="174">
        <v>6.5199999999999994E-2</v>
      </c>
      <c r="W58" s="189">
        <v>6.4449999999999993E-2</v>
      </c>
      <c r="X58" s="4" t="s">
        <v>602</v>
      </c>
      <c r="Y58" s="4" t="s">
        <v>312</v>
      </c>
      <c r="Z58" s="158">
        <v>18823.53</v>
      </c>
      <c r="AA58" s="158">
        <v>1</v>
      </c>
      <c r="AB58" s="158">
        <v>101.71</v>
      </c>
      <c r="AD58" s="158">
        <v>19.145</v>
      </c>
      <c r="AG58" s="11" t="s">
        <v>37</v>
      </c>
      <c r="AH58" s="189">
        <v>0</v>
      </c>
      <c r="AI58" s="189">
        <v>2.1465042062818402E-3</v>
      </c>
      <c r="AJ58" s="189">
        <v>5.2153108689650496E-4</v>
      </c>
    </row>
    <row r="59" spans="1:36">
      <c r="A59" s="11" t="s">
        <v>26</v>
      </c>
      <c r="B59" s="11">
        <v>13711</v>
      </c>
      <c r="C59" s="11" t="s">
        <v>2361</v>
      </c>
      <c r="D59" s="11" t="s">
        <v>2362</v>
      </c>
      <c r="E59" s="4" t="s">
        <v>1552</v>
      </c>
      <c r="F59" s="11" t="s">
        <v>2367</v>
      </c>
      <c r="G59" s="11" t="s">
        <v>2368</v>
      </c>
      <c r="H59" s="11" t="s">
        <v>511</v>
      </c>
      <c r="I59" s="11" t="s">
        <v>1154</v>
      </c>
      <c r="J59" s="11" t="s">
        <v>31</v>
      </c>
      <c r="K59" s="11" t="s">
        <v>31</v>
      </c>
      <c r="L59" s="11" t="s">
        <v>517</v>
      </c>
      <c r="M59" s="11" t="s">
        <v>50</v>
      </c>
      <c r="N59" s="11" t="s">
        <v>642</v>
      </c>
      <c r="O59" s="11" t="s">
        <v>312</v>
      </c>
      <c r="P59" s="11" t="s">
        <v>2206</v>
      </c>
      <c r="Q59" s="11" t="s">
        <v>604</v>
      </c>
      <c r="R59" s="11" t="s">
        <v>596</v>
      </c>
      <c r="S59" s="11" t="s">
        <v>35</v>
      </c>
      <c r="T59" s="158">
        <v>5.5659999999999998</v>
      </c>
      <c r="U59" s="11" t="s">
        <v>2369</v>
      </c>
      <c r="V59" s="174">
        <v>6.3799999999999996E-2</v>
      </c>
      <c r="W59" s="189">
        <v>6.7699999999999996E-2</v>
      </c>
      <c r="X59" s="4" t="s">
        <v>602</v>
      </c>
      <c r="Y59" s="4" t="s">
        <v>312</v>
      </c>
      <c r="Z59" s="158">
        <v>60000</v>
      </c>
      <c r="AA59" s="158">
        <v>1</v>
      </c>
      <c r="AB59" s="158">
        <v>98.24</v>
      </c>
      <c r="AD59" s="158">
        <v>58.944000000000003</v>
      </c>
      <c r="AG59" s="11" t="s">
        <v>37</v>
      </c>
      <c r="AH59" s="189">
        <v>6.0000000000000002E-5</v>
      </c>
      <c r="AI59" s="189">
        <v>6.6085567412271402E-3</v>
      </c>
      <c r="AJ59" s="189">
        <v>1.6056655141801601E-3</v>
      </c>
    </row>
    <row r="60" spans="1:36">
      <c r="A60" s="11" t="s">
        <v>26</v>
      </c>
      <c r="B60" s="11">
        <v>13711</v>
      </c>
      <c r="C60" s="11" t="s">
        <v>1754</v>
      </c>
      <c r="D60" s="11" t="s">
        <v>1755</v>
      </c>
      <c r="E60" s="4" t="s">
        <v>1552</v>
      </c>
      <c r="F60" s="11" t="s">
        <v>2370</v>
      </c>
      <c r="G60" s="11" t="s">
        <v>2371</v>
      </c>
      <c r="H60" s="11" t="s">
        <v>511</v>
      </c>
      <c r="I60" s="11" t="s">
        <v>1154</v>
      </c>
      <c r="J60" s="11" t="s">
        <v>31</v>
      </c>
      <c r="K60" s="11" t="s">
        <v>31</v>
      </c>
      <c r="L60" s="11" t="s">
        <v>517</v>
      </c>
      <c r="M60" s="11" t="s">
        <v>32</v>
      </c>
      <c r="N60" s="11" t="s">
        <v>635</v>
      </c>
      <c r="O60" s="11" t="s">
        <v>312</v>
      </c>
      <c r="P60" s="11" t="s">
        <v>168</v>
      </c>
      <c r="Q60" s="11" t="s">
        <v>604</v>
      </c>
      <c r="R60" s="11" t="s">
        <v>596</v>
      </c>
      <c r="S60" s="11" t="s">
        <v>35</v>
      </c>
      <c r="T60" s="158">
        <v>0.98699999999999999</v>
      </c>
      <c r="U60" s="11" t="s">
        <v>2188</v>
      </c>
      <c r="V60" s="174">
        <v>3.0499999999999999E-2</v>
      </c>
      <c r="W60" s="189">
        <v>5.5820000000000002E-2</v>
      </c>
      <c r="X60" s="4" t="s">
        <v>602</v>
      </c>
      <c r="Y60" s="4" t="s">
        <v>312</v>
      </c>
      <c r="Z60" s="158">
        <v>27666.67</v>
      </c>
      <c r="AA60" s="158">
        <v>1</v>
      </c>
      <c r="AB60" s="158">
        <v>97.67</v>
      </c>
      <c r="AD60" s="158">
        <v>27.021999999999998</v>
      </c>
      <c r="AG60" s="11" t="s">
        <v>37</v>
      </c>
      <c r="AH60" s="189">
        <v>4.1199999999999999E-4</v>
      </c>
      <c r="AI60" s="189">
        <v>3.0295986370440101E-3</v>
      </c>
      <c r="AJ60" s="189">
        <v>7.36094467187022E-4</v>
      </c>
    </row>
    <row r="61" spans="1:36">
      <c r="A61" s="11" t="s">
        <v>26</v>
      </c>
      <c r="B61" s="11">
        <v>13711</v>
      </c>
      <c r="C61" s="11" t="s">
        <v>2372</v>
      </c>
      <c r="D61" s="11" t="s">
        <v>2373</v>
      </c>
      <c r="E61" s="4" t="s">
        <v>1552</v>
      </c>
      <c r="F61" s="11" t="s">
        <v>2374</v>
      </c>
      <c r="G61" s="11" t="s">
        <v>2375</v>
      </c>
      <c r="H61" s="11" t="s">
        <v>511</v>
      </c>
      <c r="I61" s="11" t="s">
        <v>945</v>
      </c>
      <c r="J61" s="11" t="s">
        <v>31</v>
      </c>
      <c r="K61" s="11" t="s">
        <v>31</v>
      </c>
      <c r="L61" s="11" t="s">
        <v>517</v>
      </c>
      <c r="M61" s="11" t="s">
        <v>32</v>
      </c>
      <c r="N61" s="11" t="s">
        <v>652</v>
      </c>
      <c r="O61" s="11" t="s">
        <v>312</v>
      </c>
      <c r="P61" s="11" t="s">
        <v>2234</v>
      </c>
      <c r="Q61" s="11" t="s">
        <v>358</v>
      </c>
      <c r="R61" s="11" t="s">
        <v>596</v>
      </c>
      <c r="S61" s="11" t="s">
        <v>35</v>
      </c>
      <c r="T61" s="158">
        <v>3.4430000000000001</v>
      </c>
      <c r="U61" s="11" t="s">
        <v>2376</v>
      </c>
      <c r="V61" s="174">
        <v>2.7E-2</v>
      </c>
      <c r="W61" s="189">
        <v>3.4229999999999997E-2</v>
      </c>
      <c r="X61" s="4" t="s">
        <v>602</v>
      </c>
      <c r="Y61" s="4" t="s">
        <v>312</v>
      </c>
      <c r="Z61" s="158">
        <v>20000</v>
      </c>
      <c r="AA61" s="158">
        <v>1</v>
      </c>
      <c r="AB61" s="158">
        <v>102.95</v>
      </c>
      <c r="AD61" s="158">
        <v>20.59</v>
      </c>
      <c r="AG61" s="11" t="s">
        <v>37</v>
      </c>
      <c r="AH61" s="189">
        <v>4.6E-5</v>
      </c>
      <c r="AI61" s="189">
        <v>2.3084653790354701E-3</v>
      </c>
      <c r="AJ61" s="189">
        <v>5.6088241274717602E-4</v>
      </c>
    </row>
    <row r="62" spans="1:36">
      <c r="A62" s="11" t="s">
        <v>26</v>
      </c>
      <c r="B62" s="11">
        <v>13711</v>
      </c>
      <c r="C62" s="11" t="s">
        <v>2377</v>
      </c>
      <c r="D62" s="11" t="s">
        <v>2378</v>
      </c>
      <c r="E62" s="4" t="s">
        <v>504</v>
      </c>
      <c r="F62" s="11" t="s">
        <v>2379</v>
      </c>
      <c r="G62" s="11" t="s">
        <v>2380</v>
      </c>
      <c r="H62" s="11" t="s">
        <v>511</v>
      </c>
      <c r="I62" s="11" t="s">
        <v>1154</v>
      </c>
      <c r="J62" s="11" t="s">
        <v>31</v>
      </c>
      <c r="K62" s="11" t="s">
        <v>489</v>
      </c>
      <c r="L62" s="11" t="s">
        <v>517</v>
      </c>
      <c r="M62" s="11" t="s">
        <v>32</v>
      </c>
      <c r="N62" s="11" t="s">
        <v>653</v>
      </c>
      <c r="O62" s="11" t="s">
        <v>312</v>
      </c>
      <c r="P62" s="11" t="s">
        <v>2381</v>
      </c>
      <c r="Q62" s="11" t="s">
        <v>604</v>
      </c>
      <c r="R62" s="11" t="s">
        <v>596</v>
      </c>
      <c r="S62" s="11" t="s">
        <v>35</v>
      </c>
      <c r="T62" s="158">
        <v>1.5149999999999999</v>
      </c>
      <c r="U62" s="11" t="s">
        <v>2382</v>
      </c>
      <c r="V62" s="174">
        <v>8.9499999999999996E-2</v>
      </c>
      <c r="W62" s="189">
        <v>0.12482</v>
      </c>
      <c r="X62" s="4" t="s">
        <v>602</v>
      </c>
      <c r="Y62" s="4" t="s">
        <v>312</v>
      </c>
      <c r="Z62" s="158">
        <v>9600</v>
      </c>
      <c r="AA62" s="158">
        <v>1</v>
      </c>
      <c r="AB62" s="158">
        <v>98.4</v>
      </c>
      <c r="AD62" s="158">
        <v>9.4459999999999997</v>
      </c>
      <c r="AG62" s="11" t="s">
        <v>37</v>
      </c>
      <c r="AH62" s="189">
        <v>4.6999999999999997E-5</v>
      </c>
      <c r="AI62" s="189">
        <v>1.0590911780728801E-3</v>
      </c>
      <c r="AJ62" s="189">
        <v>2.5732489673506198E-4</v>
      </c>
    </row>
    <row r="63" spans="1:36">
      <c r="A63" s="11" t="s">
        <v>26</v>
      </c>
      <c r="B63" s="11">
        <v>13711</v>
      </c>
      <c r="C63" s="11" t="s">
        <v>2031</v>
      </c>
      <c r="D63" s="11" t="s">
        <v>2032</v>
      </c>
      <c r="E63" s="4" t="s">
        <v>1552</v>
      </c>
      <c r="F63" s="11" t="s">
        <v>2383</v>
      </c>
      <c r="G63" s="11" t="s">
        <v>2384</v>
      </c>
      <c r="H63" s="11" t="s">
        <v>511</v>
      </c>
      <c r="I63" s="11" t="s">
        <v>1154</v>
      </c>
      <c r="J63" s="11" t="s">
        <v>31</v>
      </c>
      <c r="K63" s="11" t="s">
        <v>31</v>
      </c>
      <c r="L63" s="11" t="s">
        <v>517</v>
      </c>
      <c r="M63" s="11" t="s">
        <v>32</v>
      </c>
      <c r="N63" s="11" t="s">
        <v>652</v>
      </c>
      <c r="O63" s="11" t="s">
        <v>312</v>
      </c>
      <c r="P63" s="11" t="s">
        <v>2169</v>
      </c>
      <c r="Q63" s="11" t="s">
        <v>358</v>
      </c>
      <c r="R63" s="11" t="s">
        <v>596</v>
      </c>
      <c r="S63" s="11" t="s">
        <v>35</v>
      </c>
      <c r="T63" s="158">
        <v>0.98</v>
      </c>
      <c r="U63" s="11" t="s">
        <v>2385</v>
      </c>
      <c r="V63" s="174">
        <v>2.5499999999999998E-2</v>
      </c>
      <c r="W63" s="189">
        <v>4.9250000000000002E-2</v>
      </c>
      <c r="X63" s="4" t="s">
        <v>602</v>
      </c>
      <c r="Y63" s="4" t="s">
        <v>312</v>
      </c>
      <c r="Z63" s="158">
        <v>48000</v>
      </c>
      <c r="AA63" s="158">
        <v>1</v>
      </c>
      <c r="AB63" s="158">
        <v>97.83</v>
      </c>
      <c r="AD63" s="158">
        <v>46.957999999999998</v>
      </c>
      <c r="AG63" s="11" t="s">
        <v>37</v>
      </c>
      <c r="AH63" s="189">
        <v>2.3800000000000001E-4</v>
      </c>
      <c r="AI63" s="189">
        <v>5.26478099343852E-3</v>
      </c>
      <c r="AJ63" s="189">
        <v>1.27917147599548E-3</v>
      </c>
    </row>
    <row r="64" spans="1:36">
      <c r="A64" s="11" t="s">
        <v>26</v>
      </c>
      <c r="B64" s="11">
        <v>13711</v>
      </c>
      <c r="C64" s="11" t="s">
        <v>2386</v>
      </c>
      <c r="D64" s="11" t="s">
        <v>2387</v>
      </c>
      <c r="E64" s="4" t="s">
        <v>1552</v>
      </c>
      <c r="F64" s="11" t="s">
        <v>2388</v>
      </c>
      <c r="G64" s="11" t="s">
        <v>2389</v>
      </c>
      <c r="H64" s="11" t="s">
        <v>511</v>
      </c>
      <c r="I64" s="11" t="s">
        <v>1154</v>
      </c>
      <c r="J64" s="11" t="s">
        <v>31</v>
      </c>
      <c r="K64" s="11" t="s">
        <v>31</v>
      </c>
      <c r="L64" s="11" t="s">
        <v>517</v>
      </c>
      <c r="M64" s="11" t="s">
        <v>32</v>
      </c>
      <c r="N64" s="11" t="s">
        <v>647</v>
      </c>
      <c r="O64" s="11" t="s">
        <v>312</v>
      </c>
      <c r="P64" s="11" t="s">
        <v>168</v>
      </c>
      <c r="Q64" s="11" t="s">
        <v>604</v>
      </c>
      <c r="R64" s="11" t="s">
        <v>596</v>
      </c>
      <c r="S64" s="11" t="s">
        <v>35</v>
      </c>
      <c r="T64" s="158">
        <v>0.499</v>
      </c>
      <c r="U64" s="11" t="s">
        <v>2162</v>
      </c>
      <c r="V64" s="174">
        <v>3.2000000000000001E-2</v>
      </c>
      <c r="W64" s="189">
        <v>5.2510000000000001E-2</v>
      </c>
      <c r="X64" s="4" t="s">
        <v>602</v>
      </c>
      <c r="Y64" s="4" t="s">
        <v>312</v>
      </c>
      <c r="Z64" s="158">
        <v>17000.5</v>
      </c>
      <c r="AA64" s="158">
        <v>1</v>
      </c>
      <c r="AB64" s="158">
        <v>99.04</v>
      </c>
      <c r="AD64" s="158">
        <v>16.837</v>
      </c>
      <c r="AG64" s="11" t="s">
        <v>37</v>
      </c>
      <c r="AH64" s="189">
        <v>8.7100000000000003E-4</v>
      </c>
      <c r="AI64" s="189">
        <v>1.8877276855658099E-3</v>
      </c>
      <c r="AJ64" s="189">
        <v>4.58656763278895E-4</v>
      </c>
    </row>
    <row r="65" spans="1:36">
      <c r="A65" s="11" t="s">
        <v>26</v>
      </c>
      <c r="B65" s="11">
        <v>13711</v>
      </c>
      <c r="C65" s="11" t="s">
        <v>2390</v>
      </c>
      <c r="D65" s="11" t="s">
        <v>2391</v>
      </c>
      <c r="E65" s="4" t="s">
        <v>1552</v>
      </c>
      <c r="F65" s="11" t="s">
        <v>2392</v>
      </c>
      <c r="G65" s="11" t="s">
        <v>2393</v>
      </c>
      <c r="H65" s="11" t="s">
        <v>511</v>
      </c>
      <c r="I65" s="11" t="s">
        <v>945</v>
      </c>
      <c r="J65" s="11" t="s">
        <v>31</v>
      </c>
      <c r="K65" s="11" t="s">
        <v>31</v>
      </c>
      <c r="L65" s="11" t="s">
        <v>517</v>
      </c>
      <c r="M65" s="11" t="s">
        <v>32</v>
      </c>
      <c r="N65" s="11" t="s">
        <v>650</v>
      </c>
      <c r="O65" s="11" t="s">
        <v>312</v>
      </c>
      <c r="P65" s="11" t="s">
        <v>2394</v>
      </c>
      <c r="Q65" s="11" t="s">
        <v>358</v>
      </c>
      <c r="R65" s="11" t="s">
        <v>596</v>
      </c>
      <c r="S65" s="11" t="s">
        <v>35</v>
      </c>
      <c r="T65" s="158">
        <v>1.5760000000000001</v>
      </c>
      <c r="U65" s="11" t="s">
        <v>2395</v>
      </c>
      <c r="V65" s="174">
        <v>1.0500000000000001E-2</v>
      </c>
      <c r="W65" s="189">
        <v>2.7009999999999999E-2</v>
      </c>
      <c r="X65" s="4" t="s">
        <v>602</v>
      </c>
      <c r="Y65" s="4" t="s">
        <v>312</v>
      </c>
      <c r="Z65" s="158">
        <v>25850.03</v>
      </c>
      <c r="AA65" s="158">
        <v>1</v>
      </c>
      <c r="AB65" s="158">
        <v>109.95</v>
      </c>
      <c r="AD65" s="158">
        <v>28.422000000000001</v>
      </c>
      <c r="AG65" s="11" t="s">
        <v>37</v>
      </c>
      <c r="AH65" s="189">
        <v>1.0900000000000001E-4</v>
      </c>
      <c r="AI65" s="189">
        <v>3.1865688335395901E-3</v>
      </c>
      <c r="AJ65" s="189">
        <v>7.7423314725534598E-4</v>
      </c>
    </row>
    <row r="66" spans="1:36">
      <c r="A66" s="11" t="s">
        <v>26</v>
      </c>
      <c r="B66" s="11">
        <v>13711</v>
      </c>
      <c r="C66" s="11" t="s">
        <v>2390</v>
      </c>
      <c r="D66" s="11" t="s">
        <v>2391</v>
      </c>
      <c r="E66" s="4" t="s">
        <v>1552</v>
      </c>
      <c r="F66" s="11" t="s">
        <v>2396</v>
      </c>
      <c r="G66" s="11" t="s">
        <v>2397</v>
      </c>
      <c r="H66" s="11" t="s">
        <v>511</v>
      </c>
      <c r="I66" s="11" t="s">
        <v>1154</v>
      </c>
      <c r="J66" s="11" t="s">
        <v>31</v>
      </c>
      <c r="K66" s="11" t="s">
        <v>31</v>
      </c>
      <c r="L66" s="11" t="s">
        <v>517</v>
      </c>
      <c r="M66" s="11" t="s">
        <v>32</v>
      </c>
      <c r="N66" s="11" t="s">
        <v>650</v>
      </c>
      <c r="O66" s="11" t="s">
        <v>312</v>
      </c>
      <c r="P66" s="11" t="s">
        <v>2394</v>
      </c>
      <c r="Q66" s="11" t="s">
        <v>358</v>
      </c>
      <c r="R66" s="11" t="s">
        <v>596</v>
      </c>
      <c r="S66" s="11" t="s">
        <v>35</v>
      </c>
      <c r="T66" s="158">
        <v>2.2210000000000001</v>
      </c>
      <c r="U66" s="11" t="s">
        <v>2398</v>
      </c>
      <c r="V66" s="174">
        <v>2.18E-2</v>
      </c>
      <c r="W66" s="189">
        <v>5.4399999999999997E-2</v>
      </c>
      <c r="X66" s="4" t="s">
        <v>602</v>
      </c>
      <c r="Y66" s="4" t="s">
        <v>312</v>
      </c>
      <c r="Z66" s="158">
        <v>27632.6</v>
      </c>
      <c r="AA66" s="158">
        <v>1</v>
      </c>
      <c r="AB66" s="158">
        <v>93.46</v>
      </c>
      <c r="AD66" s="158">
        <v>25.824999999999999</v>
      </c>
      <c r="AG66" s="11" t="s">
        <v>37</v>
      </c>
      <c r="AH66" s="189">
        <v>7.6000000000000004E-5</v>
      </c>
      <c r="AI66" s="189">
        <v>2.89543984188609E-3</v>
      </c>
      <c r="AJ66" s="189">
        <v>7.0349821973934802E-4</v>
      </c>
    </row>
    <row r="67" spans="1:36">
      <c r="A67" s="11" t="s">
        <v>26</v>
      </c>
      <c r="B67" s="11">
        <v>13711</v>
      </c>
      <c r="C67" s="11" t="s">
        <v>2390</v>
      </c>
      <c r="D67" s="11" t="s">
        <v>2391</v>
      </c>
      <c r="E67" s="4" t="s">
        <v>1552</v>
      </c>
      <c r="F67" s="11" t="s">
        <v>2399</v>
      </c>
      <c r="G67" s="11" t="s">
        <v>2400</v>
      </c>
      <c r="H67" s="11" t="s">
        <v>511</v>
      </c>
      <c r="I67" s="11" t="s">
        <v>945</v>
      </c>
      <c r="J67" s="11" t="s">
        <v>31</v>
      </c>
      <c r="K67" s="11" t="s">
        <v>31</v>
      </c>
      <c r="L67" s="11" t="s">
        <v>517</v>
      </c>
      <c r="M67" s="11" t="s">
        <v>32</v>
      </c>
      <c r="N67" s="11" t="s">
        <v>650</v>
      </c>
      <c r="O67" s="11" t="s">
        <v>312</v>
      </c>
      <c r="P67" s="11" t="s">
        <v>2394</v>
      </c>
      <c r="Q67" s="11" t="s">
        <v>358</v>
      </c>
      <c r="R67" s="11" t="s">
        <v>596</v>
      </c>
      <c r="S67" s="11" t="s">
        <v>35</v>
      </c>
      <c r="T67" s="158">
        <v>3.1659999999999999</v>
      </c>
      <c r="U67" s="11" t="s">
        <v>2401</v>
      </c>
      <c r="V67" s="174">
        <v>2.1999999999999999E-2</v>
      </c>
      <c r="W67" s="189">
        <v>3.108E-2</v>
      </c>
      <c r="X67" s="4" t="s">
        <v>602</v>
      </c>
      <c r="Y67" s="4" t="s">
        <v>312</v>
      </c>
      <c r="Z67" s="158">
        <v>4218.75</v>
      </c>
      <c r="AA67" s="158">
        <v>1</v>
      </c>
      <c r="AB67" s="158">
        <v>102.76</v>
      </c>
      <c r="AD67" s="158">
        <v>4.335</v>
      </c>
      <c r="AG67" s="11" t="s">
        <v>37</v>
      </c>
      <c r="AH67" s="189">
        <v>1.2E-5</v>
      </c>
      <c r="AI67" s="189">
        <v>4.8604323726941898E-4</v>
      </c>
      <c r="AJ67" s="189">
        <v>1.1809278410448699E-4</v>
      </c>
    </row>
    <row r="68" spans="1:36">
      <c r="A68" s="11" t="s">
        <v>26</v>
      </c>
      <c r="B68" s="11">
        <v>13711</v>
      </c>
      <c r="C68" s="11" t="s">
        <v>1794</v>
      </c>
      <c r="D68" s="11" t="s">
        <v>1795</v>
      </c>
      <c r="E68" s="4" t="s">
        <v>1552</v>
      </c>
      <c r="F68" s="11" t="s">
        <v>2402</v>
      </c>
      <c r="G68" s="11" t="s">
        <v>2403</v>
      </c>
      <c r="H68" s="11" t="s">
        <v>511</v>
      </c>
      <c r="I68" s="11" t="s">
        <v>364</v>
      </c>
      <c r="J68" s="11" t="s">
        <v>31</v>
      </c>
      <c r="K68" s="11" t="s">
        <v>31</v>
      </c>
      <c r="L68" s="11" t="s">
        <v>517</v>
      </c>
      <c r="M68" s="11" t="s">
        <v>32</v>
      </c>
      <c r="N68" s="11" t="s">
        <v>642</v>
      </c>
      <c r="O68" s="11" t="s">
        <v>312</v>
      </c>
      <c r="P68" s="11" t="s">
        <v>2169</v>
      </c>
      <c r="Q68" s="11" t="s">
        <v>358</v>
      </c>
      <c r="R68" s="11" t="s">
        <v>596</v>
      </c>
      <c r="S68" s="11" t="s">
        <v>35</v>
      </c>
      <c r="T68" s="158">
        <v>3.46</v>
      </c>
      <c r="U68" s="11" t="s">
        <v>2404</v>
      </c>
      <c r="V68" s="174">
        <v>3.7699999999999997E-2</v>
      </c>
      <c r="W68" s="189">
        <v>6.2239999999999997E-2</v>
      </c>
      <c r="X68" s="4" t="s">
        <v>602</v>
      </c>
      <c r="Y68" s="4" t="s">
        <v>312</v>
      </c>
      <c r="Z68" s="158">
        <v>878.6</v>
      </c>
      <c r="AA68" s="158">
        <v>1</v>
      </c>
      <c r="AB68" s="158">
        <v>102.78</v>
      </c>
      <c r="AD68" s="158">
        <v>0.90300000000000002</v>
      </c>
      <c r="AG68" s="11" t="s">
        <v>37</v>
      </c>
      <c r="AH68" s="189">
        <v>5.0000000000000004E-6</v>
      </c>
      <c r="AI68" s="189">
        <v>1.01243425623154E-4</v>
      </c>
      <c r="AJ68" s="189">
        <v>2.4598877398815498E-5</v>
      </c>
    </row>
    <row r="69" spans="1:36">
      <c r="A69" s="11" t="s">
        <v>26</v>
      </c>
      <c r="B69" s="11">
        <v>13711</v>
      </c>
      <c r="C69" s="11" t="s">
        <v>1794</v>
      </c>
      <c r="D69" s="11" t="s">
        <v>1795</v>
      </c>
      <c r="E69" s="4" t="s">
        <v>1552</v>
      </c>
      <c r="F69" s="11" t="s">
        <v>2405</v>
      </c>
      <c r="G69" s="11" t="s">
        <v>2406</v>
      </c>
      <c r="H69" s="11" t="s">
        <v>511</v>
      </c>
      <c r="I69" s="11" t="s">
        <v>364</v>
      </c>
      <c r="J69" s="11" t="s">
        <v>31</v>
      </c>
      <c r="K69" s="11" t="s">
        <v>31</v>
      </c>
      <c r="L69" s="11" t="s">
        <v>517</v>
      </c>
      <c r="M69" s="11" t="s">
        <v>32</v>
      </c>
      <c r="N69" s="11" t="s">
        <v>642</v>
      </c>
      <c r="O69" s="11" t="s">
        <v>312</v>
      </c>
      <c r="P69" s="11" t="s">
        <v>2169</v>
      </c>
      <c r="Q69" s="11" t="s">
        <v>358</v>
      </c>
      <c r="R69" s="11" t="s">
        <v>596</v>
      </c>
      <c r="S69" s="11" t="s">
        <v>35</v>
      </c>
      <c r="T69" s="158">
        <v>0.79</v>
      </c>
      <c r="U69" s="11" t="s">
        <v>2407</v>
      </c>
      <c r="V69" s="174">
        <v>3.49E-2</v>
      </c>
      <c r="W69" s="189">
        <v>7.4029999999999999E-2</v>
      </c>
      <c r="X69" s="4" t="s">
        <v>602</v>
      </c>
      <c r="Y69" s="4" t="s">
        <v>312</v>
      </c>
      <c r="Z69" s="158">
        <v>84500.14</v>
      </c>
      <c r="AA69" s="158">
        <v>1</v>
      </c>
      <c r="AB69" s="158">
        <v>102.13</v>
      </c>
      <c r="AD69" s="158">
        <v>86.3</v>
      </c>
      <c r="AG69" s="11" t="s">
        <v>37</v>
      </c>
      <c r="AH69" s="189">
        <v>1.6799999999999999E-4</v>
      </c>
      <c r="AI69" s="189">
        <v>9.6755971835818799E-3</v>
      </c>
      <c r="AJ69" s="189">
        <v>2.35085712888822E-3</v>
      </c>
    </row>
    <row r="70" spans="1:36">
      <c r="A70" s="11" t="s">
        <v>26</v>
      </c>
      <c r="B70" s="11">
        <v>13711</v>
      </c>
      <c r="C70" s="11" t="s">
        <v>2039</v>
      </c>
      <c r="D70" s="11" t="s">
        <v>2040</v>
      </c>
      <c r="E70" s="4" t="s">
        <v>1552</v>
      </c>
      <c r="F70" s="11" t="s">
        <v>2408</v>
      </c>
      <c r="G70" s="11" t="s">
        <v>2409</v>
      </c>
      <c r="H70" s="11" t="s">
        <v>511</v>
      </c>
      <c r="I70" s="11" t="s">
        <v>945</v>
      </c>
      <c r="J70" s="11" t="s">
        <v>31</v>
      </c>
      <c r="K70" s="11" t="s">
        <v>31</v>
      </c>
      <c r="L70" s="11" t="s">
        <v>517</v>
      </c>
      <c r="M70" s="11" t="s">
        <v>32</v>
      </c>
      <c r="N70" s="11" t="s">
        <v>652</v>
      </c>
      <c r="O70" s="11" t="s">
        <v>312</v>
      </c>
      <c r="P70" s="11" t="s">
        <v>2225</v>
      </c>
      <c r="Q70" s="11" t="s">
        <v>604</v>
      </c>
      <c r="R70" s="11" t="s">
        <v>596</v>
      </c>
      <c r="S70" s="11" t="s">
        <v>35</v>
      </c>
      <c r="T70" s="158">
        <v>4.9880000000000004</v>
      </c>
      <c r="U70" s="11" t="s">
        <v>2410</v>
      </c>
      <c r="V70" s="174">
        <v>8.3999999999999995E-3</v>
      </c>
      <c r="W70" s="189">
        <v>3.1829999999999997E-2</v>
      </c>
      <c r="X70" s="4" t="s">
        <v>602</v>
      </c>
      <c r="Y70" s="4" t="s">
        <v>312</v>
      </c>
      <c r="Z70" s="158">
        <v>11000.4</v>
      </c>
      <c r="AA70" s="158">
        <v>1</v>
      </c>
      <c r="AB70" s="158">
        <v>100.43</v>
      </c>
      <c r="AD70" s="158">
        <v>11.048</v>
      </c>
      <c r="AG70" s="11" t="s">
        <v>37</v>
      </c>
      <c r="AH70" s="189">
        <v>1.4E-5</v>
      </c>
      <c r="AI70" s="189">
        <v>1.2386224836585999E-3</v>
      </c>
      <c r="AJ70" s="189">
        <v>3.0094519650435798E-4</v>
      </c>
    </row>
    <row r="71" spans="1:36">
      <c r="A71" s="11" t="s">
        <v>26</v>
      </c>
      <c r="B71" s="11">
        <v>13711</v>
      </c>
      <c r="C71" s="11" t="s">
        <v>1798</v>
      </c>
      <c r="D71" s="11" t="s">
        <v>1799</v>
      </c>
      <c r="E71" s="4" t="s">
        <v>1552</v>
      </c>
      <c r="F71" s="11" t="s">
        <v>2411</v>
      </c>
      <c r="G71" s="11" t="s">
        <v>2412</v>
      </c>
      <c r="H71" s="11" t="s">
        <v>511</v>
      </c>
      <c r="I71" s="11" t="s">
        <v>1155</v>
      </c>
      <c r="J71" s="11" t="s">
        <v>31</v>
      </c>
      <c r="K71" s="11" t="s">
        <v>31</v>
      </c>
      <c r="L71" s="11" t="s">
        <v>517</v>
      </c>
      <c r="M71" s="11" t="s">
        <v>32</v>
      </c>
      <c r="N71" s="11" t="s">
        <v>633</v>
      </c>
      <c r="O71" s="11" t="s">
        <v>312</v>
      </c>
      <c r="P71" s="11" t="s">
        <v>2394</v>
      </c>
      <c r="Q71" s="11" t="s">
        <v>358</v>
      </c>
      <c r="R71" s="11" t="s">
        <v>596</v>
      </c>
      <c r="S71" s="11" t="s">
        <v>35</v>
      </c>
      <c r="T71" s="158">
        <v>3.4940000000000002</v>
      </c>
      <c r="U71" s="11" t="s">
        <v>2413</v>
      </c>
      <c r="V71" s="174">
        <v>2.8000000000000001E-2</v>
      </c>
      <c r="W71" s="189">
        <v>4.4420000000000001E-2</v>
      </c>
      <c r="X71" s="4" t="s">
        <v>602</v>
      </c>
      <c r="Y71" s="4" t="s">
        <v>312</v>
      </c>
      <c r="Z71" s="158">
        <v>1262</v>
      </c>
      <c r="AA71" s="158">
        <v>1</v>
      </c>
      <c r="AB71" s="158">
        <v>95.5</v>
      </c>
      <c r="AD71" s="158">
        <v>1.2050000000000001</v>
      </c>
      <c r="AG71" s="11" t="s">
        <v>37</v>
      </c>
      <c r="AH71" s="189">
        <v>7.9999999999999996E-6</v>
      </c>
      <c r="AI71" s="189">
        <v>1.3512314519025401E-4</v>
      </c>
      <c r="AJ71" s="189">
        <v>3.2830553310686002E-5</v>
      </c>
    </row>
    <row r="72" spans="1:36">
      <c r="A72" s="11" t="s">
        <v>26</v>
      </c>
      <c r="B72" s="11">
        <v>13711</v>
      </c>
      <c r="C72" s="11" t="s">
        <v>2414</v>
      </c>
      <c r="D72" s="11" t="s">
        <v>2415</v>
      </c>
      <c r="E72" s="4" t="s">
        <v>1552</v>
      </c>
      <c r="F72" s="11" t="s">
        <v>2416</v>
      </c>
      <c r="G72" s="11" t="s">
        <v>2417</v>
      </c>
      <c r="H72" s="11" t="s">
        <v>511</v>
      </c>
      <c r="I72" s="11" t="s">
        <v>1154</v>
      </c>
      <c r="J72" s="11" t="s">
        <v>31</v>
      </c>
      <c r="K72" s="11" t="s">
        <v>31</v>
      </c>
      <c r="L72" s="11" t="s">
        <v>517</v>
      </c>
      <c r="M72" s="11" t="s">
        <v>32</v>
      </c>
      <c r="N72" s="11" t="s">
        <v>633</v>
      </c>
      <c r="O72" s="11" t="s">
        <v>312</v>
      </c>
      <c r="P72" s="11" t="s">
        <v>2418</v>
      </c>
      <c r="Q72" s="11" t="s">
        <v>604</v>
      </c>
      <c r="R72" s="11" t="s">
        <v>596</v>
      </c>
      <c r="S72" s="11" t="s">
        <v>35</v>
      </c>
      <c r="T72" s="158">
        <v>7.9000000000000001E-2</v>
      </c>
      <c r="U72" s="11" t="s">
        <v>45</v>
      </c>
      <c r="V72" s="174">
        <v>3.9199999999999999E-2</v>
      </c>
      <c r="W72" s="189">
        <v>5.9880000000000003E-2</v>
      </c>
      <c r="X72" s="4" t="s">
        <v>602</v>
      </c>
      <c r="Y72" s="4" t="s">
        <v>312</v>
      </c>
      <c r="Z72" s="158">
        <v>83146</v>
      </c>
      <c r="AA72" s="158">
        <v>1</v>
      </c>
      <c r="AB72" s="158">
        <v>101.47</v>
      </c>
      <c r="AD72" s="158">
        <v>84.367999999999995</v>
      </c>
      <c r="AG72" s="11" t="s">
        <v>37</v>
      </c>
      <c r="AH72" s="189">
        <v>1.8200000000000001E-4</v>
      </c>
      <c r="AI72" s="189">
        <v>9.4590177485498195E-3</v>
      </c>
      <c r="AJ72" s="189">
        <v>2.2982353320982899E-3</v>
      </c>
    </row>
    <row r="73" spans="1:36">
      <c r="A73" s="11" t="s">
        <v>26</v>
      </c>
      <c r="B73" s="11">
        <v>13711</v>
      </c>
      <c r="C73" s="11" t="s">
        <v>362</v>
      </c>
      <c r="D73" s="11" t="s">
        <v>1802</v>
      </c>
      <c r="E73" s="4" t="s">
        <v>1552</v>
      </c>
      <c r="F73" s="11" t="s">
        <v>2419</v>
      </c>
      <c r="G73" s="11" t="s">
        <v>2420</v>
      </c>
      <c r="H73" s="11" t="s">
        <v>511</v>
      </c>
      <c r="I73" s="11" t="s">
        <v>945</v>
      </c>
      <c r="J73" s="11" t="s">
        <v>31</v>
      </c>
      <c r="K73" s="11" t="s">
        <v>31</v>
      </c>
      <c r="L73" s="11" t="s">
        <v>517</v>
      </c>
      <c r="M73" s="11" t="s">
        <v>32</v>
      </c>
      <c r="N73" s="11" t="s">
        <v>636</v>
      </c>
      <c r="O73" s="11" t="s">
        <v>312</v>
      </c>
      <c r="P73" s="11" t="s">
        <v>157</v>
      </c>
      <c r="Q73" s="11" t="s">
        <v>604</v>
      </c>
      <c r="R73" s="11" t="s">
        <v>596</v>
      </c>
      <c r="S73" s="11" t="s">
        <v>35</v>
      </c>
      <c r="T73" s="158">
        <v>1.986</v>
      </c>
      <c r="U73" s="11" t="s">
        <v>2203</v>
      </c>
      <c r="V73" s="174">
        <v>8.3000000000000001E-3</v>
      </c>
      <c r="W73" s="189">
        <v>2.0129999999999999E-2</v>
      </c>
      <c r="X73" s="4" t="s">
        <v>602</v>
      </c>
      <c r="Y73" s="4" t="s">
        <v>312</v>
      </c>
      <c r="Z73" s="158">
        <v>53000</v>
      </c>
      <c r="AA73" s="158">
        <v>1</v>
      </c>
      <c r="AB73" s="158">
        <v>110.75</v>
      </c>
      <c r="AD73" s="158">
        <v>58.697000000000003</v>
      </c>
      <c r="AG73" s="11" t="s">
        <v>37</v>
      </c>
      <c r="AH73" s="189">
        <v>1.7E-5</v>
      </c>
      <c r="AI73" s="189">
        <v>6.5809201838724898E-3</v>
      </c>
      <c r="AJ73" s="189">
        <v>1.59895072473178E-3</v>
      </c>
    </row>
    <row r="74" spans="1:36">
      <c r="A74" s="11" t="s">
        <v>26</v>
      </c>
      <c r="B74" s="11">
        <v>13711</v>
      </c>
      <c r="C74" s="11" t="s">
        <v>362</v>
      </c>
      <c r="D74" s="11" t="s">
        <v>1802</v>
      </c>
      <c r="E74" s="4" t="s">
        <v>1552</v>
      </c>
      <c r="F74" s="11" t="s">
        <v>2421</v>
      </c>
      <c r="G74" s="11" t="s">
        <v>2422</v>
      </c>
      <c r="H74" s="11" t="s">
        <v>511</v>
      </c>
      <c r="I74" s="11" t="s">
        <v>1154</v>
      </c>
      <c r="J74" s="11" t="s">
        <v>31</v>
      </c>
      <c r="K74" s="11" t="s">
        <v>31</v>
      </c>
      <c r="L74" s="11" t="s">
        <v>517</v>
      </c>
      <c r="M74" s="11" t="s">
        <v>32</v>
      </c>
      <c r="N74" s="11" t="s">
        <v>636</v>
      </c>
      <c r="O74" s="11" t="s">
        <v>312</v>
      </c>
      <c r="P74" s="11" t="s">
        <v>357</v>
      </c>
      <c r="Q74" s="11" t="s">
        <v>358</v>
      </c>
      <c r="R74" s="11" t="s">
        <v>596</v>
      </c>
      <c r="S74" s="11" t="s">
        <v>35</v>
      </c>
      <c r="T74" s="158">
        <v>0.66</v>
      </c>
      <c r="U74" s="11" t="s">
        <v>140</v>
      </c>
      <c r="V74" s="174">
        <v>2.0199999999999999E-2</v>
      </c>
      <c r="W74" s="189">
        <v>4.7199999999999999E-2</v>
      </c>
      <c r="X74" s="4" t="s">
        <v>602</v>
      </c>
      <c r="Y74" s="4" t="s">
        <v>312</v>
      </c>
      <c r="Z74" s="158">
        <v>77500</v>
      </c>
      <c r="AA74" s="158">
        <v>1</v>
      </c>
      <c r="AB74" s="158">
        <v>99.11</v>
      </c>
      <c r="AD74" s="158">
        <v>76.81</v>
      </c>
      <c r="AG74" s="11" t="s">
        <v>37</v>
      </c>
      <c r="AH74" s="189">
        <v>9.2E-5</v>
      </c>
      <c r="AI74" s="189">
        <v>8.6116465701825701E-3</v>
      </c>
      <c r="AJ74" s="189">
        <v>2.0923515465621099E-3</v>
      </c>
    </row>
    <row r="75" spans="1:36">
      <c r="A75" s="11" t="s">
        <v>26</v>
      </c>
      <c r="B75" s="11">
        <v>13711</v>
      </c>
      <c r="C75" s="11" t="s">
        <v>362</v>
      </c>
      <c r="D75" s="11" t="s">
        <v>1802</v>
      </c>
      <c r="E75" s="4" t="s">
        <v>1552</v>
      </c>
      <c r="F75" s="11" t="s">
        <v>2423</v>
      </c>
      <c r="G75" s="11" t="s">
        <v>2424</v>
      </c>
      <c r="H75" s="11" t="s">
        <v>511</v>
      </c>
      <c r="I75" s="11" t="s">
        <v>945</v>
      </c>
      <c r="J75" s="11" t="s">
        <v>31</v>
      </c>
      <c r="K75" s="11" t="s">
        <v>31</v>
      </c>
      <c r="L75" s="11" t="s">
        <v>517</v>
      </c>
      <c r="M75" s="11" t="s">
        <v>32</v>
      </c>
      <c r="N75" s="11" t="s">
        <v>636</v>
      </c>
      <c r="O75" s="11" t="s">
        <v>312</v>
      </c>
      <c r="P75" s="11" t="s">
        <v>357</v>
      </c>
      <c r="Q75" s="11" t="s">
        <v>358</v>
      </c>
      <c r="R75" s="11" t="s">
        <v>596</v>
      </c>
      <c r="S75" s="11" t="s">
        <v>35</v>
      </c>
      <c r="T75" s="158">
        <v>2.806</v>
      </c>
      <c r="U75" s="11" t="s">
        <v>2425</v>
      </c>
      <c r="V75" s="174">
        <v>1.8599999999999998E-2</v>
      </c>
      <c r="W75" s="189">
        <v>2.2460000000000001E-2</v>
      </c>
      <c r="X75" s="4" t="s">
        <v>602</v>
      </c>
      <c r="Y75" s="4" t="s">
        <v>312</v>
      </c>
      <c r="Z75" s="158">
        <v>86000</v>
      </c>
      <c r="AA75" s="158">
        <v>1</v>
      </c>
      <c r="AB75" s="158">
        <v>101.33</v>
      </c>
      <c r="AD75" s="158">
        <v>87.144000000000005</v>
      </c>
      <c r="AG75" s="11" t="s">
        <v>37</v>
      </c>
      <c r="AH75" s="189">
        <v>6.9999999999999994E-5</v>
      </c>
      <c r="AI75" s="189">
        <v>9.7702013257693603E-3</v>
      </c>
      <c r="AJ75" s="189">
        <v>2.3738428751800601E-3</v>
      </c>
    </row>
    <row r="76" spans="1:36">
      <c r="A76" s="11" t="s">
        <v>26</v>
      </c>
      <c r="B76" s="11">
        <v>13711</v>
      </c>
      <c r="C76" s="11" t="s">
        <v>2426</v>
      </c>
      <c r="D76" s="11" t="s">
        <v>2427</v>
      </c>
      <c r="E76" s="4" t="s">
        <v>1552</v>
      </c>
      <c r="F76" s="11" t="s">
        <v>2428</v>
      </c>
      <c r="G76" s="11" t="s">
        <v>2429</v>
      </c>
      <c r="H76" s="11" t="s">
        <v>511</v>
      </c>
      <c r="I76" s="11" t="s">
        <v>1154</v>
      </c>
      <c r="J76" s="11" t="s">
        <v>31</v>
      </c>
      <c r="K76" s="11" t="s">
        <v>31</v>
      </c>
      <c r="L76" s="11" t="s">
        <v>517</v>
      </c>
      <c r="M76" s="11" t="s">
        <v>32</v>
      </c>
      <c r="N76" s="11" t="s">
        <v>635</v>
      </c>
      <c r="O76" s="11" t="s">
        <v>312</v>
      </c>
      <c r="P76" s="27" t="s">
        <v>2165</v>
      </c>
      <c r="Q76" s="27" t="s">
        <v>2165</v>
      </c>
      <c r="R76" s="27" t="s">
        <v>2165</v>
      </c>
      <c r="S76" s="11" t="s">
        <v>35</v>
      </c>
      <c r="T76" s="158">
        <v>4.2640000000000002</v>
      </c>
      <c r="U76" s="11" t="s">
        <v>2430</v>
      </c>
      <c r="V76" s="174">
        <v>6.7299999999999999E-2</v>
      </c>
      <c r="W76" s="189">
        <v>6.8379999999999996E-2</v>
      </c>
      <c r="X76" s="4" t="s">
        <v>602</v>
      </c>
      <c r="Y76" s="4" t="s">
        <v>312</v>
      </c>
      <c r="Z76" s="158">
        <v>23000</v>
      </c>
      <c r="AA76" s="158">
        <v>1</v>
      </c>
      <c r="AB76" s="158">
        <v>100.7</v>
      </c>
      <c r="AD76" s="158">
        <v>23.161000000000001</v>
      </c>
      <c r="AG76" s="11" t="s">
        <v>37</v>
      </c>
      <c r="AH76" s="189">
        <v>8.3999999999999995E-5</v>
      </c>
      <c r="AI76" s="189">
        <v>2.5967152328237298E-3</v>
      </c>
      <c r="AJ76" s="189">
        <v>6.3091780289642203E-4</v>
      </c>
    </row>
    <row r="77" spans="1:36">
      <c r="A77" s="11" t="s">
        <v>26</v>
      </c>
      <c r="B77" s="11">
        <v>13711</v>
      </c>
      <c r="C77" s="11" t="s">
        <v>2431</v>
      </c>
      <c r="D77" s="11" t="s">
        <v>2432</v>
      </c>
      <c r="E77" s="4" t="s">
        <v>1552</v>
      </c>
      <c r="F77" s="11" t="s">
        <v>2433</v>
      </c>
      <c r="G77" s="11" t="s">
        <v>2434</v>
      </c>
      <c r="H77" s="11" t="s">
        <v>511</v>
      </c>
      <c r="I77" s="11" t="s">
        <v>1154</v>
      </c>
      <c r="J77" s="11" t="s">
        <v>31</v>
      </c>
      <c r="K77" s="11" t="s">
        <v>31</v>
      </c>
      <c r="L77" s="11" t="s">
        <v>517</v>
      </c>
      <c r="M77" s="11" t="s">
        <v>32</v>
      </c>
      <c r="N77" s="11" t="s">
        <v>635</v>
      </c>
      <c r="O77" s="11" t="s">
        <v>312</v>
      </c>
      <c r="P77" s="27" t="s">
        <v>2165</v>
      </c>
      <c r="Q77" s="27" t="s">
        <v>2165</v>
      </c>
      <c r="R77" s="16" t="s">
        <v>2165</v>
      </c>
      <c r="S77" s="11" t="s">
        <v>35</v>
      </c>
      <c r="T77" s="158">
        <v>1.776</v>
      </c>
      <c r="U77" s="11" t="s">
        <v>110</v>
      </c>
      <c r="V77" s="174">
        <v>7.0000000000000007E-2</v>
      </c>
      <c r="W77" s="189">
        <v>9.6860000000000002E-2</v>
      </c>
      <c r="X77" s="4" t="s">
        <v>602</v>
      </c>
      <c r="Y77" s="4" t="s">
        <v>312</v>
      </c>
      <c r="Z77" s="158">
        <v>1666.6</v>
      </c>
      <c r="AA77" s="158">
        <v>1</v>
      </c>
      <c r="AB77" s="158">
        <v>99.94</v>
      </c>
      <c r="AD77" s="158">
        <v>1.6659999999999999</v>
      </c>
      <c r="AG77" s="11" t="s">
        <v>37</v>
      </c>
      <c r="AH77" s="189">
        <v>2.4000000000000001E-5</v>
      </c>
      <c r="AI77" s="189">
        <v>1.86740166472078E-4</v>
      </c>
      <c r="AJ77" s="189">
        <v>4.5371819772073401E-5</v>
      </c>
    </row>
    <row r="78" spans="1:36">
      <c r="A78" s="11" t="s">
        <v>26</v>
      </c>
      <c r="B78" s="11">
        <v>13711</v>
      </c>
      <c r="C78" s="11" t="s">
        <v>1808</v>
      </c>
      <c r="D78" s="11" t="s">
        <v>1809</v>
      </c>
      <c r="E78" s="4" t="s">
        <v>1552</v>
      </c>
      <c r="F78" s="11" t="s">
        <v>2435</v>
      </c>
      <c r="G78" s="11" t="s">
        <v>2436</v>
      </c>
      <c r="H78" s="11" t="s">
        <v>511</v>
      </c>
      <c r="I78" s="11" t="s">
        <v>1154</v>
      </c>
      <c r="J78" s="11" t="s">
        <v>31</v>
      </c>
      <c r="K78" s="11" t="s">
        <v>31</v>
      </c>
      <c r="L78" s="11" t="s">
        <v>517</v>
      </c>
      <c r="M78" s="11" t="s">
        <v>32</v>
      </c>
      <c r="N78" s="11" t="s">
        <v>639</v>
      </c>
      <c r="O78" s="11" t="s">
        <v>312</v>
      </c>
      <c r="P78" s="11" t="s">
        <v>2165</v>
      </c>
      <c r="Q78" s="27" t="s">
        <v>2165</v>
      </c>
      <c r="R78" s="16" t="s">
        <v>2165</v>
      </c>
      <c r="S78" s="11" t="s">
        <v>35</v>
      </c>
      <c r="T78" s="158">
        <v>0.98299999999999998</v>
      </c>
      <c r="U78" s="11" t="s">
        <v>2317</v>
      </c>
      <c r="V78" s="174">
        <v>3.5000000000000003E-2</v>
      </c>
      <c r="W78" s="189">
        <v>4.6519999999999999E-2</v>
      </c>
      <c r="X78" s="4" t="s">
        <v>602</v>
      </c>
      <c r="Y78" s="4" t="s">
        <v>312</v>
      </c>
      <c r="Z78" s="158">
        <v>19960</v>
      </c>
      <c r="AA78" s="158">
        <v>1</v>
      </c>
      <c r="AB78" s="158">
        <v>97.64</v>
      </c>
      <c r="AD78" s="158">
        <v>19.489000000000001</v>
      </c>
      <c r="AG78" s="11" t="s">
        <v>37</v>
      </c>
      <c r="AH78" s="189">
        <v>2.4899999999999998E-4</v>
      </c>
      <c r="AI78" s="189">
        <v>2.1850195482253998E-3</v>
      </c>
      <c r="AJ78" s="189">
        <v>5.3088906909250103E-4</v>
      </c>
    </row>
    <row r="79" spans="1:36">
      <c r="A79" s="11" t="s">
        <v>26</v>
      </c>
      <c r="B79" s="11">
        <v>13711</v>
      </c>
      <c r="C79" s="11" t="s">
        <v>2437</v>
      </c>
      <c r="D79" s="11" t="s">
        <v>2438</v>
      </c>
      <c r="E79" s="4" t="s">
        <v>1552</v>
      </c>
      <c r="F79" s="11" t="s">
        <v>2439</v>
      </c>
      <c r="G79" s="11" t="s">
        <v>2440</v>
      </c>
      <c r="H79" s="11" t="s">
        <v>511</v>
      </c>
      <c r="I79" s="11" t="s">
        <v>945</v>
      </c>
      <c r="J79" s="11" t="s">
        <v>31</v>
      </c>
      <c r="K79" s="11" t="s">
        <v>31</v>
      </c>
      <c r="L79" s="11" t="s">
        <v>517</v>
      </c>
      <c r="M79" s="11" t="s">
        <v>32</v>
      </c>
      <c r="N79" s="11" t="s">
        <v>652</v>
      </c>
      <c r="O79" s="11" t="s">
        <v>312</v>
      </c>
      <c r="P79" s="11" t="s">
        <v>2165</v>
      </c>
      <c r="Q79" s="27" t="s">
        <v>2165</v>
      </c>
      <c r="R79" s="16" t="s">
        <v>2165</v>
      </c>
      <c r="S79" s="11" t="s">
        <v>35</v>
      </c>
      <c r="T79" s="158">
        <v>3.08</v>
      </c>
      <c r="U79" s="11" t="s">
        <v>2441</v>
      </c>
      <c r="V79" s="174">
        <v>6.0999999999999999E-2</v>
      </c>
      <c r="W79" s="189">
        <v>5.0319999999999997E-2</v>
      </c>
      <c r="X79" s="4" t="s">
        <v>602</v>
      </c>
      <c r="Y79" s="4" t="s">
        <v>312</v>
      </c>
      <c r="Z79" s="158">
        <v>24000</v>
      </c>
      <c r="AA79" s="158">
        <v>1</v>
      </c>
      <c r="AB79" s="158">
        <v>105.52</v>
      </c>
      <c r="AD79" s="158">
        <v>25.324999999999999</v>
      </c>
      <c r="AG79" s="11" t="s">
        <v>37</v>
      </c>
      <c r="AH79" s="189">
        <v>2.8299999999999999E-4</v>
      </c>
      <c r="AI79" s="189">
        <v>2.83931151194742E-3</v>
      </c>
      <c r="AJ79" s="189">
        <v>6.8986085120639501E-4</v>
      </c>
    </row>
    <row r="80" spans="1:36">
      <c r="A80" s="11" t="s">
        <v>26</v>
      </c>
      <c r="B80" s="11">
        <v>13711</v>
      </c>
      <c r="C80" s="11" t="s">
        <v>2437</v>
      </c>
      <c r="D80" s="11" t="s">
        <v>2438</v>
      </c>
      <c r="E80" s="4" t="s">
        <v>1552</v>
      </c>
      <c r="F80" s="11" t="s">
        <v>2442</v>
      </c>
      <c r="G80" s="11" t="s">
        <v>2443</v>
      </c>
      <c r="H80" s="11" t="s">
        <v>511</v>
      </c>
      <c r="I80" s="11" t="s">
        <v>945</v>
      </c>
      <c r="J80" s="11" t="s">
        <v>31</v>
      </c>
      <c r="K80" s="11" t="s">
        <v>31</v>
      </c>
      <c r="L80" s="11" t="s">
        <v>517</v>
      </c>
      <c r="M80" s="11" t="s">
        <v>32</v>
      </c>
      <c r="N80" s="11" t="s">
        <v>652</v>
      </c>
      <c r="O80" s="11" t="s">
        <v>312</v>
      </c>
      <c r="P80" s="11" t="s">
        <v>2165</v>
      </c>
      <c r="Q80" s="27" t="s">
        <v>2165</v>
      </c>
      <c r="R80" s="16" t="s">
        <v>2165</v>
      </c>
      <c r="S80" s="11" t="s">
        <v>35</v>
      </c>
      <c r="T80" s="158">
        <v>3.113</v>
      </c>
      <c r="U80" s="11" t="s">
        <v>2166</v>
      </c>
      <c r="V80" s="174">
        <v>0.06</v>
      </c>
      <c r="W80" s="189">
        <v>4.795E-2</v>
      </c>
      <c r="X80" s="4" t="s">
        <v>602</v>
      </c>
      <c r="Y80" s="4" t="s">
        <v>312</v>
      </c>
      <c r="Z80" s="158">
        <v>5000</v>
      </c>
      <c r="AA80" s="158">
        <v>1</v>
      </c>
      <c r="AB80" s="158">
        <v>106.8</v>
      </c>
      <c r="AD80" s="158">
        <v>5.34</v>
      </c>
      <c r="AG80" s="11" t="s">
        <v>37</v>
      </c>
      <c r="AH80" s="189">
        <v>6.4999999999999994E-5</v>
      </c>
      <c r="AI80" s="189">
        <v>5.9869864614130197E-4</v>
      </c>
      <c r="AJ80" s="189">
        <v>1.4546440427731501E-4</v>
      </c>
    </row>
    <row r="81" spans="1:36">
      <c r="A81" s="11" t="s">
        <v>26</v>
      </c>
      <c r="B81" s="11">
        <v>13711</v>
      </c>
      <c r="C81" s="11" t="s">
        <v>1820</v>
      </c>
      <c r="D81" s="11" t="s">
        <v>1821</v>
      </c>
      <c r="E81" s="4" t="s">
        <v>1552</v>
      </c>
      <c r="F81" s="11" t="s">
        <v>2444</v>
      </c>
      <c r="G81" s="11" t="s">
        <v>2445</v>
      </c>
      <c r="H81" s="11" t="s">
        <v>511</v>
      </c>
      <c r="I81" s="11" t="s">
        <v>945</v>
      </c>
      <c r="J81" s="11" t="s">
        <v>31</v>
      </c>
      <c r="K81" s="11" t="s">
        <v>31</v>
      </c>
      <c r="L81" s="11" t="s">
        <v>517</v>
      </c>
      <c r="M81" s="11" t="s">
        <v>32</v>
      </c>
      <c r="N81" s="11" t="s">
        <v>652</v>
      </c>
      <c r="O81" s="11" t="s">
        <v>312</v>
      </c>
      <c r="P81" s="11" t="s">
        <v>2169</v>
      </c>
      <c r="Q81" s="11" t="s">
        <v>604</v>
      </c>
      <c r="R81" s="11" t="s">
        <v>596</v>
      </c>
      <c r="S81" s="11" t="s">
        <v>35</v>
      </c>
      <c r="T81" s="158">
        <v>2.4700000000000002</v>
      </c>
      <c r="U81" s="11" t="s">
        <v>110</v>
      </c>
      <c r="V81" s="174">
        <v>2.5999999999999999E-2</v>
      </c>
      <c r="W81" s="189">
        <v>2.6950000000000002E-2</v>
      </c>
      <c r="X81" s="4" t="s">
        <v>602</v>
      </c>
      <c r="Y81" s="4" t="s">
        <v>312</v>
      </c>
      <c r="Z81" s="158">
        <v>15000.1</v>
      </c>
      <c r="AA81" s="158">
        <v>1</v>
      </c>
      <c r="AB81" s="158">
        <v>115.09</v>
      </c>
      <c r="AD81" s="158">
        <v>17.263999999999999</v>
      </c>
      <c r="AG81" s="11" t="s">
        <v>37</v>
      </c>
      <c r="AH81" s="189">
        <v>4.1999999999999998E-5</v>
      </c>
      <c r="AI81" s="189">
        <v>1.9355249029751999E-3</v>
      </c>
      <c r="AJ81" s="189">
        <v>4.7026994096249401E-4</v>
      </c>
    </row>
    <row r="82" spans="1:36">
      <c r="A82" s="11" t="s">
        <v>26</v>
      </c>
      <c r="B82" s="11">
        <v>13711</v>
      </c>
      <c r="C82" s="11" t="s">
        <v>1820</v>
      </c>
      <c r="D82" s="11" t="s">
        <v>1821</v>
      </c>
      <c r="E82" s="4" t="s">
        <v>1552</v>
      </c>
      <c r="F82" s="11" t="s">
        <v>2446</v>
      </c>
      <c r="G82" s="11" t="s">
        <v>2447</v>
      </c>
      <c r="H82" s="11" t="s">
        <v>511</v>
      </c>
      <c r="I82" s="11" t="s">
        <v>945</v>
      </c>
      <c r="J82" s="11" t="s">
        <v>31</v>
      </c>
      <c r="K82" s="11" t="s">
        <v>31</v>
      </c>
      <c r="L82" s="11" t="s">
        <v>517</v>
      </c>
      <c r="M82" s="11" t="s">
        <v>32</v>
      </c>
      <c r="N82" s="11" t="s">
        <v>652</v>
      </c>
      <c r="O82" s="11" t="s">
        <v>312</v>
      </c>
      <c r="P82" s="11" t="s">
        <v>2169</v>
      </c>
      <c r="Q82" s="11" t="s">
        <v>604</v>
      </c>
      <c r="R82" s="11" t="s">
        <v>596</v>
      </c>
      <c r="S82" s="11" t="s">
        <v>35</v>
      </c>
      <c r="T82" s="158">
        <v>1.988</v>
      </c>
      <c r="U82" s="11" t="s">
        <v>2198</v>
      </c>
      <c r="V82" s="174">
        <v>2.4E-2</v>
      </c>
      <c r="W82" s="189">
        <v>2.647E-2</v>
      </c>
      <c r="X82" s="4" t="s">
        <v>602</v>
      </c>
      <c r="Y82" s="4" t="s">
        <v>312</v>
      </c>
      <c r="Z82" s="158">
        <v>148000.64000000001</v>
      </c>
      <c r="AA82" s="158">
        <v>1</v>
      </c>
      <c r="AB82" s="158">
        <v>114.25</v>
      </c>
      <c r="AD82" s="158">
        <v>169.09100000000001</v>
      </c>
      <c r="AG82" s="11" t="s">
        <v>37</v>
      </c>
      <c r="AH82" s="189">
        <v>2.5599999999999999E-4</v>
      </c>
      <c r="AI82" s="189">
        <v>1.8957751281738398E-2</v>
      </c>
      <c r="AJ82" s="189">
        <v>4.6061203151355097E-3</v>
      </c>
    </row>
    <row r="83" spans="1:36">
      <c r="A83" s="11" t="s">
        <v>26</v>
      </c>
      <c r="B83" s="11">
        <v>13711</v>
      </c>
      <c r="C83" s="11" t="s">
        <v>1828</v>
      </c>
      <c r="D83" s="11" t="s">
        <v>1829</v>
      </c>
      <c r="E83" s="4" t="s">
        <v>1552</v>
      </c>
      <c r="F83" s="11" t="s">
        <v>2448</v>
      </c>
      <c r="G83" s="11" t="s">
        <v>2449</v>
      </c>
      <c r="H83" s="11" t="s">
        <v>511</v>
      </c>
      <c r="I83" s="11" t="s">
        <v>945</v>
      </c>
      <c r="J83" s="11" t="s">
        <v>31</v>
      </c>
      <c r="K83" s="11" t="s">
        <v>31</v>
      </c>
      <c r="L83" s="11" t="s">
        <v>517</v>
      </c>
      <c r="M83" s="11" t="s">
        <v>32</v>
      </c>
      <c r="N83" s="11" t="s">
        <v>652</v>
      </c>
      <c r="O83" s="11" t="s">
        <v>312</v>
      </c>
      <c r="P83" s="11" t="s">
        <v>2394</v>
      </c>
      <c r="Q83" s="11" t="s">
        <v>358</v>
      </c>
      <c r="R83" s="11" t="s">
        <v>596</v>
      </c>
      <c r="S83" s="11" t="s">
        <v>35</v>
      </c>
      <c r="T83" s="158">
        <v>1.956</v>
      </c>
      <c r="U83" s="11" t="s">
        <v>110</v>
      </c>
      <c r="V83" s="174">
        <v>1.4E-2</v>
      </c>
      <c r="W83" s="189">
        <v>2.5319999999999999E-2</v>
      </c>
      <c r="X83" s="4" t="s">
        <v>602</v>
      </c>
      <c r="Y83" s="4" t="s">
        <v>312</v>
      </c>
      <c r="Z83" s="158">
        <v>140400</v>
      </c>
      <c r="AA83" s="158">
        <v>1</v>
      </c>
      <c r="AB83" s="158">
        <v>111.84</v>
      </c>
      <c r="AD83" s="158">
        <v>157.023</v>
      </c>
      <c r="AG83" s="11" t="s">
        <v>37</v>
      </c>
      <c r="AH83" s="189">
        <v>1.74E-4</v>
      </c>
      <c r="AI83" s="189">
        <v>1.76048076862469E-2</v>
      </c>
      <c r="AJ83" s="189">
        <v>4.2773987865210496E-3</v>
      </c>
    </row>
    <row r="84" spans="1:36">
      <c r="A84" s="11" t="s">
        <v>26</v>
      </c>
      <c r="B84" s="11">
        <v>13711</v>
      </c>
      <c r="C84" s="11" t="s">
        <v>2450</v>
      </c>
      <c r="D84" s="11" t="s">
        <v>2451</v>
      </c>
      <c r="E84" s="4" t="s">
        <v>1552</v>
      </c>
      <c r="F84" s="11" t="s">
        <v>2452</v>
      </c>
      <c r="G84" s="11" t="s">
        <v>2453</v>
      </c>
      <c r="H84" s="11" t="s">
        <v>511</v>
      </c>
      <c r="I84" s="11" t="s">
        <v>945</v>
      </c>
      <c r="J84" s="11" t="s">
        <v>31</v>
      </c>
      <c r="K84" s="11" t="s">
        <v>31</v>
      </c>
      <c r="L84" s="11" t="s">
        <v>517</v>
      </c>
      <c r="M84" s="11" t="s">
        <v>32</v>
      </c>
      <c r="N84" s="11" t="s">
        <v>652</v>
      </c>
      <c r="O84" s="11" t="s">
        <v>312</v>
      </c>
      <c r="P84" s="11" t="s">
        <v>2327</v>
      </c>
      <c r="Q84" s="11" t="s">
        <v>358</v>
      </c>
      <c r="R84" s="11" t="s">
        <v>596</v>
      </c>
      <c r="S84" s="11" t="s">
        <v>35</v>
      </c>
      <c r="T84" s="158">
        <v>1.498</v>
      </c>
      <c r="U84" s="11" t="s">
        <v>2317</v>
      </c>
      <c r="V84" s="174">
        <v>1E-3</v>
      </c>
      <c r="W84" s="189">
        <v>2.086E-2</v>
      </c>
      <c r="X84" s="4" t="s">
        <v>602</v>
      </c>
      <c r="Y84" s="4" t="s">
        <v>312</v>
      </c>
      <c r="Z84" s="158">
        <v>65000</v>
      </c>
      <c r="AA84" s="158">
        <v>1</v>
      </c>
      <c r="AB84" s="158">
        <v>110.23</v>
      </c>
      <c r="AD84" s="158">
        <v>71.650000000000006</v>
      </c>
      <c r="AG84" s="11" t="s">
        <v>37</v>
      </c>
      <c r="AH84" s="189">
        <v>1.13E-4</v>
      </c>
      <c r="AI84" s="189">
        <v>8.0330446903934902E-3</v>
      </c>
      <c r="AJ84" s="189">
        <v>1.9517700064171301E-3</v>
      </c>
    </row>
    <row r="85" spans="1:36">
      <c r="A85" s="11" t="s">
        <v>26</v>
      </c>
      <c r="B85" s="11">
        <v>13711</v>
      </c>
      <c r="C85" s="11" t="s">
        <v>2450</v>
      </c>
      <c r="D85" s="11" t="s">
        <v>2451</v>
      </c>
      <c r="E85" s="4" t="s">
        <v>1552</v>
      </c>
      <c r="F85" s="11" t="s">
        <v>2454</v>
      </c>
      <c r="G85" s="11" t="s">
        <v>2455</v>
      </c>
      <c r="H85" s="11" t="s">
        <v>511</v>
      </c>
      <c r="I85" s="11" t="s">
        <v>945</v>
      </c>
      <c r="J85" s="11" t="s">
        <v>31</v>
      </c>
      <c r="K85" s="11" t="s">
        <v>31</v>
      </c>
      <c r="L85" s="11" t="s">
        <v>517</v>
      </c>
      <c r="M85" s="11" t="s">
        <v>32</v>
      </c>
      <c r="N85" s="11" t="s">
        <v>652</v>
      </c>
      <c r="O85" s="11" t="s">
        <v>312</v>
      </c>
      <c r="P85" s="11" t="s">
        <v>2327</v>
      </c>
      <c r="Q85" s="11" t="s">
        <v>358</v>
      </c>
      <c r="R85" s="11" t="s">
        <v>596</v>
      </c>
      <c r="S85" s="11" t="s">
        <v>35</v>
      </c>
      <c r="T85" s="158">
        <v>2.7330000000000001</v>
      </c>
      <c r="U85" s="11" t="s">
        <v>110</v>
      </c>
      <c r="V85" s="174">
        <v>3.0000000000000001E-3</v>
      </c>
      <c r="W85" s="189">
        <v>3.356E-2</v>
      </c>
      <c r="X85" s="4" t="s">
        <v>602</v>
      </c>
      <c r="Y85" s="4" t="s">
        <v>312</v>
      </c>
      <c r="Z85" s="158">
        <v>20000</v>
      </c>
      <c r="AA85" s="158">
        <v>1</v>
      </c>
      <c r="AB85" s="158">
        <v>101.03</v>
      </c>
      <c r="AD85" s="158">
        <v>20.206</v>
      </c>
      <c r="AG85" s="11" t="s">
        <v>37</v>
      </c>
      <c r="AH85" s="189">
        <v>3.8999999999999999E-5</v>
      </c>
      <c r="AI85" s="189">
        <v>2.2654128921219402E-3</v>
      </c>
      <c r="AJ85" s="189">
        <v>5.5042205109127895E-4</v>
      </c>
    </row>
    <row r="86" spans="1:36">
      <c r="A86" s="11" t="s">
        <v>26</v>
      </c>
      <c r="B86" s="11">
        <v>13711</v>
      </c>
      <c r="C86" s="11" t="s">
        <v>2450</v>
      </c>
      <c r="D86" s="11" t="s">
        <v>2451</v>
      </c>
      <c r="E86" s="4" t="s">
        <v>1552</v>
      </c>
      <c r="F86" s="11" t="s">
        <v>2456</v>
      </c>
      <c r="G86" s="11" t="s">
        <v>2457</v>
      </c>
      <c r="H86" s="11" t="s">
        <v>511</v>
      </c>
      <c r="I86" s="11" t="s">
        <v>945</v>
      </c>
      <c r="J86" s="11" t="s">
        <v>31</v>
      </c>
      <c r="K86" s="11" t="s">
        <v>31</v>
      </c>
      <c r="L86" s="11" t="s">
        <v>517</v>
      </c>
      <c r="M86" s="11" t="s">
        <v>32</v>
      </c>
      <c r="N86" s="11" t="s">
        <v>652</v>
      </c>
      <c r="O86" s="11" t="s">
        <v>312</v>
      </c>
      <c r="P86" s="11" t="s">
        <v>2327</v>
      </c>
      <c r="Q86" s="11" t="s">
        <v>358</v>
      </c>
      <c r="R86" s="11" t="s">
        <v>596</v>
      </c>
      <c r="S86" s="11" t="s">
        <v>35</v>
      </c>
      <c r="T86" s="158">
        <v>2.2389999999999999</v>
      </c>
      <c r="U86" s="11" t="s">
        <v>2198</v>
      </c>
      <c r="V86" s="174">
        <v>3.0000000000000001E-3</v>
      </c>
      <c r="W86" s="189">
        <v>3.2349999999999997E-2</v>
      </c>
      <c r="X86" s="4" t="s">
        <v>602</v>
      </c>
      <c r="Y86" s="4" t="s">
        <v>312</v>
      </c>
      <c r="Z86" s="158">
        <v>20000</v>
      </c>
      <c r="AA86" s="158">
        <v>1</v>
      </c>
      <c r="AB86" s="158">
        <v>98.78</v>
      </c>
      <c r="AD86" s="158">
        <v>19.756</v>
      </c>
      <c r="AG86" s="11" t="s">
        <v>37</v>
      </c>
      <c r="AH86" s="189">
        <v>4.8999999999999998E-5</v>
      </c>
      <c r="AI86" s="189">
        <v>2.2149607590201399E-3</v>
      </c>
      <c r="AJ86" s="189">
        <v>5.3816381477577498E-4</v>
      </c>
    </row>
    <row r="87" spans="1:36">
      <c r="A87" s="11" t="s">
        <v>26</v>
      </c>
      <c r="B87" s="11">
        <v>13711</v>
      </c>
      <c r="C87" s="11" t="s">
        <v>2450</v>
      </c>
      <c r="D87" s="11" t="s">
        <v>2451</v>
      </c>
      <c r="E87" s="4" t="s">
        <v>1552</v>
      </c>
      <c r="F87" s="11" t="s">
        <v>2458</v>
      </c>
      <c r="G87" s="11" t="s">
        <v>2459</v>
      </c>
      <c r="H87" s="11" t="s">
        <v>511</v>
      </c>
      <c r="I87" s="11" t="s">
        <v>945</v>
      </c>
      <c r="J87" s="11" t="s">
        <v>31</v>
      </c>
      <c r="K87" s="11" t="s">
        <v>31</v>
      </c>
      <c r="L87" s="11" t="s">
        <v>517</v>
      </c>
      <c r="M87" s="11" t="s">
        <v>32</v>
      </c>
      <c r="N87" s="11" t="s">
        <v>652</v>
      </c>
      <c r="O87" s="11" t="s">
        <v>312</v>
      </c>
      <c r="P87" s="11" t="s">
        <v>2327</v>
      </c>
      <c r="Q87" s="11" t="s">
        <v>358</v>
      </c>
      <c r="R87" s="11" t="s">
        <v>596</v>
      </c>
      <c r="S87" s="11" t="s">
        <v>35</v>
      </c>
      <c r="T87" s="158">
        <v>2.4910000000000001</v>
      </c>
      <c r="U87" s="11" t="s">
        <v>2333</v>
      </c>
      <c r="V87" s="174">
        <v>3.0000000000000001E-3</v>
      </c>
      <c r="W87" s="189">
        <v>3.322E-2</v>
      </c>
      <c r="X87" s="4" t="s">
        <v>602</v>
      </c>
      <c r="Y87" s="4" t="s">
        <v>312</v>
      </c>
      <c r="Z87" s="158">
        <v>19000</v>
      </c>
      <c r="AA87" s="158">
        <v>1</v>
      </c>
      <c r="AB87" s="158">
        <v>94.71</v>
      </c>
      <c r="AD87" s="158">
        <v>17.995000000000001</v>
      </c>
      <c r="AG87" s="11" t="s">
        <v>37</v>
      </c>
      <c r="AH87" s="189">
        <v>6.3E-5</v>
      </c>
      <c r="AI87" s="189">
        <v>2.01751353322998E-3</v>
      </c>
      <c r="AJ87" s="189">
        <v>4.9019052594192103E-4</v>
      </c>
    </row>
    <row r="88" spans="1:36">
      <c r="A88" s="11" t="s">
        <v>26</v>
      </c>
      <c r="B88" s="11">
        <v>13711</v>
      </c>
      <c r="C88" s="11" t="s">
        <v>2460</v>
      </c>
      <c r="D88" s="11" t="s">
        <v>2461</v>
      </c>
      <c r="E88" s="4" t="s">
        <v>1552</v>
      </c>
      <c r="F88" s="11" t="s">
        <v>2462</v>
      </c>
      <c r="G88" s="11" t="s">
        <v>2463</v>
      </c>
      <c r="H88" s="11" t="s">
        <v>511</v>
      </c>
      <c r="I88" s="11" t="s">
        <v>945</v>
      </c>
      <c r="J88" s="11" t="s">
        <v>31</v>
      </c>
      <c r="K88" s="11" t="s">
        <v>31</v>
      </c>
      <c r="L88" s="11" t="s">
        <v>517</v>
      </c>
      <c r="M88" s="11" t="s">
        <v>32</v>
      </c>
      <c r="N88" s="11" t="s">
        <v>636</v>
      </c>
      <c r="O88" s="11" t="s">
        <v>312</v>
      </c>
      <c r="P88" s="11" t="s">
        <v>157</v>
      </c>
      <c r="Q88" s="11" t="s">
        <v>604</v>
      </c>
      <c r="R88" s="11" t="s">
        <v>596</v>
      </c>
      <c r="S88" s="11" t="s">
        <v>35</v>
      </c>
      <c r="T88" s="158">
        <v>3.1680000000000001</v>
      </c>
      <c r="U88" s="11" t="s">
        <v>2464</v>
      </c>
      <c r="V88" s="174">
        <v>1.2200000000000001E-2</v>
      </c>
      <c r="W88" s="189">
        <v>2.3429999999999999E-2</v>
      </c>
      <c r="X88" s="4" t="s">
        <v>602</v>
      </c>
      <c r="Y88" s="4" t="s">
        <v>312</v>
      </c>
      <c r="Z88" s="158">
        <v>58000</v>
      </c>
      <c r="AA88" s="158">
        <v>1</v>
      </c>
      <c r="AB88" s="158">
        <v>111.52</v>
      </c>
      <c r="AD88" s="158">
        <v>64.682000000000002</v>
      </c>
      <c r="AG88" s="11" t="s">
        <v>37</v>
      </c>
      <c r="AH88" s="189">
        <v>1.9000000000000001E-5</v>
      </c>
      <c r="AI88" s="189">
        <v>7.2518326498601602E-3</v>
      </c>
      <c r="AJ88" s="189">
        <v>1.7619607512553499E-3</v>
      </c>
    </row>
    <row r="89" spans="1:36">
      <c r="A89" s="11" t="s">
        <v>26</v>
      </c>
      <c r="B89" s="11">
        <v>13711</v>
      </c>
      <c r="C89" s="11" t="s">
        <v>2460</v>
      </c>
      <c r="D89" s="11" t="s">
        <v>2461</v>
      </c>
      <c r="E89" s="4" t="s">
        <v>1552</v>
      </c>
      <c r="F89" s="11" t="s">
        <v>2465</v>
      </c>
      <c r="G89" s="11" t="s">
        <v>2466</v>
      </c>
      <c r="H89" s="11" t="s">
        <v>511</v>
      </c>
      <c r="I89" s="11" t="s">
        <v>945</v>
      </c>
      <c r="J89" s="11" t="s">
        <v>31</v>
      </c>
      <c r="K89" s="11" t="s">
        <v>31</v>
      </c>
      <c r="L89" s="11" t="s">
        <v>517</v>
      </c>
      <c r="M89" s="11" t="s">
        <v>32</v>
      </c>
      <c r="N89" s="11" t="s">
        <v>636</v>
      </c>
      <c r="O89" s="11" t="s">
        <v>312</v>
      </c>
      <c r="P89" s="11" t="s">
        <v>157</v>
      </c>
      <c r="Q89" s="11" t="s">
        <v>604</v>
      </c>
      <c r="R89" s="11" t="s">
        <v>596</v>
      </c>
      <c r="S89" s="11" t="s">
        <v>35</v>
      </c>
      <c r="T89" s="158">
        <v>4.2990000000000004</v>
      </c>
      <c r="U89" s="11" t="s">
        <v>2467</v>
      </c>
      <c r="V89" s="174">
        <v>1E-3</v>
      </c>
      <c r="W89" s="189">
        <v>2.529E-2</v>
      </c>
      <c r="X89" s="4" t="s">
        <v>602</v>
      </c>
      <c r="Y89" s="4" t="s">
        <v>312</v>
      </c>
      <c r="Z89" s="158">
        <v>40000</v>
      </c>
      <c r="AA89" s="158">
        <v>1</v>
      </c>
      <c r="AB89" s="158">
        <v>99.99</v>
      </c>
      <c r="AD89" s="158">
        <v>39.996000000000002</v>
      </c>
      <c r="AG89" s="11" t="s">
        <v>37</v>
      </c>
      <c r="AH89" s="189">
        <v>1.2E-5</v>
      </c>
      <c r="AI89" s="189">
        <v>4.4841855900875499E-3</v>
      </c>
      <c r="AJ89" s="189">
        <v>1.0895120437219999E-3</v>
      </c>
    </row>
    <row r="90" spans="1:36">
      <c r="A90" s="11" t="s">
        <v>26</v>
      </c>
      <c r="B90" s="11">
        <v>13711</v>
      </c>
      <c r="C90" s="11" t="s">
        <v>2460</v>
      </c>
      <c r="D90" s="11" t="s">
        <v>2461</v>
      </c>
      <c r="E90" s="4" t="s">
        <v>1552</v>
      </c>
      <c r="F90" s="11" t="s">
        <v>2468</v>
      </c>
      <c r="G90" s="11" t="s">
        <v>2469</v>
      </c>
      <c r="H90" s="11" t="s">
        <v>511</v>
      </c>
      <c r="I90" s="11" t="s">
        <v>945</v>
      </c>
      <c r="J90" s="11" t="s">
        <v>31</v>
      </c>
      <c r="K90" s="11" t="s">
        <v>31</v>
      </c>
      <c r="L90" s="11" t="s">
        <v>517</v>
      </c>
      <c r="M90" s="11" t="s">
        <v>32</v>
      </c>
      <c r="N90" s="11" t="s">
        <v>636</v>
      </c>
      <c r="O90" s="11" t="s">
        <v>312</v>
      </c>
      <c r="P90" s="11" t="s">
        <v>157</v>
      </c>
      <c r="Q90" s="11" t="s">
        <v>604</v>
      </c>
      <c r="R90" s="11" t="s">
        <v>596</v>
      </c>
      <c r="S90" s="11" t="s">
        <v>35</v>
      </c>
      <c r="T90" s="158">
        <v>4.6559999999999997</v>
      </c>
      <c r="U90" s="11" t="s">
        <v>2470</v>
      </c>
      <c r="V90" s="174">
        <v>2.06E-2</v>
      </c>
      <c r="W90" s="189">
        <v>2.554E-2</v>
      </c>
      <c r="X90" s="4" t="s">
        <v>602</v>
      </c>
      <c r="Y90" s="4" t="s">
        <v>312</v>
      </c>
      <c r="Z90" s="158">
        <v>13500</v>
      </c>
      <c r="AA90" s="158">
        <v>1</v>
      </c>
      <c r="AB90" s="158">
        <v>100.67</v>
      </c>
      <c r="AD90" s="158">
        <v>13.59</v>
      </c>
      <c r="AG90" s="11" t="s">
        <v>37</v>
      </c>
      <c r="AH90" s="189">
        <v>6.9999999999999999E-6</v>
      </c>
      <c r="AI90" s="189">
        <v>1.52370487180731E-3</v>
      </c>
      <c r="AJ90" s="189">
        <v>3.7021099496453898E-4</v>
      </c>
    </row>
    <row r="91" spans="1:36">
      <c r="A91" s="11" t="s">
        <v>26</v>
      </c>
      <c r="B91" s="11">
        <v>13711</v>
      </c>
      <c r="C91" s="11" t="s">
        <v>2460</v>
      </c>
      <c r="D91" s="11" t="s">
        <v>2461</v>
      </c>
      <c r="E91" s="4" t="s">
        <v>1552</v>
      </c>
      <c r="F91" s="11" t="s">
        <v>2471</v>
      </c>
      <c r="G91" s="11" t="s">
        <v>2472</v>
      </c>
      <c r="H91" s="11" t="s">
        <v>511</v>
      </c>
      <c r="I91" s="11" t="s">
        <v>945</v>
      </c>
      <c r="J91" s="11" t="s">
        <v>31</v>
      </c>
      <c r="K91" s="11" t="s">
        <v>31</v>
      </c>
      <c r="L91" s="11" t="s">
        <v>517</v>
      </c>
      <c r="M91" s="11" t="s">
        <v>32</v>
      </c>
      <c r="N91" s="11" t="s">
        <v>636</v>
      </c>
      <c r="O91" s="11" t="s">
        <v>312</v>
      </c>
      <c r="P91" s="11" t="s">
        <v>357</v>
      </c>
      <c r="Q91" s="11" t="s">
        <v>358</v>
      </c>
      <c r="R91" s="11" t="s">
        <v>596</v>
      </c>
      <c r="S91" s="11" t="s">
        <v>35</v>
      </c>
      <c r="T91" s="158">
        <v>4.6280000000000001</v>
      </c>
      <c r="U91" s="11" t="s">
        <v>2473</v>
      </c>
      <c r="V91" s="174">
        <v>1.9900000000000001E-2</v>
      </c>
      <c r="W91" s="189">
        <v>2.571E-2</v>
      </c>
      <c r="X91" s="4" t="s">
        <v>602</v>
      </c>
      <c r="Y91" s="4" t="s">
        <v>312</v>
      </c>
      <c r="Z91" s="158">
        <v>140000</v>
      </c>
      <c r="AA91" s="158">
        <v>1</v>
      </c>
      <c r="AB91" s="158">
        <v>100.23</v>
      </c>
      <c r="AD91" s="158">
        <v>140.322</v>
      </c>
      <c r="AG91" s="11" t="s">
        <v>37</v>
      </c>
      <c r="AH91" s="189">
        <v>5.1999999999999997E-5</v>
      </c>
      <c r="AI91" s="189">
        <v>1.5732320491355801E-2</v>
      </c>
      <c r="AJ91" s="189">
        <v>3.82244496947592E-3</v>
      </c>
    </row>
    <row r="92" spans="1:36">
      <c r="A92" s="11" t="s">
        <v>26</v>
      </c>
      <c r="B92" s="11">
        <v>13711</v>
      </c>
      <c r="C92" s="11" t="s">
        <v>2460</v>
      </c>
      <c r="D92" s="11" t="s">
        <v>2461</v>
      </c>
      <c r="E92" s="4" t="s">
        <v>1552</v>
      </c>
      <c r="F92" s="11" t="s">
        <v>2474</v>
      </c>
      <c r="G92" s="11" t="s">
        <v>2475</v>
      </c>
      <c r="H92" s="11" t="s">
        <v>511</v>
      </c>
      <c r="I92" s="11" t="s">
        <v>1154</v>
      </c>
      <c r="J92" s="11" t="s">
        <v>31</v>
      </c>
      <c r="K92" s="11" t="s">
        <v>31</v>
      </c>
      <c r="L92" s="11" t="s">
        <v>517</v>
      </c>
      <c r="M92" s="11" t="s">
        <v>32</v>
      </c>
      <c r="N92" s="11" t="s">
        <v>636</v>
      </c>
      <c r="O92" s="11" t="s">
        <v>312</v>
      </c>
      <c r="P92" s="11" t="s">
        <v>157</v>
      </c>
      <c r="Q92" s="11" t="s">
        <v>604</v>
      </c>
      <c r="R92" s="11" t="s">
        <v>596</v>
      </c>
      <c r="S92" s="11" t="s">
        <v>35</v>
      </c>
      <c r="T92" s="158">
        <v>0.17799999999999999</v>
      </c>
      <c r="U92" s="11" t="s">
        <v>243</v>
      </c>
      <c r="V92" s="174">
        <v>1.09E-2</v>
      </c>
      <c r="W92" s="189">
        <v>4.7379999999999999E-2</v>
      </c>
      <c r="X92" s="4" t="s">
        <v>602</v>
      </c>
      <c r="Y92" s="4" t="s">
        <v>312</v>
      </c>
      <c r="Z92" s="158">
        <v>133774</v>
      </c>
      <c r="AA92" s="158">
        <v>1</v>
      </c>
      <c r="AB92" s="158">
        <v>100.26</v>
      </c>
      <c r="AD92" s="158">
        <v>134.12200000000001</v>
      </c>
      <c r="AG92" s="11" t="s">
        <v>37</v>
      </c>
      <c r="AH92" s="189">
        <v>1.75E-4</v>
      </c>
      <c r="AI92" s="189">
        <v>1.50371811801307E-2</v>
      </c>
      <c r="AJ92" s="189">
        <v>3.6535486032509001E-3</v>
      </c>
    </row>
    <row r="93" spans="1:36">
      <c r="A93" s="11" t="s">
        <v>26</v>
      </c>
      <c r="B93" s="11">
        <v>13711</v>
      </c>
      <c r="C93" s="11" t="s">
        <v>2460</v>
      </c>
      <c r="D93" s="11" t="s">
        <v>2461</v>
      </c>
      <c r="E93" s="4" t="s">
        <v>1552</v>
      </c>
      <c r="F93" s="11" t="s">
        <v>2476</v>
      </c>
      <c r="G93" s="11" t="s">
        <v>2477</v>
      </c>
      <c r="H93" s="11" t="s">
        <v>511</v>
      </c>
      <c r="I93" s="11" t="s">
        <v>945</v>
      </c>
      <c r="J93" s="11" t="s">
        <v>31</v>
      </c>
      <c r="K93" s="11" t="s">
        <v>31</v>
      </c>
      <c r="L93" s="11" t="s">
        <v>517</v>
      </c>
      <c r="M93" s="11" t="s">
        <v>32</v>
      </c>
      <c r="N93" s="11" t="s">
        <v>636</v>
      </c>
      <c r="O93" s="11" t="s">
        <v>312</v>
      </c>
      <c r="P93" s="11" t="s">
        <v>157</v>
      </c>
      <c r="Q93" s="11" t="s">
        <v>604</v>
      </c>
      <c r="R93" s="11" t="s">
        <v>596</v>
      </c>
      <c r="S93" s="11" t="s">
        <v>35</v>
      </c>
      <c r="T93" s="158">
        <v>2.4089999999999998</v>
      </c>
      <c r="U93" s="11" t="s">
        <v>2478</v>
      </c>
      <c r="V93" s="174">
        <v>5.0000000000000001E-3</v>
      </c>
      <c r="W93" s="189">
        <v>2.0039999999999999E-2</v>
      </c>
      <c r="X93" s="4" t="s">
        <v>602</v>
      </c>
      <c r="Y93" s="4" t="s">
        <v>312</v>
      </c>
      <c r="Z93" s="158">
        <v>6000</v>
      </c>
      <c r="AA93" s="158">
        <v>1</v>
      </c>
      <c r="AB93" s="158">
        <v>108.28</v>
      </c>
      <c r="AD93" s="158">
        <v>6.4969999999999999</v>
      </c>
      <c r="AG93" s="11" t="s">
        <v>37</v>
      </c>
      <c r="AH93" s="189">
        <v>7.9999999999999996E-6</v>
      </c>
      <c r="AI93" s="189">
        <v>7.2839426296831698E-4</v>
      </c>
      <c r="AJ93" s="189">
        <v>1.7697624376570399E-4</v>
      </c>
    </row>
    <row r="94" spans="1:36">
      <c r="A94" s="11" t="s">
        <v>26</v>
      </c>
      <c r="B94" s="11">
        <v>13711</v>
      </c>
      <c r="C94" s="11" t="s">
        <v>2460</v>
      </c>
      <c r="D94" s="11" t="s">
        <v>2461</v>
      </c>
      <c r="E94" s="4" t="s">
        <v>1552</v>
      </c>
      <c r="F94" s="11" t="s">
        <v>2479</v>
      </c>
      <c r="G94" s="11" t="s">
        <v>2480</v>
      </c>
      <c r="H94" s="11" t="s">
        <v>511</v>
      </c>
      <c r="I94" s="11" t="s">
        <v>945</v>
      </c>
      <c r="J94" s="11" t="s">
        <v>31</v>
      </c>
      <c r="K94" s="11" t="s">
        <v>31</v>
      </c>
      <c r="L94" s="11" t="s">
        <v>517</v>
      </c>
      <c r="M94" s="11" t="s">
        <v>32</v>
      </c>
      <c r="N94" s="11" t="s">
        <v>636</v>
      </c>
      <c r="O94" s="11" t="s">
        <v>312</v>
      </c>
      <c r="P94" s="11" t="s">
        <v>157</v>
      </c>
      <c r="Q94" s="11" t="s">
        <v>604</v>
      </c>
      <c r="R94" s="11" t="s">
        <v>596</v>
      </c>
      <c r="S94" s="11" t="s">
        <v>35</v>
      </c>
      <c r="T94" s="158">
        <v>0.66600000000000004</v>
      </c>
      <c r="U94" s="11" t="s">
        <v>2481</v>
      </c>
      <c r="V94" s="174">
        <v>9.4999999999999998E-3</v>
      </c>
      <c r="W94" s="189">
        <v>2.8910000000000002E-2</v>
      </c>
      <c r="X94" s="4" t="s">
        <v>602</v>
      </c>
      <c r="Y94" s="4" t="s">
        <v>312</v>
      </c>
      <c r="Z94" s="158">
        <v>10000.16</v>
      </c>
      <c r="AA94" s="158">
        <v>1</v>
      </c>
      <c r="AB94" s="158">
        <v>113.35</v>
      </c>
      <c r="AD94" s="158">
        <v>11.335000000000001</v>
      </c>
      <c r="AG94" s="11" t="s">
        <v>37</v>
      </c>
      <c r="AH94" s="189">
        <v>6.2000000000000003E-5</v>
      </c>
      <c r="AI94" s="189">
        <v>1.2708535082393501E-3</v>
      </c>
      <c r="AJ94" s="189">
        <v>3.0877629286661499E-4</v>
      </c>
    </row>
    <row r="95" spans="1:36">
      <c r="A95" s="11" t="s">
        <v>26</v>
      </c>
      <c r="B95" s="11">
        <v>13711</v>
      </c>
      <c r="C95" s="11" t="s">
        <v>2460</v>
      </c>
      <c r="D95" s="11" t="s">
        <v>2461</v>
      </c>
      <c r="E95" s="4" t="s">
        <v>1552</v>
      </c>
      <c r="F95" s="11" t="s">
        <v>2482</v>
      </c>
      <c r="G95" s="11" t="s">
        <v>2483</v>
      </c>
      <c r="H95" s="11" t="s">
        <v>511</v>
      </c>
      <c r="I95" s="11" t="s">
        <v>1154</v>
      </c>
      <c r="J95" s="11" t="s">
        <v>31</v>
      </c>
      <c r="K95" s="11" t="s">
        <v>31</v>
      </c>
      <c r="L95" s="11" t="s">
        <v>517</v>
      </c>
      <c r="M95" s="11" t="s">
        <v>32</v>
      </c>
      <c r="N95" s="11" t="s">
        <v>636</v>
      </c>
      <c r="O95" s="11" t="s">
        <v>312</v>
      </c>
      <c r="P95" s="11" t="s">
        <v>157</v>
      </c>
      <c r="Q95" s="11" t="s">
        <v>604</v>
      </c>
      <c r="R95" s="11" t="s">
        <v>596</v>
      </c>
      <c r="S95" s="11" t="s">
        <v>35</v>
      </c>
      <c r="T95" s="158">
        <v>0.93400000000000005</v>
      </c>
      <c r="U95" s="11" t="s">
        <v>2484</v>
      </c>
      <c r="V95" s="174">
        <v>2.98E-2</v>
      </c>
      <c r="W95" s="189">
        <v>4.4900000000000002E-2</v>
      </c>
      <c r="X95" s="4" t="s">
        <v>602</v>
      </c>
      <c r="Y95" s="4" t="s">
        <v>312</v>
      </c>
      <c r="Z95" s="158">
        <v>305000</v>
      </c>
      <c r="AA95" s="158">
        <v>1</v>
      </c>
      <c r="AB95" s="158">
        <v>98.82</v>
      </c>
      <c r="AD95" s="158">
        <v>301.40100000000001</v>
      </c>
      <c r="AG95" s="11" t="s">
        <v>37</v>
      </c>
      <c r="AH95" s="189">
        <v>1.2E-4</v>
      </c>
      <c r="AI95" s="189">
        <v>3.37918297089203E-2</v>
      </c>
      <c r="AJ95" s="189">
        <v>8.2103215193983208E-3</v>
      </c>
    </row>
    <row r="96" spans="1:36">
      <c r="A96" s="11" t="s">
        <v>26</v>
      </c>
      <c r="B96" s="11">
        <v>13711</v>
      </c>
      <c r="C96" s="11" t="s">
        <v>2460</v>
      </c>
      <c r="D96" s="11" t="s">
        <v>2461</v>
      </c>
      <c r="E96" s="4" t="s">
        <v>1552</v>
      </c>
      <c r="F96" s="11" t="s">
        <v>2485</v>
      </c>
      <c r="G96" s="11" t="s">
        <v>2486</v>
      </c>
      <c r="H96" s="11" t="s">
        <v>511</v>
      </c>
      <c r="I96" s="11" t="s">
        <v>945</v>
      </c>
      <c r="J96" s="11" t="s">
        <v>31</v>
      </c>
      <c r="K96" s="11" t="s">
        <v>31</v>
      </c>
      <c r="L96" s="11" t="s">
        <v>517</v>
      </c>
      <c r="M96" s="11" t="s">
        <v>32</v>
      </c>
      <c r="N96" s="11" t="s">
        <v>636</v>
      </c>
      <c r="O96" s="11" t="s">
        <v>312</v>
      </c>
      <c r="P96" s="11" t="s">
        <v>157</v>
      </c>
      <c r="Q96" s="11" t="s">
        <v>604</v>
      </c>
      <c r="R96" s="11" t="s">
        <v>596</v>
      </c>
      <c r="S96" s="11" t="s">
        <v>35</v>
      </c>
      <c r="T96" s="158">
        <v>3.73</v>
      </c>
      <c r="U96" s="11" t="s">
        <v>2487</v>
      </c>
      <c r="V96" s="174">
        <v>1.6400000000000001E-2</v>
      </c>
      <c r="W96" s="189">
        <v>2.4680000000000001E-2</v>
      </c>
      <c r="X96" s="4" t="s">
        <v>602</v>
      </c>
      <c r="Y96" s="4" t="s">
        <v>312</v>
      </c>
      <c r="Z96" s="158">
        <v>63111.9</v>
      </c>
      <c r="AA96" s="158">
        <v>1</v>
      </c>
      <c r="AB96" s="158">
        <v>102.97</v>
      </c>
      <c r="AD96" s="158">
        <v>64.986000000000004</v>
      </c>
      <c r="AG96" s="11" t="s">
        <v>37</v>
      </c>
      <c r="AH96" s="189">
        <v>5.8999999999999998E-5</v>
      </c>
      <c r="AI96" s="189">
        <v>7.2859969766370398E-3</v>
      </c>
      <c r="AJ96" s="189">
        <v>1.7702615775127099E-3</v>
      </c>
    </row>
    <row r="97" spans="1:36">
      <c r="A97" s="11" t="s">
        <v>26</v>
      </c>
      <c r="B97" s="11">
        <v>13711</v>
      </c>
      <c r="C97" s="11" t="s">
        <v>2460</v>
      </c>
      <c r="D97" s="11" t="s">
        <v>2461</v>
      </c>
      <c r="E97" s="4" t="s">
        <v>1552</v>
      </c>
      <c r="F97" s="11" t="s">
        <v>2488</v>
      </c>
      <c r="G97" s="11" t="s">
        <v>2489</v>
      </c>
      <c r="H97" s="11" t="s">
        <v>511</v>
      </c>
      <c r="I97" s="11" t="s">
        <v>945</v>
      </c>
      <c r="J97" s="11" t="s">
        <v>31</v>
      </c>
      <c r="K97" s="11" t="s">
        <v>31</v>
      </c>
      <c r="L97" s="11" t="s">
        <v>517</v>
      </c>
      <c r="M97" s="11" t="s">
        <v>32</v>
      </c>
      <c r="N97" s="11" t="s">
        <v>636</v>
      </c>
      <c r="O97" s="11" t="s">
        <v>312</v>
      </c>
      <c r="P97" s="11" t="s">
        <v>157</v>
      </c>
      <c r="Q97" s="11" t="s">
        <v>604</v>
      </c>
      <c r="R97" s="11" t="s">
        <v>596</v>
      </c>
      <c r="S97" s="11" t="s">
        <v>35</v>
      </c>
      <c r="T97" s="158">
        <v>0.24399999999999999</v>
      </c>
      <c r="U97" s="11" t="s">
        <v>2490</v>
      </c>
      <c r="V97" s="174">
        <v>8.6E-3</v>
      </c>
      <c r="W97" s="189">
        <v>2.4969999999999999E-2</v>
      </c>
      <c r="X97" s="4" t="s">
        <v>602</v>
      </c>
      <c r="Y97" s="4" t="s">
        <v>312</v>
      </c>
      <c r="Z97" s="158">
        <v>250000</v>
      </c>
      <c r="AA97" s="158">
        <v>1</v>
      </c>
      <c r="AB97" s="158">
        <v>114.94</v>
      </c>
      <c r="AD97" s="158">
        <v>287.35000000000002</v>
      </c>
      <c r="AG97" s="11" t="s">
        <v>37</v>
      </c>
      <c r="AH97" s="189">
        <v>1E-4</v>
      </c>
      <c r="AI97" s="189">
        <v>3.2216489881779602E-2</v>
      </c>
      <c r="AJ97" s="189">
        <v>7.8275649005779997E-3</v>
      </c>
    </row>
    <row r="98" spans="1:36">
      <c r="A98" s="11" t="s">
        <v>26</v>
      </c>
      <c r="B98" s="11">
        <v>13711</v>
      </c>
      <c r="C98" s="11" t="s">
        <v>2460</v>
      </c>
      <c r="D98" s="11" t="s">
        <v>2461</v>
      </c>
      <c r="E98" s="4" t="s">
        <v>1552</v>
      </c>
      <c r="F98" s="11" t="s">
        <v>2491</v>
      </c>
      <c r="G98" s="11" t="s">
        <v>2492</v>
      </c>
      <c r="H98" s="11" t="s">
        <v>511</v>
      </c>
      <c r="I98" s="11" t="s">
        <v>945</v>
      </c>
      <c r="J98" s="11" t="s">
        <v>31</v>
      </c>
      <c r="K98" s="11" t="s">
        <v>31</v>
      </c>
      <c r="L98" s="11" t="s">
        <v>517</v>
      </c>
      <c r="M98" s="11" t="s">
        <v>32</v>
      </c>
      <c r="N98" s="11" t="s">
        <v>636</v>
      </c>
      <c r="O98" s="11" t="s">
        <v>312</v>
      </c>
      <c r="P98" s="11" t="s">
        <v>157</v>
      </c>
      <c r="Q98" s="11" t="s">
        <v>604</v>
      </c>
      <c r="R98" s="11" t="s">
        <v>596</v>
      </c>
      <c r="S98" s="11" t="s">
        <v>35</v>
      </c>
      <c r="T98" s="158">
        <v>1.9710000000000001</v>
      </c>
      <c r="U98" s="11" t="s">
        <v>2493</v>
      </c>
      <c r="V98" s="174">
        <v>3.8E-3</v>
      </c>
      <c r="W98" s="189">
        <v>2.087E-2</v>
      </c>
      <c r="X98" s="4" t="s">
        <v>602</v>
      </c>
      <c r="Y98" s="4" t="s">
        <v>312</v>
      </c>
      <c r="Z98" s="158">
        <v>43500</v>
      </c>
      <c r="AA98" s="158">
        <v>1</v>
      </c>
      <c r="AB98" s="158">
        <v>107.97</v>
      </c>
      <c r="AD98" s="158">
        <v>46.966999999999999</v>
      </c>
      <c r="AG98" s="11" t="s">
        <v>37</v>
      </c>
      <c r="AH98" s="189">
        <v>1.5E-5</v>
      </c>
      <c r="AI98" s="189">
        <v>5.2657395839674596E-3</v>
      </c>
      <c r="AJ98" s="189">
        <v>1.27940438248548E-3</v>
      </c>
    </row>
    <row r="99" spans="1:36">
      <c r="A99" s="11" t="s">
        <v>26</v>
      </c>
      <c r="B99" s="11">
        <v>13711</v>
      </c>
      <c r="C99" s="11" t="s">
        <v>2460</v>
      </c>
      <c r="D99" s="11" t="s">
        <v>2461</v>
      </c>
      <c r="E99" s="4" t="s">
        <v>1552</v>
      </c>
      <c r="F99" s="11" t="s">
        <v>2494</v>
      </c>
      <c r="G99" s="11" t="s">
        <v>2495</v>
      </c>
      <c r="H99" s="11" t="s">
        <v>511</v>
      </c>
      <c r="I99" s="11" t="s">
        <v>945</v>
      </c>
      <c r="J99" s="11" t="s">
        <v>31</v>
      </c>
      <c r="K99" s="11" t="s">
        <v>31</v>
      </c>
      <c r="L99" s="11" t="s">
        <v>517</v>
      </c>
      <c r="M99" s="11" t="s">
        <v>32</v>
      </c>
      <c r="N99" s="11" t="s">
        <v>636</v>
      </c>
      <c r="O99" s="11" t="s">
        <v>312</v>
      </c>
      <c r="P99" s="11" t="s">
        <v>157</v>
      </c>
      <c r="Q99" s="11" t="s">
        <v>604</v>
      </c>
      <c r="R99" s="11" t="s">
        <v>596</v>
      </c>
      <c r="S99" s="11" t="s">
        <v>35</v>
      </c>
      <c r="T99" s="158">
        <v>3.6779999999999999</v>
      </c>
      <c r="U99" s="11" t="s">
        <v>2496</v>
      </c>
      <c r="V99" s="174">
        <v>1E-3</v>
      </c>
      <c r="W99" s="189">
        <v>2.5350000000000001E-2</v>
      </c>
      <c r="X99" s="4" t="s">
        <v>602</v>
      </c>
      <c r="Y99" s="4" t="s">
        <v>312</v>
      </c>
      <c r="Z99" s="158">
        <v>227253.03</v>
      </c>
      <c r="AA99" s="158">
        <v>1</v>
      </c>
      <c r="AB99" s="158">
        <v>100.22</v>
      </c>
      <c r="AD99" s="158">
        <v>227.75299999999999</v>
      </c>
      <c r="AG99" s="11" t="s">
        <v>37</v>
      </c>
      <c r="AH99" s="189">
        <v>8.7000000000000001E-5</v>
      </c>
      <c r="AI99" s="189">
        <v>2.5534719994676401E-2</v>
      </c>
      <c r="AJ99" s="189">
        <v>6.2041109602526201E-3</v>
      </c>
    </row>
    <row r="100" spans="1:36">
      <c r="A100" s="11" t="s">
        <v>26</v>
      </c>
      <c r="B100" s="11">
        <v>13711</v>
      </c>
      <c r="C100" s="11" t="s">
        <v>2497</v>
      </c>
      <c r="D100" s="11" t="s">
        <v>2498</v>
      </c>
      <c r="E100" s="4" t="s">
        <v>1552</v>
      </c>
      <c r="F100" s="11" t="s">
        <v>2499</v>
      </c>
      <c r="G100" s="11" t="s">
        <v>2500</v>
      </c>
      <c r="H100" s="11" t="s">
        <v>511</v>
      </c>
      <c r="I100" s="11" t="s">
        <v>945</v>
      </c>
      <c r="J100" s="11" t="s">
        <v>31</v>
      </c>
      <c r="K100" s="11" t="s">
        <v>31</v>
      </c>
      <c r="L100" s="11" t="s">
        <v>517</v>
      </c>
      <c r="M100" s="11" t="s">
        <v>32</v>
      </c>
      <c r="N100" s="11" t="s">
        <v>631</v>
      </c>
      <c r="O100" s="11" t="s">
        <v>312</v>
      </c>
      <c r="P100" s="11" t="s">
        <v>168</v>
      </c>
      <c r="Q100" s="11" t="s">
        <v>604</v>
      </c>
      <c r="R100" s="11" t="s">
        <v>596</v>
      </c>
      <c r="S100" s="11" t="s">
        <v>35</v>
      </c>
      <c r="T100" s="158">
        <v>1.0389999999999999</v>
      </c>
      <c r="U100" s="11" t="s">
        <v>2317</v>
      </c>
      <c r="V100" s="174">
        <v>1.8499999999999999E-2</v>
      </c>
      <c r="W100" s="189">
        <v>2.92E-2</v>
      </c>
      <c r="X100" s="4" t="s">
        <v>602</v>
      </c>
      <c r="Y100" s="4" t="s">
        <v>312</v>
      </c>
      <c r="Z100" s="158">
        <v>2000</v>
      </c>
      <c r="AA100" s="158">
        <v>1</v>
      </c>
      <c r="AB100" s="158">
        <v>112.32</v>
      </c>
      <c r="AD100" s="158">
        <v>2.246</v>
      </c>
      <c r="AG100" s="11" t="s">
        <v>37</v>
      </c>
      <c r="AH100" s="189">
        <v>3.9999999999999998E-6</v>
      </c>
      <c r="AI100" s="189">
        <v>2.5185704844416098E-4</v>
      </c>
      <c r="AJ100" s="189">
        <v>6.1193115686996395E-5</v>
      </c>
    </row>
    <row r="101" spans="1:36">
      <c r="A101" s="11" t="s">
        <v>26</v>
      </c>
      <c r="B101" s="11">
        <v>13711</v>
      </c>
      <c r="C101" s="11" t="s">
        <v>2497</v>
      </c>
      <c r="D101" s="11" t="s">
        <v>2498</v>
      </c>
      <c r="E101" s="4" t="s">
        <v>1552</v>
      </c>
      <c r="F101" s="11" t="s">
        <v>2501</v>
      </c>
      <c r="G101" s="11" t="s">
        <v>2502</v>
      </c>
      <c r="H101" s="11" t="s">
        <v>511</v>
      </c>
      <c r="I101" s="11" t="s">
        <v>945</v>
      </c>
      <c r="J101" s="11" t="s">
        <v>31</v>
      </c>
      <c r="K101" s="11" t="s">
        <v>31</v>
      </c>
      <c r="L101" s="11" t="s">
        <v>517</v>
      </c>
      <c r="M101" s="11" t="s">
        <v>32</v>
      </c>
      <c r="N101" s="11" t="s">
        <v>631</v>
      </c>
      <c r="O101" s="11" t="s">
        <v>312</v>
      </c>
      <c r="P101" s="11" t="s">
        <v>168</v>
      </c>
      <c r="Q101" s="11" t="s">
        <v>604</v>
      </c>
      <c r="R101" s="11" t="s">
        <v>596</v>
      </c>
      <c r="S101" s="11" t="s">
        <v>35</v>
      </c>
      <c r="T101" s="158">
        <v>0.64900000000000002</v>
      </c>
      <c r="U101" s="11" t="s">
        <v>2503</v>
      </c>
      <c r="V101" s="174">
        <v>0.01</v>
      </c>
      <c r="W101" s="189">
        <v>3.1940000000000003E-2</v>
      </c>
      <c r="X101" s="4" t="s">
        <v>602</v>
      </c>
      <c r="Y101" s="4" t="s">
        <v>312</v>
      </c>
      <c r="Z101" s="158">
        <v>3823.53</v>
      </c>
      <c r="AA101" s="158">
        <v>1</v>
      </c>
      <c r="AB101" s="158">
        <v>111.26</v>
      </c>
      <c r="AD101" s="158">
        <v>4.2539999999999996</v>
      </c>
      <c r="AG101" s="11" t="s">
        <v>37</v>
      </c>
      <c r="AH101" s="189">
        <v>9.0000000000000002E-6</v>
      </c>
      <c r="AI101" s="189">
        <v>4.7694750001557601E-4</v>
      </c>
      <c r="AJ101" s="189">
        <v>1.15882814181187E-4</v>
      </c>
    </row>
    <row r="102" spans="1:36">
      <c r="A102" s="11" t="s">
        <v>26</v>
      </c>
      <c r="B102" s="11">
        <v>13711</v>
      </c>
      <c r="C102" s="11" t="s">
        <v>1852</v>
      </c>
      <c r="D102" s="11" t="s">
        <v>1853</v>
      </c>
      <c r="E102" s="4" t="s">
        <v>1552</v>
      </c>
      <c r="F102" s="11" t="s">
        <v>2504</v>
      </c>
      <c r="G102" s="11" t="s">
        <v>2505</v>
      </c>
      <c r="H102" s="11" t="s">
        <v>511</v>
      </c>
      <c r="I102" s="11" t="s">
        <v>945</v>
      </c>
      <c r="J102" s="11" t="s">
        <v>31</v>
      </c>
      <c r="K102" s="11" t="s">
        <v>31</v>
      </c>
      <c r="L102" s="11" t="s">
        <v>517</v>
      </c>
      <c r="M102" s="11" t="s">
        <v>32</v>
      </c>
      <c r="N102" s="11" t="s">
        <v>652</v>
      </c>
      <c r="O102" s="11" t="s">
        <v>312</v>
      </c>
      <c r="P102" s="11" t="s">
        <v>2169</v>
      </c>
      <c r="Q102" s="11" t="s">
        <v>358</v>
      </c>
      <c r="R102" s="11" t="s">
        <v>596</v>
      </c>
      <c r="S102" s="11" t="s">
        <v>35</v>
      </c>
      <c r="T102" s="158">
        <v>4.59</v>
      </c>
      <c r="U102" s="11" t="s">
        <v>2170</v>
      </c>
      <c r="V102" s="174">
        <v>1.43E-2</v>
      </c>
      <c r="W102" s="189">
        <v>3.1870000000000002E-2</v>
      </c>
      <c r="X102" s="4" t="s">
        <v>602</v>
      </c>
      <c r="Y102" s="4" t="s">
        <v>312</v>
      </c>
      <c r="Z102" s="158">
        <v>24468.95</v>
      </c>
      <c r="AA102" s="158">
        <v>1</v>
      </c>
      <c r="AB102" s="158">
        <v>104.95</v>
      </c>
      <c r="AC102" s="158">
        <v>0.503</v>
      </c>
      <c r="AD102" s="158">
        <v>26.183</v>
      </c>
      <c r="AG102" s="11" t="s">
        <v>37</v>
      </c>
      <c r="AH102" s="189">
        <v>2.1999999999999999E-5</v>
      </c>
      <c r="AI102" s="189">
        <v>2.9355184631304301E-3</v>
      </c>
      <c r="AJ102" s="189">
        <v>7.1323602823639295E-4</v>
      </c>
    </row>
    <row r="103" spans="1:36">
      <c r="A103" s="11" t="s">
        <v>26</v>
      </c>
      <c r="B103" s="11">
        <v>13711</v>
      </c>
      <c r="C103" s="11" t="s">
        <v>1852</v>
      </c>
      <c r="D103" s="11" t="s">
        <v>1853</v>
      </c>
      <c r="E103" s="4" t="s">
        <v>1552</v>
      </c>
      <c r="F103" s="11" t="s">
        <v>2506</v>
      </c>
      <c r="G103" s="11" t="s">
        <v>2507</v>
      </c>
      <c r="H103" s="11" t="s">
        <v>511</v>
      </c>
      <c r="I103" s="11" t="s">
        <v>945</v>
      </c>
      <c r="J103" s="11" t="s">
        <v>31</v>
      </c>
      <c r="K103" s="11" t="s">
        <v>31</v>
      </c>
      <c r="L103" s="11" t="s">
        <v>517</v>
      </c>
      <c r="M103" s="11" t="s">
        <v>32</v>
      </c>
      <c r="N103" s="11" t="s">
        <v>652</v>
      </c>
      <c r="O103" s="11" t="s">
        <v>312</v>
      </c>
      <c r="P103" s="11" t="s">
        <v>2169</v>
      </c>
      <c r="Q103" s="11" t="s">
        <v>358</v>
      </c>
      <c r="R103" s="11" t="s">
        <v>596</v>
      </c>
      <c r="S103" s="11" t="s">
        <v>35</v>
      </c>
      <c r="T103" s="158">
        <v>1.012</v>
      </c>
      <c r="U103" s="11" t="s">
        <v>2508</v>
      </c>
      <c r="V103" s="174">
        <v>1.7600000000000001E-2</v>
      </c>
      <c r="W103" s="189">
        <v>2.5399999999999999E-2</v>
      </c>
      <c r="X103" s="4" t="s">
        <v>602</v>
      </c>
      <c r="Y103" s="4" t="s">
        <v>312</v>
      </c>
      <c r="Z103" s="158">
        <v>24944.02</v>
      </c>
      <c r="AA103" s="158">
        <v>1</v>
      </c>
      <c r="AB103" s="158">
        <v>114.44</v>
      </c>
      <c r="AC103" s="158">
        <v>0.60699999999999998</v>
      </c>
      <c r="AD103" s="158">
        <v>29.152999999999999</v>
      </c>
      <c r="AG103" s="11" t="s">
        <v>37</v>
      </c>
      <c r="AH103" s="189">
        <v>3.1999999999999999E-5</v>
      </c>
      <c r="AI103" s="189">
        <v>3.2685343222978499E-3</v>
      </c>
      <c r="AJ103" s="189">
        <v>7.9414810959969905E-4</v>
      </c>
    </row>
    <row r="104" spans="1:36">
      <c r="A104" s="11" t="s">
        <v>26</v>
      </c>
      <c r="B104" s="11">
        <v>13711</v>
      </c>
      <c r="C104" s="11" t="s">
        <v>1852</v>
      </c>
      <c r="D104" s="11" t="s">
        <v>1853</v>
      </c>
      <c r="E104" s="4" t="s">
        <v>1552</v>
      </c>
      <c r="F104" s="11" t="s">
        <v>2509</v>
      </c>
      <c r="G104" s="11" t="s">
        <v>2510</v>
      </c>
      <c r="H104" s="11" t="s">
        <v>511</v>
      </c>
      <c r="I104" s="11" t="s">
        <v>945</v>
      </c>
      <c r="J104" s="11" t="s">
        <v>31</v>
      </c>
      <c r="K104" s="11" t="s">
        <v>31</v>
      </c>
      <c r="L104" s="11" t="s">
        <v>517</v>
      </c>
      <c r="M104" s="11" t="s">
        <v>32</v>
      </c>
      <c r="N104" s="11" t="s">
        <v>652</v>
      </c>
      <c r="O104" s="11" t="s">
        <v>312</v>
      </c>
      <c r="P104" s="11" t="s">
        <v>2169</v>
      </c>
      <c r="Q104" s="11" t="s">
        <v>358</v>
      </c>
      <c r="R104" s="11" t="s">
        <v>596</v>
      </c>
      <c r="S104" s="11" t="s">
        <v>35</v>
      </c>
      <c r="T104" s="158">
        <v>1.752</v>
      </c>
      <c r="U104" s="11" t="s">
        <v>2511</v>
      </c>
      <c r="V104" s="174">
        <v>2.1499999999999998E-2</v>
      </c>
      <c r="W104" s="189">
        <v>2.5180000000000001E-2</v>
      </c>
      <c r="X104" s="4" t="s">
        <v>602</v>
      </c>
      <c r="Y104" s="4" t="s">
        <v>312</v>
      </c>
      <c r="Z104" s="158">
        <v>157129.82999999999</v>
      </c>
      <c r="AA104" s="158">
        <v>1</v>
      </c>
      <c r="AB104" s="158">
        <v>115.16</v>
      </c>
      <c r="AD104" s="158">
        <v>180.95099999999999</v>
      </c>
      <c r="AG104" s="11" t="s">
        <v>37</v>
      </c>
      <c r="AH104" s="189">
        <v>1.3200000000000001E-4</v>
      </c>
      <c r="AI104" s="189">
        <v>2.0287443151537101E-2</v>
      </c>
      <c r="AJ104" s="189">
        <v>4.9291924265546603E-3</v>
      </c>
    </row>
    <row r="105" spans="1:36">
      <c r="A105" s="11" t="s">
        <v>26</v>
      </c>
      <c r="B105" s="11">
        <v>13711</v>
      </c>
      <c r="C105" s="11" t="s">
        <v>1852</v>
      </c>
      <c r="D105" s="11" t="s">
        <v>1853</v>
      </c>
      <c r="E105" s="4" t="s">
        <v>1552</v>
      </c>
      <c r="F105" s="11" t="s">
        <v>2512</v>
      </c>
      <c r="G105" s="11" t="s">
        <v>2513</v>
      </c>
      <c r="H105" s="11" t="s">
        <v>511</v>
      </c>
      <c r="I105" s="11" t="s">
        <v>945</v>
      </c>
      <c r="J105" s="11" t="s">
        <v>31</v>
      </c>
      <c r="K105" s="11" t="s">
        <v>31</v>
      </c>
      <c r="L105" s="11" t="s">
        <v>517</v>
      </c>
      <c r="M105" s="11" t="s">
        <v>32</v>
      </c>
      <c r="N105" s="11" t="s">
        <v>652</v>
      </c>
      <c r="O105" s="11" t="s">
        <v>312</v>
      </c>
      <c r="P105" s="11" t="s">
        <v>2169</v>
      </c>
      <c r="Q105" s="11" t="s">
        <v>358</v>
      </c>
      <c r="R105" s="11" t="s">
        <v>596</v>
      </c>
      <c r="S105" s="11" t="s">
        <v>35</v>
      </c>
      <c r="T105" s="158">
        <v>2.577</v>
      </c>
      <c r="U105" s="11" t="s">
        <v>2256</v>
      </c>
      <c r="V105" s="174">
        <v>2.35E-2</v>
      </c>
      <c r="W105" s="189">
        <v>2.5690000000000001E-2</v>
      </c>
      <c r="X105" s="4" t="s">
        <v>602</v>
      </c>
      <c r="Y105" s="4" t="s">
        <v>312</v>
      </c>
      <c r="Z105" s="158">
        <v>24000.87</v>
      </c>
      <c r="AA105" s="158">
        <v>1</v>
      </c>
      <c r="AB105" s="158">
        <v>114.98</v>
      </c>
      <c r="AD105" s="158">
        <v>27.596</v>
      </c>
      <c r="AG105" s="11" t="s">
        <v>37</v>
      </c>
      <c r="AH105" s="189">
        <v>2.5999999999999998E-5</v>
      </c>
      <c r="AI105" s="189">
        <v>3.0939714932247901E-3</v>
      </c>
      <c r="AJ105" s="189">
        <v>7.5173498890244203E-4</v>
      </c>
    </row>
    <row r="106" spans="1:36">
      <c r="A106" s="11" t="s">
        <v>26</v>
      </c>
      <c r="B106" s="11">
        <v>13711</v>
      </c>
      <c r="C106" s="11" t="s">
        <v>2514</v>
      </c>
      <c r="D106" s="11" t="s">
        <v>2515</v>
      </c>
      <c r="E106" s="4" t="s">
        <v>1552</v>
      </c>
      <c r="F106" s="11" t="s">
        <v>2516</v>
      </c>
      <c r="G106" s="11" t="s">
        <v>2517</v>
      </c>
      <c r="H106" s="11" t="s">
        <v>511</v>
      </c>
      <c r="I106" s="11" t="s">
        <v>1154</v>
      </c>
      <c r="J106" s="11" t="s">
        <v>31</v>
      </c>
      <c r="K106" s="11" t="s">
        <v>31</v>
      </c>
      <c r="L106" s="11" t="s">
        <v>517</v>
      </c>
      <c r="M106" s="11" t="s">
        <v>32</v>
      </c>
      <c r="N106" s="11" t="s">
        <v>666</v>
      </c>
      <c r="O106" s="11" t="s">
        <v>312</v>
      </c>
      <c r="P106" s="11" t="s">
        <v>2161</v>
      </c>
      <c r="Q106" s="11" t="s">
        <v>358</v>
      </c>
      <c r="R106" s="11" t="s">
        <v>596</v>
      </c>
      <c r="S106" s="11" t="s">
        <v>35</v>
      </c>
      <c r="T106" s="158">
        <v>0.499</v>
      </c>
      <c r="U106" s="11" t="s">
        <v>2162</v>
      </c>
      <c r="V106" s="174">
        <v>2.9499999999999998E-2</v>
      </c>
      <c r="W106" s="189">
        <v>5.7180000000000002E-2</v>
      </c>
      <c r="X106" s="4" t="s">
        <v>602</v>
      </c>
      <c r="Y106" s="4" t="s">
        <v>312</v>
      </c>
      <c r="Z106" s="158">
        <v>40750</v>
      </c>
      <c r="AA106" s="158">
        <v>1</v>
      </c>
      <c r="AB106" s="158">
        <v>98.7</v>
      </c>
      <c r="AD106" s="158">
        <v>40.22</v>
      </c>
      <c r="AG106" s="11" t="s">
        <v>37</v>
      </c>
      <c r="AH106" s="189">
        <v>2.2790000000000002E-3</v>
      </c>
      <c r="AI106" s="189">
        <v>4.5093275697499404E-3</v>
      </c>
      <c r="AJ106" s="189">
        <v>1.0956207314858999E-3</v>
      </c>
    </row>
    <row r="107" spans="1:36">
      <c r="A107" s="11" t="s">
        <v>26</v>
      </c>
      <c r="B107" s="11">
        <v>13711</v>
      </c>
      <c r="C107" s="11" t="s">
        <v>1860</v>
      </c>
      <c r="D107" s="11" t="s">
        <v>1861</v>
      </c>
      <c r="E107" s="4" t="s">
        <v>1552</v>
      </c>
      <c r="F107" s="11" t="s">
        <v>2518</v>
      </c>
      <c r="G107" s="11" t="s">
        <v>2519</v>
      </c>
      <c r="H107" s="11" t="s">
        <v>511</v>
      </c>
      <c r="I107" s="11" t="s">
        <v>945</v>
      </c>
      <c r="J107" s="11" t="s">
        <v>31</v>
      </c>
      <c r="K107" s="11" t="s">
        <v>31</v>
      </c>
      <c r="L107" s="11" t="s">
        <v>517</v>
      </c>
      <c r="M107" s="11" t="s">
        <v>32</v>
      </c>
      <c r="N107" s="11" t="s">
        <v>652</v>
      </c>
      <c r="O107" s="11" t="s">
        <v>312</v>
      </c>
      <c r="P107" s="11" t="s">
        <v>2418</v>
      </c>
      <c r="Q107" s="11" t="s">
        <v>604</v>
      </c>
      <c r="R107" s="11" t="s">
        <v>596</v>
      </c>
      <c r="S107" s="11" t="s">
        <v>35</v>
      </c>
      <c r="T107" s="158">
        <v>3.0230000000000001</v>
      </c>
      <c r="U107" s="11" t="s">
        <v>2441</v>
      </c>
      <c r="V107" s="174">
        <v>2.75E-2</v>
      </c>
      <c r="W107" s="189">
        <v>3.124E-2</v>
      </c>
      <c r="X107" s="4" t="s">
        <v>602</v>
      </c>
      <c r="Y107" s="4" t="s">
        <v>312</v>
      </c>
      <c r="Z107" s="158">
        <v>99000.57</v>
      </c>
      <c r="AA107" s="158">
        <v>1</v>
      </c>
      <c r="AB107" s="158">
        <v>111.38</v>
      </c>
      <c r="AD107" s="158">
        <v>110.267</v>
      </c>
      <c r="AG107" s="11" t="s">
        <v>37</v>
      </c>
      <c r="AH107" s="189">
        <v>1.83E-4</v>
      </c>
      <c r="AI107" s="189">
        <v>1.2362660065273499E-2</v>
      </c>
      <c r="AJ107" s="189">
        <v>3.0037264878891002E-3</v>
      </c>
    </row>
    <row r="108" spans="1:36">
      <c r="A108" s="11" t="s">
        <v>26</v>
      </c>
      <c r="B108" s="11">
        <v>13711</v>
      </c>
      <c r="C108" s="11" t="s">
        <v>1860</v>
      </c>
      <c r="D108" s="11" t="s">
        <v>1861</v>
      </c>
      <c r="E108" s="4" t="s">
        <v>1552</v>
      </c>
      <c r="F108" s="11" t="s">
        <v>2520</v>
      </c>
      <c r="G108" s="11" t="s">
        <v>2521</v>
      </c>
      <c r="H108" s="11" t="s">
        <v>511</v>
      </c>
      <c r="I108" s="11" t="s">
        <v>945</v>
      </c>
      <c r="J108" s="11" t="s">
        <v>31</v>
      </c>
      <c r="K108" s="11" t="s">
        <v>31</v>
      </c>
      <c r="L108" s="11" t="s">
        <v>517</v>
      </c>
      <c r="M108" s="11" t="s">
        <v>32</v>
      </c>
      <c r="N108" s="11" t="s">
        <v>652</v>
      </c>
      <c r="O108" s="11" t="s">
        <v>312</v>
      </c>
      <c r="P108" s="11" t="s">
        <v>2418</v>
      </c>
      <c r="Q108" s="11" t="s">
        <v>604</v>
      </c>
      <c r="R108" s="11" t="s">
        <v>596</v>
      </c>
      <c r="S108" s="11" t="s">
        <v>35</v>
      </c>
      <c r="T108" s="158">
        <v>4.4390000000000001</v>
      </c>
      <c r="U108" s="11" t="s">
        <v>2376</v>
      </c>
      <c r="V108" s="174">
        <v>8.5000000000000006E-3</v>
      </c>
      <c r="W108" s="189">
        <v>3.5560000000000001E-2</v>
      </c>
      <c r="X108" s="4" t="s">
        <v>602</v>
      </c>
      <c r="Y108" s="4" t="s">
        <v>312</v>
      </c>
      <c r="Z108" s="158">
        <v>28000</v>
      </c>
      <c r="AA108" s="158">
        <v>1</v>
      </c>
      <c r="AB108" s="158">
        <v>99.88</v>
      </c>
      <c r="AD108" s="158">
        <v>27.966000000000001</v>
      </c>
      <c r="AG108" s="11" t="s">
        <v>37</v>
      </c>
      <c r="AH108" s="189">
        <v>4.3000000000000002E-5</v>
      </c>
      <c r="AI108" s="189">
        <v>3.1354767448401001E-3</v>
      </c>
      <c r="AJ108" s="189">
        <v>7.61819422430918E-4</v>
      </c>
    </row>
    <row r="109" spans="1:36">
      <c r="A109" s="11" t="s">
        <v>26</v>
      </c>
      <c r="B109" s="11">
        <v>13711</v>
      </c>
      <c r="C109" s="11" t="s">
        <v>1860</v>
      </c>
      <c r="D109" s="11" t="s">
        <v>1861</v>
      </c>
      <c r="E109" s="4" t="s">
        <v>1552</v>
      </c>
      <c r="F109" s="11" t="s">
        <v>2522</v>
      </c>
      <c r="G109" s="11" t="s">
        <v>2523</v>
      </c>
      <c r="H109" s="11" t="s">
        <v>511</v>
      </c>
      <c r="I109" s="11" t="s">
        <v>945</v>
      </c>
      <c r="J109" s="11" t="s">
        <v>31</v>
      </c>
      <c r="K109" s="11" t="s">
        <v>31</v>
      </c>
      <c r="L109" s="11" t="s">
        <v>517</v>
      </c>
      <c r="M109" s="11" t="s">
        <v>32</v>
      </c>
      <c r="N109" s="11" t="s">
        <v>652</v>
      </c>
      <c r="O109" s="11" t="s">
        <v>312</v>
      </c>
      <c r="P109" s="11" t="s">
        <v>2418</v>
      </c>
      <c r="Q109" s="11" t="s">
        <v>604</v>
      </c>
      <c r="R109" s="11" t="s">
        <v>596</v>
      </c>
      <c r="S109" s="11" t="s">
        <v>35</v>
      </c>
      <c r="T109" s="158">
        <v>5.8849999999999998</v>
      </c>
      <c r="U109" s="11" t="s">
        <v>2524</v>
      </c>
      <c r="V109" s="174">
        <v>3.1800000000000002E-2</v>
      </c>
      <c r="W109" s="189">
        <v>3.8390000000000001E-2</v>
      </c>
      <c r="X109" s="4" t="s">
        <v>602</v>
      </c>
      <c r="Y109" s="4" t="s">
        <v>312</v>
      </c>
      <c r="Z109" s="158">
        <v>26000</v>
      </c>
      <c r="AA109" s="158">
        <v>1</v>
      </c>
      <c r="AB109" s="158">
        <v>102.42</v>
      </c>
      <c r="AD109" s="158">
        <v>26.629000000000001</v>
      </c>
      <c r="AG109" s="11" t="s">
        <v>37</v>
      </c>
      <c r="AH109" s="189">
        <v>6.0999999999999999E-5</v>
      </c>
      <c r="AI109" s="189">
        <v>2.9855554284318299E-3</v>
      </c>
      <c r="AJ109" s="189">
        <v>7.2539339220627002E-4</v>
      </c>
    </row>
    <row r="110" spans="1:36">
      <c r="A110" s="11" t="s">
        <v>26</v>
      </c>
      <c r="B110" s="11">
        <v>13711</v>
      </c>
      <c r="C110" s="11" t="s">
        <v>2525</v>
      </c>
      <c r="D110" s="11" t="s">
        <v>2526</v>
      </c>
      <c r="E110" s="4" t="s">
        <v>1552</v>
      </c>
      <c r="F110" s="11" t="s">
        <v>2527</v>
      </c>
      <c r="G110" s="11" t="s">
        <v>2528</v>
      </c>
      <c r="H110" s="11" t="s">
        <v>511</v>
      </c>
      <c r="I110" s="11" t="s">
        <v>1154</v>
      </c>
      <c r="J110" s="11" t="s">
        <v>31</v>
      </c>
      <c r="K110" s="11" t="s">
        <v>31</v>
      </c>
      <c r="L110" s="11" t="s">
        <v>517</v>
      </c>
      <c r="M110" s="11" t="s">
        <v>32</v>
      </c>
      <c r="N110" s="11" t="s">
        <v>631</v>
      </c>
      <c r="O110" s="11" t="s">
        <v>312</v>
      </c>
      <c r="P110" s="11" t="s">
        <v>2206</v>
      </c>
      <c r="Q110" s="11" t="s">
        <v>604</v>
      </c>
      <c r="R110" s="11" t="s">
        <v>596</v>
      </c>
      <c r="S110" s="11" t="s">
        <v>35</v>
      </c>
      <c r="T110" s="158">
        <v>1.1870000000000001</v>
      </c>
      <c r="U110" s="11" t="s">
        <v>2198</v>
      </c>
      <c r="V110" s="174">
        <v>0.114</v>
      </c>
      <c r="W110" s="189">
        <v>6.7919999999999994E-2</v>
      </c>
      <c r="X110" s="4" t="s">
        <v>602</v>
      </c>
      <c r="Y110" s="4" t="s">
        <v>312</v>
      </c>
      <c r="Z110" s="158">
        <v>5000</v>
      </c>
      <c r="AA110" s="158">
        <v>1</v>
      </c>
      <c r="AB110" s="158">
        <v>101.87</v>
      </c>
      <c r="AD110" s="158">
        <v>5.093</v>
      </c>
      <c r="AG110" s="11" t="s">
        <v>37</v>
      </c>
      <c r="AH110" s="189">
        <v>1.4E-5</v>
      </c>
      <c r="AI110" s="189">
        <v>5.7106208878665197E-4</v>
      </c>
      <c r="AJ110" s="189">
        <v>1.3874961482893299E-4</v>
      </c>
    </row>
    <row r="111" spans="1:36">
      <c r="A111" s="11" t="s">
        <v>26</v>
      </c>
      <c r="B111" s="11">
        <v>13711</v>
      </c>
      <c r="C111" s="11" t="s">
        <v>2529</v>
      </c>
      <c r="D111" s="11" t="s">
        <v>2530</v>
      </c>
      <c r="E111" s="4" t="s">
        <v>1552</v>
      </c>
      <c r="F111" s="11" t="s">
        <v>2531</v>
      </c>
      <c r="G111" s="11" t="s">
        <v>2532</v>
      </c>
      <c r="H111" s="11" t="s">
        <v>511</v>
      </c>
      <c r="I111" s="11" t="s">
        <v>945</v>
      </c>
      <c r="J111" s="11" t="s">
        <v>31</v>
      </c>
      <c r="K111" s="11" t="s">
        <v>31</v>
      </c>
      <c r="L111" s="11" t="s">
        <v>517</v>
      </c>
      <c r="M111" s="11" t="s">
        <v>32</v>
      </c>
      <c r="N111" s="11" t="s">
        <v>666</v>
      </c>
      <c r="O111" s="11" t="s">
        <v>312</v>
      </c>
      <c r="P111" s="11" t="s">
        <v>357</v>
      </c>
      <c r="Q111" s="11" t="s">
        <v>358</v>
      </c>
      <c r="R111" s="11" t="s">
        <v>596</v>
      </c>
      <c r="S111" s="11" t="s">
        <v>35</v>
      </c>
      <c r="T111" s="158">
        <v>1.972</v>
      </c>
      <c r="U111" s="11" t="s">
        <v>2441</v>
      </c>
      <c r="V111" s="174">
        <v>1E-3</v>
      </c>
      <c r="W111" s="189">
        <v>2.1149999999999999E-2</v>
      </c>
      <c r="X111" s="4" t="s">
        <v>602</v>
      </c>
      <c r="Y111" s="4" t="s">
        <v>312</v>
      </c>
      <c r="Z111" s="158">
        <v>193000</v>
      </c>
      <c r="AA111" s="158">
        <v>1</v>
      </c>
      <c r="AB111" s="158">
        <v>107.52</v>
      </c>
      <c r="AD111" s="158">
        <v>207.51400000000001</v>
      </c>
      <c r="AG111" s="11" t="s">
        <v>37</v>
      </c>
      <c r="AH111" s="189">
        <v>2.2499999999999999E-4</v>
      </c>
      <c r="AI111" s="189">
        <v>2.3265563928072601E-2</v>
      </c>
      <c r="AJ111" s="189">
        <v>5.6527794388466397E-3</v>
      </c>
    </row>
    <row r="112" spans="1:36">
      <c r="A112" s="11" t="s">
        <v>26</v>
      </c>
      <c r="B112" s="11">
        <v>13711</v>
      </c>
      <c r="C112" s="11" t="s">
        <v>2529</v>
      </c>
      <c r="D112" s="11" t="s">
        <v>2530</v>
      </c>
      <c r="E112" s="4" t="s">
        <v>1552</v>
      </c>
      <c r="F112" s="11" t="s">
        <v>2533</v>
      </c>
      <c r="G112" s="11" t="s">
        <v>2534</v>
      </c>
      <c r="H112" s="11" t="s">
        <v>511</v>
      </c>
      <c r="I112" s="11" t="s">
        <v>945</v>
      </c>
      <c r="J112" s="11" t="s">
        <v>31</v>
      </c>
      <c r="K112" s="11" t="s">
        <v>31</v>
      </c>
      <c r="L112" s="11" t="s">
        <v>517</v>
      </c>
      <c r="M112" s="11" t="s">
        <v>32</v>
      </c>
      <c r="N112" s="11" t="s">
        <v>666</v>
      </c>
      <c r="O112" s="11" t="s">
        <v>312</v>
      </c>
      <c r="P112" s="11" t="s">
        <v>357</v>
      </c>
      <c r="Q112" s="11" t="s">
        <v>358</v>
      </c>
      <c r="R112" s="11" t="s">
        <v>596</v>
      </c>
      <c r="S112" s="11" t="s">
        <v>35</v>
      </c>
      <c r="T112" s="158">
        <v>11.7</v>
      </c>
      <c r="U112" s="11" t="s">
        <v>2535</v>
      </c>
      <c r="V112" s="174">
        <v>2.07E-2</v>
      </c>
      <c r="W112" s="189">
        <v>3.2730000000000002E-2</v>
      </c>
      <c r="X112" s="4" t="s">
        <v>602</v>
      </c>
      <c r="Y112" s="4" t="s">
        <v>312</v>
      </c>
      <c r="Z112" s="158">
        <v>46000.74</v>
      </c>
      <c r="AA112" s="158">
        <v>1</v>
      </c>
      <c r="AB112" s="158">
        <v>97.32</v>
      </c>
      <c r="AD112" s="158">
        <v>44.768000000000001</v>
      </c>
      <c r="AG112" s="11" t="s">
        <v>37</v>
      </c>
      <c r="AH112" s="189">
        <v>1.0000000000000001E-5</v>
      </c>
      <c r="AI112" s="189">
        <v>5.0191934822366099E-3</v>
      </c>
      <c r="AJ112" s="189">
        <v>1.2195016550510299E-3</v>
      </c>
    </row>
    <row r="113" spans="1:36">
      <c r="A113" s="11" t="s">
        <v>26</v>
      </c>
      <c r="B113" s="11">
        <v>13711</v>
      </c>
      <c r="C113" s="11" t="s">
        <v>2536</v>
      </c>
      <c r="D113" s="11" t="s">
        <v>2537</v>
      </c>
      <c r="E113" s="4" t="s">
        <v>1552</v>
      </c>
      <c r="F113" s="11" t="s">
        <v>2538</v>
      </c>
      <c r="G113" s="11" t="s">
        <v>2539</v>
      </c>
      <c r="H113" s="11" t="s">
        <v>511</v>
      </c>
      <c r="I113" s="11" t="s">
        <v>945</v>
      </c>
      <c r="J113" s="11" t="s">
        <v>31</v>
      </c>
      <c r="K113" s="11" t="s">
        <v>31</v>
      </c>
      <c r="L113" s="11" t="s">
        <v>517</v>
      </c>
      <c r="M113" s="11" t="s">
        <v>32</v>
      </c>
      <c r="N113" s="11" t="s">
        <v>636</v>
      </c>
      <c r="O113" s="11" t="s">
        <v>312</v>
      </c>
      <c r="P113" s="11" t="s">
        <v>357</v>
      </c>
      <c r="Q113" s="11" t="s">
        <v>358</v>
      </c>
      <c r="R113" s="11" t="s">
        <v>596</v>
      </c>
      <c r="S113" s="11" t="s">
        <v>35</v>
      </c>
      <c r="T113" s="158">
        <v>2.9769999999999999</v>
      </c>
      <c r="U113" s="11" t="s">
        <v>2540</v>
      </c>
      <c r="V113" s="174">
        <v>1.4999999999999999E-2</v>
      </c>
      <c r="W113" s="189">
        <v>2.426E-2</v>
      </c>
      <c r="X113" s="4" t="s">
        <v>602</v>
      </c>
      <c r="Y113" s="4" t="s">
        <v>312</v>
      </c>
      <c r="Z113" s="158">
        <v>94319.679999999993</v>
      </c>
      <c r="AA113" s="158">
        <v>1</v>
      </c>
      <c r="AB113" s="158">
        <v>111.17</v>
      </c>
      <c r="AD113" s="158">
        <v>104.855</v>
      </c>
      <c r="AG113" s="11" t="s">
        <v>37</v>
      </c>
      <c r="AH113" s="189">
        <v>3.3799999999999998E-4</v>
      </c>
      <c r="AI113" s="189">
        <v>1.1755928698456699E-2</v>
      </c>
      <c r="AJ113" s="189">
        <v>2.8563103923304801E-3</v>
      </c>
    </row>
    <row r="114" spans="1:36">
      <c r="A114" s="11" t="s">
        <v>26</v>
      </c>
      <c r="B114" s="11">
        <v>13711</v>
      </c>
      <c r="C114" s="11" t="s">
        <v>2050</v>
      </c>
      <c r="D114" s="11" t="s">
        <v>2051</v>
      </c>
      <c r="E114" s="4" t="s">
        <v>1552</v>
      </c>
      <c r="F114" s="11" t="s">
        <v>2541</v>
      </c>
      <c r="G114" s="11" t="s">
        <v>2542</v>
      </c>
      <c r="H114" s="11" t="s">
        <v>511</v>
      </c>
      <c r="I114" s="11" t="s">
        <v>945</v>
      </c>
      <c r="J114" s="11" t="s">
        <v>31</v>
      </c>
      <c r="K114" s="11" t="s">
        <v>31</v>
      </c>
      <c r="L114" s="11" t="s">
        <v>517</v>
      </c>
      <c r="M114" s="11" t="s">
        <v>32</v>
      </c>
      <c r="N114" s="11" t="s">
        <v>628</v>
      </c>
      <c r="O114" s="11" t="s">
        <v>312</v>
      </c>
      <c r="P114" s="11" t="s">
        <v>2165</v>
      </c>
      <c r="Q114" s="27" t="s">
        <v>2165</v>
      </c>
      <c r="R114" s="16" t="s">
        <v>2165</v>
      </c>
      <c r="S114" s="11" t="s">
        <v>35</v>
      </c>
      <c r="T114" s="158">
        <v>1.64</v>
      </c>
      <c r="U114" s="11" t="s">
        <v>2299</v>
      </c>
      <c r="V114" s="174">
        <v>1.6400000000000001E-2</v>
      </c>
      <c r="W114" s="189">
        <v>3.44E-2</v>
      </c>
      <c r="X114" s="4" t="s">
        <v>602</v>
      </c>
      <c r="Y114" s="4" t="s">
        <v>312</v>
      </c>
      <c r="Z114" s="158">
        <v>52319.58</v>
      </c>
      <c r="AA114" s="158">
        <v>1</v>
      </c>
      <c r="AB114" s="158">
        <v>110.89</v>
      </c>
      <c r="AD114" s="158">
        <v>58.017000000000003</v>
      </c>
      <c r="AG114" s="11" t="s">
        <v>37</v>
      </c>
      <c r="AH114" s="189">
        <v>2.1000000000000001E-4</v>
      </c>
      <c r="AI114" s="189">
        <v>6.5046457814967396E-3</v>
      </c>
      <c r="AJ114" s="189">
        <v>1.58041851228282E-3</v>
      </c>
    </row>
    <row r="115" spans="1:36">
      <c r="A115" s="11" t="s">
        <v>26</v>
      </c>
      <c r="B115" s="11">
        <v>13711</v>
      </c>
      <c r="C115" s="11" t="s">
        <v>2543</v>
      </c>
      <c r="D115" s="11" t="s">
        <v>2544</v>
      </c>
      <c r="E115" s="4" t="s">
        <v>1552</v>
      </c>
      <c r="F115" s="11" t="s">
        <v>2545</v>
      </c>
      <c r="G115" s="11" t="s">
        <v>2546</v>
      </c>
      <c r="H115" s="11" t="s">
        <v>511</v>
      </c>
      <c r="I115" s="11" t="s">
        <v>1154</v>
      </c>
      <c r="J115" s="11" t="s">
        <v>31</v>
      </c>
      <c r="K115" s="11" t="s">
        <v>31</v>
      </c>
      <c r="L115" s="11" t="s">
        <v>517</v>
      </c>
      <c r="M115" s="11" t="s">
        <v>50</v>
      </c>
      <c r="N115" s="11" t="s">
        <v>642</v>
      </c>
      <c r="O115" s="11" t="s">
        <v>312</v>
      </c>
      <c r="P115" s="11" t="s">
        <v>2327</v>
      </c>
      <c r="Q115" s="11" t="s">
        <v>358</v>
      </c>
      <c r="R115" s="11" t="s">
        <v>596</v>
      </c>
      <c r="S115" s="11" t="s">
        <v>35</v>
      </c>
      <c r="T115" s="158">
        <v>3.8690000000000002</v>
      </c>
      <c r="U115" s="11" t="s">
        <v>2547</v>
      </c>
      <c r="V115" s="174">
        <v>6.7000000000000004E-2</v>
      </c>
      <c r="W115" s="189">
        <v>6.6000000000000003E-2</v>
      </c>
      <c r="X115" s="4" t="s">
        <v>602</v>
      </c>
      <c r="Y115" s="4" t="s">
        <v>312</v>
      </c>
      <c r="Z115" s="158">
        <v>28000</v>
      </c>
      <c r="AA115" s="158">
        <v>1</v>
      </c>
      <c r="AB115" s="158">
        <v>102.81</v>
      </c>
      <c r="AD115" s="158">
        <v>28.786999999999999</v>
      </c>
      <c r="AG115" s="11" t="s">
        <v>37</v>
      </c>
      <c r="AH115" s="189">
        <v>3.1000000000000001E-5</v>
      </c>
      <c r="AI115" s="189">
        <v>3.2274565892772399E-3</v>
      </c>
      <c r="AJ115" s="189">
        <v>7.8416754926034001E-4</v>
      </c>
    </row>
    <row r="116" spans="1:36">
      <c r="A116" s="11" t="s">
        <v>26</v>
      </c>
      <c r="B116" s="11">
        <v>13711</v>
      </c>
      <c r="C116" s="11" t="s">
        <v>2548</v>
      </c>
      <c r="D116" s="11" t="s">
        <v>2549</v>
      </c>
      <c r="E116" s="4" t="s">
        <v>1552</v>
      </c>
      <c r="F116" s="11" t="s">
        <v>2550</v>
      </c>
      <c r="G116" s="11" t="s">
        <v>2551</v>
      </c>
      <c r="H116" s="11" t="s">
        <v>511</v>
      </c>
      <c r="I116" s="11" t="s">
        <v>1155</v>
      </c>
      <c r="J116" s="11" t="s">
        <v>31</v>
      </c>
      <c r="K116" s="11" t="s">
        <v>31</v>
      </c>
      <c r="L116" s="11" t="s">
        <v>517</v>
      </c>
      <c r="M116" s="11" t="s">
        <v>32</v>
      </c>
      <c r="N116" s="11" t="s">
        <v>629</v>
      </c>
      <c r="O116" s="11" t="s">
        <v>312</v>
      </c>
      <c r="P116" s="11" t="s">
        <v>2165</v>
      </c>
      <c r="Q116" s="27" t="s">
        <v>2165</v>
      </c>
      <c r="R116" s="16" t="s">
        <v>2165</v>
      </c>
      <c r="S116" s="11" t="s">
        <v>35</v>
      </c>
      <c r="T116" s="158">
        <v>4.0789999999999997</v>
      </c>
      <c r="U116" s="11" t="s">
        <v>2170</v>
      </c>
      <c r="V116" s="174">
        <v>0.05</v>
      </c>
      <c r="W116" s="189">
        <v>5.0389999999999997E-2</v>
      </c>
      <c r="X116" s="4" t="s">
        <v>602</v>
      </c>
      <c r="Y116" s="4" t="s">
        <v>312</v>
      </c>
      <c r="Z116" s="158">
        <v>9000</v>
      </c>
      <c r="AA116" s="158">
        <v>1</v>
      </c>
      <c r="AB116" s="158">
        <v>100.1</v>
      </c>
      <c r="AD116" s="158">
        <v>9.0090000000000003</v>
      </c>
      <c r="AG116" s="11" t="s">
        <v>37</v>
      </c>
      <c r="AH116" s="189">
        <v>2.1999999999999999E-5</v>
      </c>
      <c r="AI116" s="189">
        <v>1.0100517046979401E-3</v>
      </c>
      <c r="AJ116" s="189">
        <v>2.45409891036392E-4</v>
      </c>
    </row>
    <row r="117" spans="1:36">
      <c r="A117" s="11" t="s">
        <v>26</v>
      </c>
      <c r="B117" s="11">
        <v>13711</v>
      </c>
      <c r="C117" s="11" t="s">
        <v>2548</v>
      </c>
      <c r="D117" s="11" t="s">
        <v>2549</v>
      </c>
      <c r="E117" s="4" t="s">
        <v>1552</v>
      </c>
      <c r="F117" s="11" t="s">
        <v>2552</v>
      </c>
      <c r="G117" s="11" t="s">
        <v>2553</v>
      </c>
      <c r="H117" s="11" t="s">
        <v>511</v>
      </c>
      <c r="I117" s="11" t="s">
        <v>945</v>
      </c>
      <c r="J117" s="11" t="s">
        <v>31</v>
      </c>
      <c r="K117" s="11" t="s">
        <v>31</v>
      </c>
      <c r="L117" s="11" t="s">
        <v>517</v>
      </c>
      <c r="M117" s="11" t="s">
        <v>32</v>
      </c>
      <c r="N117" s="11" t="s">
        <v>629</v>
      </c>
      <c r="O117" s="11" t="s">
        <v>312</v>
      </c>
      <c r="P117" s="11" t="s">
        <v>2165</v>
      </c>
      <c r="Q117" s="27" t="s">
        <v>2165</v>
      </c>
      <c r="R117" s="16" t="s">
        <v>2165</v>
      </c>
      <c r="S117" s="11" t="s">
        <v>35</v>
      </c>
      <c r="T117" s="158">
        <v>2.7309999999999999</v>
      </c>
      <c r="U117" s="11" t="s">
        <v>2441</v>
      </c>
      <c r="V117" s="174">
        <v>1.4800000000000001E-2</v>
      </c>
      <c r="W117" s="189">
        <v>4.2779999999999999E-2</v>
      </c>
      <c r="X117" s="4" t="s">
        <v>602</v>
      </c>
      <c r="Y117" s="4" t="s">
        <v>312</v>
      </c>
      <c r="Z117" s="158">
        <v>3714.29</v>
      </c>
      <c r="AA117" s="158">
        <v>1</v>
      </c>
      <c r="AB117" s="158">
        <v>103.41</v>
      </c>
      <c r="AD117" s="158">
        <v>3.8410000000000002</v>
      </c>
      <c r="AG117" s="11" t="s">
        <v>37</v>
      </c>
      <c r="AH117" s="189">
        <v>5.0000000000000004E-6</v>
      </c>
      <c r="AI117" s="189">
        <v>4.3063107524801599E-4</v>
      </c>
      <c r="AJ117" s="189">
        <v>1.04629421208793E-4</v>
      </c>
    </row>
    <row r="118" spans="1:36">
      <c r="A118" s="11" t="s">
        <v>26</v>
      </c>
      <c r="B118" s="11">
        <v>13711</v>
      </c>
      <c r="C118" s="11" t="s">
        <v>2554</v>
      </c>
      <c r="D118" s="11" t="s">
        <v>2555</v>
      </c>
      <c r="E118" s="4" t="s">
        <v>1552</v>
      </c>
      <c r="F118" s="11" t="s">
        <v>2556</v>
      </c>
      <c r="G118" s="11" t="s">
        <v>2557</v>
      </c>
      <c r="H118" s="11" t="s">
        <v>511</v>
      </c>
      <c r="I118" s="11" t="s">
        <v>945</v>
      </c>
      <c r="J118" s="11" t="s">
        <v>31</v>
      </c>
      <c r="K118" s="11" t="s">
        <v>31</v>
      </c>
      <c r="L118" s="11" t="s">
        <v>517</v>
      </c>
      <c r="M118" s="11" t="s">
        <v>32</v>
      </c>
      <c r="N118" s="11" t="s">
        <v>652</v>
      </c>
      <c r="O118" s="11" t="s">
        <v>312</v>
      </c>
      <c r="P118" s="11" t="s">
        <v>157</v>
      </c>
      <c r="Q118" s="11" t="s">
        <v>604</v>
      </c>
      <c r="R118" s="11" t="s">
        <v>596</v>
      </c>
      <c r="S118" s="11" t="s">
        <v>35</v>
      </c>
      <c r="T118" s="158">
        <v>5.2370000000000001</v>
      </c>
      <c r="U118" s="11" t="s">
        <v>2524</v>
      </c>
      <c r="V118" s="174">
        <v>1.6500000000000001E-2</v>
      </c>
      <c r="W118" s="189">
        <v>2.8119999999999999E-2</v>
      </c>
      <c r="X118" s="4" t="s">
        <v>602</v>
      </c>
      <c r="Y118" s="4" t="s">
        <v>312</v>
      </c>
      <c r="Z118" s="158">
        <v>101000</v>
      </c>
      <c r="AA118" s="158">
        <v>1</v>
      </c>
      <c r="AB118" s="158">
        <v>107.94</v>
      </c>
      <c r="AD118" s="158">
        <v>109.01900000000001</v>
      </c>
      <c r="AG118" s="11" t="s">
        <v>37</v>
      </c>
      <c r="AH118" s="189">
        <v>4.8000000000000001E-5</v>
      </c>
      <c r="AI118" s="189">
        <v>1.22228028432841E-2</v>
      </c>
      <c r="AJ118" s="189">
        <v>2.9697457070543701E-3</v>
      </c>
    </row>
    <row r="119" spans="1:36">
      <c r="A119" s="11" t="s">
        <v>26</v>
      </c>
      <c r="B119" s="11">
        <v>13711</v>
      </c>
      <c r="C119" s="11" t="s">
        <v>2554</v>
      </c>
      <c r="D119" s="11" t="s">
        <v>2555</v>
      </c>
      <c r="E119" s="4" t="s">
        <v>1552</v>
      </c>
      <c r="F119" s="11" t="s">
        <v>2558</v>
      </c>
      <c r="G119" s="11" t="s">
        <v>2559</v>
      </c>
      <c r="H119" s="11" t="s">
        <v>511</v>
      </c>
      <c r="I119" s="11" t="s">
        <v>945</v>
      </c>
      <c r="J119" s="11" t="s">
        <v>31</v>
      </c>
      <c r="K119" s="11" t="s">
        <v>31</v>
      </c>
      <c r="L119" s="11" t="s">
        <v>517</v>
      </c>
      <c r="M119" s="11" t="s">
        <v>32</v>
      </c>
      <c r="N119" s="11" t="s">
        <v>652</v>
      </c>
      <c r="O119" s="11" t="s">
        <v>312</v>
      </c>
      <c r="P119" s="11" t="s">
        <v>157</v>
      </c>
      <c r="Q119" s="11" t="s">
        <v>604</v>
      </c>
      <c r="R119" s="11" t="s">
        <v>596</v>
      </c>
      <c r="S119" s="11" t="s">
        <v>35</v>
      </c>
      <c r="T119" s="158">
        <v>1.7070000000000001</v>
      </c>
      <c r="U119" s="11" t="s">
        <v>2333</v>
      </c>
      <c r="V119" s="174">
        <v>8.3000000000000001E-3</v>
      </c>
      <c r="W119" s="189">
        <v>2.0580000000000001E-2</v>
      </c>
      <c r="X119" s="4" t="s">
        <v>602</v>
      </c>
      <c r="Y119" s="4" t="s">
        <v>312</v>
      </c>
      <c r="Z119" s="158">
        <v>160194.10999999999</v>
      </c>
      <c r="AA119" s="158">
        <v>1</v>
      </c>
      <c r="AB119" s="158">
        <v>111.94</v>
      </c>
      <c r="AD119" s="158">
        <v>179.321</v>
      </c>
      <c r="AG119" s="11" t="s">
        <v>37</v>
      </c>
      <c r="AH119" s="189">
        <v>1.35E-4</v>
      </c>
      <c r="AI119" s="189">
        <v>2.0104758725086502E-2</v>
      </c>
      <c r="AJ119" s="189">
        <v>4.8848060204125304E-3</v>
      </c>
    </row>
    <row r="120" spans="1:36">
      <c r="A120" s="11" t="s">
        <v>26</v>
      </c>
      <c r="B120" s="11">
        <v>13711</v>
      </c>
      <c r="C120" s="11" t="s">
        <v>2554</v>
      </c>
      <c r="D120" s="11" t="s">
        <v>2555</v>
      </c>
      <c r="E120" s="4" t="s">
        <v>1552</v>
      </c>
      <c r="F120" s="11" t="s">
        <v>2560</v>
      </c>
      <c r="G120" s="11" t="s">
        <v>2561</v>
      </c>
      <c r="H120" s="11" t="s">
        <v>511</v>
      </c>
      <c r="I120" s="11" t="s">
        <v>1154</v>
      </c>
      <c r="J120" s="11" t="s">
        <v>31</v>
      </c>
      <c r="K120" s="11" t="s">
        <v>31</v>
      </c>
      <c r="L120" s="11" t="s">
        <v>517</v>
      </c>
      <c r="M120" s="11" t="s">
        <v>32</v>
      </c>
      <c r="N120" s="11" t="s">
        <v>652</v>
      </c>
      <c r="O120" s="11" t="s">
        <v>312</v>
      </c>
      <c r="P120" s="11" t="s">
        <v>157</v>
      </c>
      <c r="Q120" s="11" t="s">
        <v>604</v>
      </c>
      <c r="R120" s="11" t="s">
        <v>596</v>
      </c>
      <c r="S120" s="11" t="s">
        <v>35</v>
      </c>
      <c r="T120" s="158">
        <v>0.499</v>
      </c>
      <c r="U120" s="11" t="s">
        <v>2162</v>
      </c>
      <c r="V120" s="174">
        <v>1.6299999999999999E-2</v>
      </c>
      <c r="W120" s="189">
        <v>4.514E-2</v>
      </c>
      <c r="X120" s="4" t="s">
        <v>602</v>
      </c>
      <c r="Y120" s="4" t="s">
        <v>312</v>
      </c>
      <c r="Z120" s="158">
        <v>70500.160000000003</v>
      </c>
      <c r="AA120" s="158">
        <v>1</v>
      </c>
      <c r="AB120" s="158">
        <v>98.62</v>
      </c>
      <c r="AD120" s="158">
        <v>69.527000000000001</v>
      </c>
      <c r="AG120" s="11" t="s">
        <v>37</v>
      </c>
      <c r="AH120" s="189">
        <v>6.7699999999999998E-4</v>
      </c>
      <c r="AI120" s="189">
        <v>7.7951076984995697E-3</v>
      </c>
      <c r="AJ120" s="189">
        <v>1.89395901418513E-3</v>
      </c>
    </row>
    <row r="121" spans="1:36">
      <c r="A121" s="11" t="s">
        <v>26</v>
      </c>
      <c r="B121" s="11">
        <v>13711</v>
      </c>
      <c r="C121" s="11" t="s">
        <v>2562</v>
      </c>
      <c r="D121" s="11" t="s">
        <v>2563</v>
      </c>
      <c r="E121" s="4" t="s">
        <v>1552</v>
      </c>
      <c r="F121" s="11" t="s">
        <v>2564</v>
      </c>
      <c r="G121" s="11" t="s">
        <v>2565</v>
      </c>
      <c r="H121" s="11" t="s">
        <v>511</v>
      </c>
      <c r="I121" s="11" t="s">
        <v>1154</v>
      </c>
      <c r="J121" s="11" t="s">
        <v>31</v>
      </c>
      <c r="K121" s="11" t="s">
        <v>31</v>
      </c>
      <c r="L121" s="11" t="s">
        <v>517</v>
      </c>
      <c r="M121" s="11" t="s">
        <v>32</v>
      </c>
      <c r="N121" s="11" t="s">
        <v>642</v>
      </c>
      <c r="O121" s="11" t="s">
        <v>312</v>
      </c>
      <c r="P121" s="11" t="s">
        <v>2169</v>
      </c>
      <c r="Q121" s="11" t="s">
        <v>358</v>
      </c>
      <c r="R121" s="11" t="s">
        <v>596</v>
      </c>
      <c r="S121" s="11" t="s">
        <v>35</v>
      </c>
      <c r="T121" s="158">
        <v>0.312</v>
      </c>
      <c r="U121" s="11" t="s">
        <v>2566</v>
      </c>
      <c r="V121" s="174">
        <v>2.3599999999999999E-2</v>
      </c>
      <c r="W121" s="189">
        <v>4.9520000000000002E-2</v>
      </c>
      <c r="X121" s="4" t="s">
        <v>602</v>
      </c>
      <c r="Y121" s="4" t="s">
        <v>312</v>
      </c>
      <c r="Z121" s="158">
        <v>103000.36</v>
      </c>
      <c r="AA121" s="158">
        <v>1</v>
      </c>
      <c r="AB121" s="158">
        <v>100.24</v>
      </c>
      <c r="AD121" s="158">
        <v>103.248</v>
      </c>
      <c r="AG121" s="11" t="s">
        <v>37</v>
      </c>
      <c r="AH121" s="189">
        <v>1.635E-3</v>
      </c>
      <c r="AI121" s="189">
        <v>1.15756881847694E-2</v>
      </c>
      <c r="AJ121" s="189">
        <v>2.8125177779340098E-3</v>
      </c>
    </row>
    <row r="122" spans="1:36">
      <c r="A122" s="11" t="s">
        <v>26</v>
      </c>
      <c r="B122" s="11">
        <v>13711</v>
      </c>
      <c r="C122" s="11" t="s">
        <v>2567</v>
      </c>
      <c r="D122" s="11" t="s">
        <v>2568</v>
      </c>
      <c r="E122" s="4" t="s">
        <v>1552</v>
      </c>
      <c r="F122" s="11" t="s">
        <v>2569</v>
      </c>
      <c r="G122" s="11" t="s">
        <v>2570</v>
      </c>
      <c r="H122" s="11" t="s">
        <v>511</v>
      </c>
      <c r="I122" s="11" t="s">
        <v>945</v>
      </c>
      <c r="J122" s="11" t="s">
        <v>31</v>
      </c>
      <c r="K122" s="11" t="s">
        <v>31</v>
      </c>
      <c r="L122" s="11" t="s">
        <v>517</v>
      </c>
      <c r="M122" s="11" t="s">
        <v>32</v>
      </c>
      <c r="N122" s="11" t="s">
        <v>666</v>
      </c>
      <c r="O122" s="11" t="s">
        <v>312</v>
      </c>
      <c r="P122" s="11" t="s">
        <v>2571</v>
      </c>
      <c r="Q122" s="11" t="s">
        <v>358</v>
      </c>
      <c r="R122" s="11" t="s">
        <v>596</v>
      </c>
      <c r="S122" s="11" t="s">
        <v>35</v>
      </c>
      <c r="T122" s="158">
        <v>5.72</v>
      </c>
      <c r="U122" s="11" t="s">
        <v>2572</v>
      </c>
      <c r="V122" s="174">
        <v>2.6499999999999999E-2</v>
      </c>
      <c r="W122" s="189">
        <v>2.7709999999999999E-2</v>
      </c>
      <c r="X122" s="4" t="s">
        <v>602</v>
      </c>
      <c r="Y122" s="4" t="s">
        <v>312</v>
      </c>
      <c r="Z122" s="158">
        <v>2977.52</v>
      </c>
      <c r="AA122" s="158">
        <v>1</v>
      </c>
      <c r="AB122" s="158">
        <v>113.29</v>
      </c>
      <c r="AD122" s="158">
        <v>3.3730000000000002</v>
      </c>
      <c r="AG122" s="11" t="s">
        <v>37</v>
      </c>
      <c r="AH122" s="189">
        <v>1.9999999999999999E-6</v>
      </c>
      <c r="AI122" s="189">
        <v>3.78192823181566E-4</v>
      </c>
      <c r="AJ122" s="189">
        <v>9.1888622231957499E-5</v>
      </c>
    </row>
    <row r="123" spans="1:36">
      <c r="A123" s="11" t="s">
        <v>26</v>
      </c>
      <c r="B123" s="11">
        <v>13711</v>
      </c>
      <c r="C123" s="11" t="s">
        <v>1888</v>
      </c>
      <c r="D123" s="11" t="s">
        <v>1889</v>
      </c>
      <c r="E123" s="4" t="s">
        <v>1552</v>
      </c>
      <c r="F123" s="11" t="s">
        <v>2573</v>
      </c>
      <c r="G123" s="11" t="s">
        <v>2574</v>
      </c>
      <c r="H123" s="11" t="s">
        <v>511</v>
      </c>
      <c r="I123" s="11" t="s">
        <v>1154</v>
      </c>
      <c r="J123" s="11" t="s">
        <v>31</v>
      </c>
      <c r="K123" s="11" t="s">
        <v>489</v>
      </c>
      <c r="L123" s="11" t="s">
        <v>517</v>
      </c>
      <c r="M123" s="11" t="s">
        <v>32</v>
      </c>
      <c r="N123" s="11" t="s">
        <v>653</v>
      </c>
      <c r="O123" s="11" t="s">
        <v>312</v>
      </c>
      <c r="P123" s="11" t="s">
        <v>2571</v>
      </c>
      <c r="Q123" s="11" t="s">
        <v>604</v>
      </c>
      <c r="R123" s="11" t="s">
        <v>596</v>
      </c>
      <c r="S123" s="11" t="s">
        <v>35</v>
      </c>
      <c r="T123" s="158">
        <v>2.2549999999999999</v>
      </c>
      <c r="U123" s="11" t="s">
        <v>2333</v>
      </c>
      <c r="V123" s="174">
        <v>2.75E-2</v>
      </c>
      <c r="W123" s="189">
        <v>5.3969999999999997E-2</v>
      </c>
      <c r="X123" s="4" t="s">
        <v>602</v>
      </c>
      <c r="Y123" s="4" t="s">
        <v>312</v>
      </c>
      <c r="Z123" s="158">
        <v>5077.5</v>
      </c>
      <c r="AA123" s="158">
        <v>1</v>
      </c>
      <c r="AB123" s="158">
        <v>94.46</v>
      </c>
      <c r="AD123" s="158">
        <v>4.7960000000000003</v>
      </c>
      <c r="AG123" s="11" t="s">
        <v>37</v>
      </c>
      <c r="AH123" s="189">
        <v>6.2000000000000003E-5</v>
      </c>
      <c r="AI123" s="189">
        <v>5.3773077493709999E-4</v>
      </c>
      <c r="AJ123" s="189">
        <v>1.3065118376656999E-4</v>
      </c>
    </row>
    <row r="124" spans="1:36">
      <c r="A124" s="11" t="s">
        <v>26</v>
      </c>
      <c r="B124" s="11">
        <v>13711</v>
      </c>
      <c r="C124" s="11" t="s">
        <v>2575</v>
      </c>
      <c r="D124" s="11" t="s">
        <v>2576</v>
      </c>
      <c r="E124" s="4" t="s">
        <v>1552</v>
      </c>
      <c r="F124" s="11" t="s">
        <v>2577</v>
      </c>
      <c r="G124" s="11" t="s">
        <v>2578</v>
      </c>
      <c r="H124" s="11" t="s">
        <v>511</v>
      </c>
      <c r="I124" s="11" t="s">
        <v>945</v>
      </c>
      <c r="J124" s="11" t="s">
        <v>31</v>
      </c>
      <c r="K124" s="11" t="s">
        <v>31</v>
      </c>
      <c r="L124" s="11" t="s">
        <v>517</v>
      </c>
      <c r="M124" s="11" t="s">
        <v>32</v>
      </c>
      <c r="N124" s="11" t="s">
        <v>629</v>
      </c>
      <c r="O124" s="11" t="s">
        <v>312</v>
      </c>
      <c r="P124" s="11" t="s">
        <v>2165</v>
      </c>
      <c r="Q124" s="27" t="s">
        <v>2165</v>
      </c>
      <c r="R124" s="16" t="s">
        <v>2165</v>
      </c>
      <c r="S124" s="11" t="s">
        <v>35</v>
      </c>
      <c r="T124" s="158">
        <v>2.33</v>
      </c>
      <c r="U124" s="11" t="s">
        <v>2441</v>
      </c>
      <c r="V124" s="174">
        <v>2.3E-2</v>
      </c>
      <c r="W124" s="189">
        <v>5.7480000000000003E-2</v>
      </c>
      <c r="X124" s="4" t="s">
        <v>602</v>
      </c>
      <c r="Y124" s="4" t="s">
        <v>312</v>
      </c>
      <c r="Z124" s="158">
        <v>41400</v>
      </c>
      <c r="AA124" s="158">
        <v>1</v>
      </c>
      <c r="AB124" s="158">
        <v>102.42</v>
      </c>
      <c r="AD124" s="158">
        <v>42.402000000000001</v>
      </c>
      <c r="AG124" s="11" t="s">
        <v>37</v>
      </c>
      <c r="AH124" s="189">
        <v>1.0900000000000001E-4</v>
      </c>
      <c r="AI124" s="189">
        <v>4.7539228745029898E-3</v>
      </c>
      <c r="AJ124" s="189">
        <v>1.1550494783592101E-3</v>
      </c>
    </row>
    <row r="125" spans="1:36">
      <c r="A125" s="11" t="s">
        <v>26</v>
      </c>
      <c r="B125" s="11">
        <v>13711</v>
      </c>
      <c r="C125" s="11" t="s">
        <v>2575</v>
      </c>
      <c r="D125" s="11" t="s">
        <v>2576</v>
      </c>
      <c r="E125" s="4" t="s">
        <v>1552</v>
      </c>
      <c r="F125" s="11" t="s">
        <v>2579</v>
      </c>
      <c r="G125" s="11" t="s">
        <v>2578</v>
      </c>
      <c r="H125" s="11" t="s">
        <v>511</v>
      </c>
      <c r="I125" s="11" t="s">
        <v>945</v>
      </c>
      <c r="J125" s="11" t="s">
        <v>31</v>
      </c>
      <c r="K125" s="11" t="s">
        <v>489</v>
      </c>
      <c r="L125" s="16" t="s">
        <v>519</v>
      </c>
      <c r="M125" s="11" t="s">
        <v>342</v>
      </c>
      <c r="N125" s="11" t="s">
        <v>629</v>
      </c>
      <c r="O125" s="11" t="s">
        <v>312</v>
      </c>
      <c r="P125" s="11" t="s">
        <v>2165</v>
      </c>
      <c r="Q125" s="27" t="s">
        <v>2165</v>
      </c>
      <c r="R125" s="16" t="s">
        <v>2165</v>
      </c>
      <c r="S125" s="11" t="s">
        <v>35</v>
      </c>
      <c r="T125" s="158">
        <v>2.33</v>
      </c>
      <c r="U125" s="11" t="s">
        <v>2441</v>
      </c>
      <c r="V125" s="174">
        <v>2.3E-2</v>
      </c>
      <c r="W125" s="189">
        <v>5.6239999999999998E-2</v>
      </c>
      <c r="X125" s="4" t="s">
        <v>602</v>
      </c>
      <c r="Y125" s="4" t="s">
        <v>312</v>
      </c>
      <c r="Z125" s="158">
        <v>20000</v>
      </c>
      <c r="AA125" s="158">
        <v>1</v>
      </c>
      <c r="AB125" s="158">
        <v>101.483</v>
      </c>
      <c r="AD125" s="158">
        <v>20.297000000000001</v>
      </c>
      <c r="AG125" s="11" t="s">
        <v>37</v>
      </c>
      <c r="AH125" s="189">
        <v>0</v>
      </c>
      <c r="AI125" s="189">
        <v>2.2755604919964599E-3</v>
      </c>
      <c r="AJ125" s="189">
        <v>5.5288758960569701E-4</v>
      </c>
    </row>
    <row r="126" spans="1:36">
      <c r="A126" s="11" t="s">
        <v>26</v>
      </c>
      <c r="B126" s="11">
        <v>13711</v>
      </c>
      <c r="C126" s="11" t="s">
        <v>2580</v>
      </c>
      <c r="D126" s="11" t="s">
        <v>2581</v>
      </c>
      <c r="E126" s="4" t="s">
        <v>1552</v>
      </c>
      <c r="F126" s="11" t="s">
        <v>2582</v>
      </c>
      <c r="G126" s="11" t="s">
        <v>2583</v>
      </c>
      <c r="H126" s="11" t="s">
        <v>511</v>
      </c>
      <c r="I126" s="11" t="s">
        <v>1155</v>
      </c>
      <c r="J126" s="11" t="s">
        <v>31</v>
      </c>
      <c r="K126" s="11" t="s">
        <v>31</v>
      </c>
      <c r="L126" s="11" t="s">
        <v>517</v>
      </c>
      <c r="M126" s="11" t="s">
        <v>32</v>
      </c>
      <c r="N126" s="11" t="s">
        <v>635</v>
      </c>
      <c r="O126" s="11" t="s">
        <v>312</v>
      </c>
      <c r="P126" s="11" t="s">
        <v>2165</v>
      </c>
      <c r="Q126" s="27" t="s">
        <v>2165</v>
      </c>
      <c r="R126" s="16" t="s">
        <v>2165</v>
      </c>
      <c r="S126" s="11" t="s">
        <v>35</v>
      </c>
      <c r="T126" s="158">
        <v>3.1920000000000002</v>
      </c>
      <c r="U126" s="11" t="s">
        <v>2170</v>
      </c>
      <c r="V126" s="174">
        <v>5.5E-2</v>
      </c>
      <c r="W126" s="189">
        <v>6.0490000000000002E-2</v>
      </c>
      <c r="X126" s="4" t="s">
        <v>602</v>
      </c>
      <c r="Y126" s="4" t="s">
        <v>312</v>
      </c>
      <c r="Z126" s="158">
        <v>5000</v>
      </c>
      <c r="AA126" s="158">
        <v>1</v>
      </c>
      <c r="AB126" s="158">
        <v>98.6</v>
      </c>
      <c r="AD126" s="158">
        <v>4.93</v>
      </c>
      <c r="AG126" s="11" t="s">
        <v>37</v>
      </c>
      <c r="AH126" s="189">
        <v>9.2999999999999997E-5</v>
      </c>
      <c r="AI126" s="189">
        <v>5.5273114709299999E-4</v>
      </c>
      <c r="AJ126" s="189">
        <v>1.34295788967634E-4</v>
      </c>
    </row>
    <row r="127" spans="1:36">
      <c r="A127" s="11" t="s">
        <v>26</v>
      </c>
      <c r="B127" s="11">
        <v>13711</v>
      </c>
      <c r="C127" s="11" t="s">
        <v>2584</v>
      </c>
      <c r="D127" s="11" t="s">
        <v>2585</v>
      </c>
      <c r="E127" s="4" t="s">
        <v>34</v>
      </c>
      <c r="F127" s="11" t="s">
        <v>2586</v>
      </c>
      <c r="G127" s="11" t="s">
        <v>2587</v>
      </c>
      <c r="H127" s="11" t="s">
        <v>511</v>
      </c>
      <c r="I127" s="11" t="s">
        <v>364</v>
      </c>
      <c r="J127" s="11" t="s">
        <v>31</v>
      </c>
      <c r="K127" s="11" t="s">
        <v>155</v>
      </c>
      <c r="L127" s="11" t="s">
        <v>517</v>
      </c>
      <c r="M127" s="11" t="s">
        <v>32</v>
      </c>
      <c r="N127" s="11" t="s">
        <v>631</v>
      </c>
      <c r="O127" s="11" t="s">
        <v>312</v>
      </c>
      <c r="P127" s="11" t="s">
        <v>168</v>
      </c>
      <c r="Q127" s="11" t="s">
        <v>604</v>
      </c>
      <c r="R127" s="11" t="s">
        <v>596</v>
      </c>
      <c r="S127" s="11" t="s">
        <v>35</v>
      </c>
      <c r="T127" s="158">
        <v>2</v>
      </c>
      <c r="U127" s="11" t="s">
        <v>2588</v>
      </c>
      <c r="V127" s="174">
        <v>8.9242000000000002E-2</v>
      </c>
      <c r="W127" s="189">
        <v>8.5949999999999999E-2</v>
      </c>
      <c r="X127" s="4" t="s">
        <v>602</v>
      </c>
      <c r="Y127" s="4" t="s">
        <v>312</v>
      </c>
      <c r="Z127" s="158">
        <v>5000</v>
      </c>
      <c r="AA127" s="158">
        <v>1</v>
      </c>
      <c r="AB127" s="158">
        <v>105</v>
      </c>
      <c r="AD127" s="158">
        <v>5.25</v>
      </c>
      <c r="AG127" s="11" t="s">
        <v>37</v>
      </c>
      <c r="AH127" s="189">
        <v>1.2E-5</v>
      </c>
      <c r="AI127" s="189">
        <v>5.8860821952094299E-4</v>
      </c>
      <c r="AJ127" s="189">
        <v>1.4301275701421399E-4</v>
      </c>
    </row>
    <row r="128" spans="1:36">
      <c r="A128" s="11" t="s">
        <v>26</v>
      </c>
      <c r="B128" s="11">
        <v>13711</v>
      </c>
      <c r="C128" s="11" t="s">
        <v>2589</v>
      </c>
      <c r="D128" s="11" t="s">
        <v>2590</v>
      </c>
      <c r="E128" s="4" t="s">
        <v>1552</v>
      </c>
      <c r="F128" s="11" t="s">
        <v>2591</v>
      </c>
      <c r="G128" s="11" t="s">
        <v>2592</v>
      </c>
      <c r="H128" s="11" t="s">
        <v>511</v>
      </c>
      <c r="I128" s="11" t="s">
        <v>945</v>
      </c>
      <c r="J128" s="11" t="s">
        <v>31</v>
      </c>
      <c r="K128" s="11" t="s">
        <v>31</v>
      </c>
      <c r="L128" s="11" t="s">
        <v>517</v>
      </c>
      <c r="M128" s="11" t="s">
        <v>32</v>
      </c>
      <c r="N128" s="11" t="s">
        <v>652</v>
      </c>
      <c r="O128" s="11" t="s">
        <v>312</v>
      </c>
      <c r="P128" s="11" t="s">
        <v>2418</v>
      </c>
      <c r="Q128" s="11" t="s">
        <v>604</v>
      </c>
      <c r="R128" s="11" t="s">
        <v>596</v>
      </c>
      <c r="S128" s="11" t="s">
        <v>35</v>
      </c>
      <c r="T128" s="158">
        <v>0.53400000000000003</v>
      </c>
      <c r="U128" s="11" t="s">
        <v>2593</v>
      </c>
      <c r="V128" s="174">
        <v>2.75E-2</v>
      </c>
      <c r="W128" s="189">
        <v>3.2379999999999999E-2</v>
      </c>
      <c r="X128" s="4" t="s">
        <v>602</v>
      </c>
      <c r="Y128" s="4" t="s">
        <v>312</v>
      </c>
      <c r="Z128" s="158">
        <v>7500</v>
      </c>
      <c r="AA128" s="158">
        <v>1</v>
      </c>
      <c r="AB128" s="158">
        <v>114.52</v>
      </c>
      <c r="AD128" s="158">
        <v>8.5890000000000004</v>
      </c>
      <c r="AG128" s="11" t="s">
        <v>37</v>
      </c>
      <c r="AH128" s="189">
        <v>5.3999999999999998E-5</v>
      </c>
      <c r="AI128" s="189">
        <v>9.6296304713626305E-4</v>
      </c>
      <c r="AJ128" s="189">
        <v>2.3396887047525501E-4</v>
      </c>
    </row>
    <row r="129" spans="1:36">
      <c r="A129" s="11" t="s">
        <v>26</v>
      </c>
      <c r="B129" s="11">
        <v>13711</v>
      </c>
      <c r="C129" s="11" t="s">
        <v>2589</v>
      </c>
      <c r="D129" s="11" t="s">
        <v>2590</v>
      </c>
      <c r="E129" s="4" t="s">
        <v>1552</v>
      </c>
      <c r="F129" s="11" t="s">
        <v>2594</v>
      </c>
      <c r="G129" s="11" t="s">
        <v>2595</v>
      </c>
      <c r="H129" s="11" t="s">
        <v>511</v>
      </c>
      <c r="I129" s="11" t="s">
        <v>945</v>
      </c>
      <c r="J129" s="11" t="s">
        <v>31</v>
      </c>
      <c r="K129" s="11" t="s">
        <v>31</v>
      </c>
      <c r="L129" s="11" t="s">
        <v>517</v>
      </c>
      <c r="M129" s="11" t="s">
        <v>32</v>
      </c>
      <c r="N129" s="11" t="s">
        <v>652</v>
      </c>
      <c r="O129" s="11" t="s">
        <v>312</v>
      </c>
      <c r="P129" s="11" t="s">
        <v>2418</v>
      </c>
      <c r="Q129" s="11" t="s">
        <v>604</v>
      </c>
      <c r="R129" s="11" t="s">
        <v>596</v>
      </c>
      <c r="S129" s="11" t="s">
        <v>35</v>
      </c>
      <c r="T129" s="158">
        <v>3.157</v>
      </c>
      <c r="U129" s="11" t="s">
        <v>2596</v>
      </c>
      <c r="V129" s="174">
        <v>1.9599999999999999E-2</v>
      </c>
      <c r="W129" s="189">
        <v>2.9319999999999999E-2</v>
      </c>
      <c r="X129" s="4" t="s">
        <v>602</v>
      </c>
      <c r="Y129" s="4" t="s">
        <v>312</v>
      </c>
      <c r="Z129" s="158">
        <v>61000</v>
      </c>
      <c r="AA129" s="158">
        <v>1</v>
      </c>
      <c r="AB129" s="158">
        <v>111.11</v>
      </c>
      <c r="AD129" s="158">
        <v>67.777000000000001</v>
      </c>
      <c r="AG129" s="11" t="s">
        <v>37</v>
      </c>
      <c r="AH129" s="189">
        <v>5.3000000000000001E-5</v>
      </c>
      <c r="AI129" s="189">
        <v>7.5988872676748401E-3</v>
      </c>
      <c r="AJ129" s="189">
        <v>1.8462837968434499E-3</v>
      </c>
    </row>
    <row r="130" spans="1:36">
      <c r="A130" s="11" t="s">
        <v>26</v>
      </c>
      <c r="B130" s="11">
        <v>13711</v>
      </c>
      <c r="C130" s="11" t="s">
        <v>2589</v>
      </c>
      <c r="D130" s="11" t="s">
        <v>2590</v>
      </c>
      <c r="E130" s="4" t="s">
        <v>1552</v>
      </c>
      <c r="F130" s="11" t="s">
        <v>2597</v>
      </c>
      <c r="G130" s="11" t="s">
        <v>2598</v>
      </c>
      <c r="H130" s="11" t="s">
        <v>511</v>
      </c>
      <c r="I130" s="11" t="s">
        <v>945</v>
      </c>
      <c r="J130" s="11" t="s">
        <v>31</v>
      </c>
      <c r="K130" s="11" t="s">
        <v>31</v>
      </c>
      <c r="L130" s="11" t="s">
        <v>517</v>
      </c>
      <c r="M130" s="11" t="s">
        <v>32</v>
      </c>
      <c r="N130" s="11" t="s">
        <v>652</v>
      </c>
      <c r="O130" s="11" t="s">
        <v>312</v>
      </c>
      <c r="P130" s="11" t="s">
        <v>2418</v>
      </c>
      <c r="Q130" s="11" t="s">
        <v>604</v>
      </c>
      <c r="R130" s="11" t="s">
        <v>596</v>
      </c>
      <c r="S130" s="11" t="s">
        <v>35</v>
      </c>
      <c r="T130" s="158">
        <v>6.0330000000000004</v>
      </c>
      <c r="U130" s="11" t="s">
        <v>2599</v>
      </c>
      <c r="V130" s="174">
        <v>1.5800000000000002E-2</v>
      </c>
      <c r="W130" s="189">
        <v>3.5290000000000002E-2</v>
      </c>
      <c r="X130" s="4" t="s">
        <v>602</v>
      </c>
      <c r="Y130" s="4" t="s">
        <v>312</v>
      </c>
      <c r="Z130" s="158">
        <v>25201.74</v>
      </c>
      <c r="AA130" s="158">
        <v>1</v>
      </c>
      <c r="AB130" s="158">
        <v>101.56</v>
      </c>
      <c r="AD130" s="158">
        <v>25.594999999999999</v>
      </c>
      <c r="AG130" s="11" t="s">
        <v>37</v>
      </c>
      <c r="AH130" s="189">
        <v>2.0000000000000002E-5</v>
      </c>
      <c r="AI130" s="189">
        <v>2.86959256203225E-3</v>
      </c>
      <c r="AJ130" s="189">
        <v>6.9721816684402101E-4</v>
      </c>
    </row>
    <row r="131" spans="1:36">
      <c r="A131" s="11" t="s">
        <v>26</v>
      </c>
      <c r="B131" s="11">
        <v>13711</v>
      </c>
      <c r="C131" s="11" t="s">
        <v>2600</v>
      </c>
      <c r="D131" s="11" t="s">
        <v>2601</v>
      </c>
      <c r="E131" s="4" t="s">
        <v>1552</v>
      </c>
      <c r="F131" s="11" t="s">
        <v>2602</v>
      </c>
      <c r="G131" s="11" t="s">
        <v>2603</v>
      </c>
      <c r="H131" s="11" t="s">
        <v>511</v>
      </c>
      <c r="I131" s="11" t="s">
        <v>945</v>
      </c>
      <c r="J131" s="11" t="s">
        <v>31</v>
      </c>
      <c r="K131" s="11" t="s">
        <v>31</v>
      </c>
      <c r="L131" s="11" t="s">
        <v>517</v>
      </c>
      <c r="M131" s="11" t="s">
        <v>32</v>
      </c>
      <c r="N131" s="11" t="s">
        <v>673</v>
      </c>
      <c r="O131" s="11" t="s">
        <v>312</v>
      </c>
      <c r="P131" s="11" t="s">
        <v>2161</v>
      </c>
      <c r="Q131" s="11" t="s">
        <v>358</v>
      </c>
      <c r="R131" s="11" t="s">
        <v>596</v>
      </c>
      <c r="S131" s="11" t="s">
        <v>35</v>
      </c>
      <c r="T131" s="158">
        <v>8.0000000000000002E-3</v>
      </c>
      <c r="U131" s="11" t="s">
        <v>361</v>
      </c>
      <c r="V131" s="174">
        <v>1.9800000000000002E-2</v>
      </c>
      <c r="W131" s="189">
        <v>6.3280000000000003E-2</v>
      </c>
      <c r="X131" s="4" t="s">
        <v>602</v>
      </c>
      <c r="Y131" s="4" t="s">
        <v>312</v>
      </c>
      <c r="Z131" s="158">
        <v>49267</v>
      </c>
      <c r="AA131" s="158">
        <v>1</v>
      </c>
      <c r="AB131" s="158">
        <v>114.69</v>
      </c>
      <c r="AD131" s="158">
        <v>56.503999999999998</v>
      </c>
      <c r="AG131" s="11" t="s">
        <v>37</v>
      </c>
      <c r="AH131" s="189">
        <v>3.2400000000000001E-4</v>
      </c>
      <c r="AI131" s="189">
        <v>6.3350301989029602E-3</v>
      </c>
      <c r="AJ131" s="189">
        <v>1.53920741244624E-3</v>
      </c>
    </row>
    <row r="132" spans="1:36">
      <c r="A132" s="11" t="s">
        <v>26</v>
      </c>
      <c r="B132" s="11">
        <v>13711</v>
      </c>
      <c r="C132" s="11" t="s">
        <v>2604</v>
      </c>
      <c r="D132" s="11" t="s">
        <v>2605</v>
      </c>
      <c r="E132" s="4" t="s">
        <v>504</v>
      </c>
      <c r="F132" s="11" t="s">
        <v>2606</v>
      </c>
      <c r="G132" s="11" t="s">
        <v>2607</v>
      </c>
      <c r="H132" s="11" t="s">
        <v>511</v>
      </c>
      <c r="I132" s="11" t="s">
        <v>1154</v>
      </c>
      <c r="J132" s="11" t="s">
        <v>154</v>
      </c>
      <c r="K132" s="11" t="s">
        <v>155</v>
      </c>
      <c r="L132" s="11" t="s">
        <v>517</v>
      </c>
      <c r="M132" s="11" t="s">
        <v>32</v>
      </c>
      <c r="N132" s="11" t="s">
        <v>653</v>
      </c>
      <c r="O132" s="11" t="s">
        <v>312</v>
      </c>
      <c r="P132" s="11" t="s">
        <v>2161</v>
      </c>
      <c r="Q132" s="11" t="s">
        <v>358</v>
      </c>
      <c r="R132" s="11" t="s">
        <v>596</v>
      </c>
      <c r="S132" s="11" t="s">
        <v>35</v>
      </c>
      <c r="T132" s="158">
        <v>0.41599999999999998</v>
      </c>
      <c r="U132" s="11" t="s">
        <v>2608</v>
      </c>
      <c r="V132" s="174">
        <v>3.9E-2</v>
      </c>
      <c r="W132" s="189">
        <v>5.9380000000000002E-2</v>
      </c>
      <c r="X132" s="4" t="s">
        <v>602</v>
      </c>
      <c r="Y132" s="4" t="s">
        <v>312</v>
      </c>
      <c r="Z132" s="158">
        <v>19166.66</v>
      </c>
      <c r="AA132" s="158">
        <v>1</v>
      </c>
      <c r="AB132" s="158">
        <v>99.53</v>
      </c>
      <c r="AD132" s="158">
        <v>19.077000000000002</v>
      </c>
      <c r="AG132" s="11" t="s">
        <v>37</v>
      </c>
      <c r="AH132" s="189">
        <v>4.8999999999999998E-5</v>
      </c>
      <c r="AI132" s="189">
        <v>2.1387866370979999E-3</v>
      </c>
      <c r="AJ132" s="189">
        <v>5.1965596723316102E-4</v>
      </c>
    </row>
    <row r="133" spans="1:36">
      <c r="A133" s="11" t="s">
        <v>26</v>
      </c>
      <c r="B133" s="11">
        <v>13711</v>
      </c>
      <c r="C133" s="11" t="s">
        <v>1895</v>
      </c>
      <c r="D133" s="11" t="s">
        <v>1896</v>
      </c>
      <c r="E133" s="4" t="s">
        <v>1552</v>
      </c>
      <c r="F133" s="11" t="s">
        <v>2609</v>
      </c>
      <c r="G133" s="11" t="s">
        <v>2610</v>
      </c>
      <c r="H133" s="11" t="s">
        <v>511</v>
      </c>
      <c r="I133" s="11" t="s">
        <v>945</v>
      </c>
      <c r="J133" s="11" t="s">
        <v>31</v>
      </c>
      <c r="K133" s="11" t="s">
        <v>31</v>
      </c>
      <c r="L133" s="11" t="s">
        <v>517</v>
      </c>
      <c r="M133" s="11" t="s">
        <v>32</v>
      </c>
      <c r="N133" s="11" t="s">
        <v>652</v>
      </c>
      <c r="O133" s="11" t="s">
        <v>312</v>
      </c>
      <c r="P133" s="11" t="s">
        <v>2571</v>
      </c>
      <c r="Q133" s="11" t="s">
        <v>604</v>
      </c>
      <c r="R133" s="11" t="s">
        <v>596</v>
      </c>
      <c r="S133" s="11" t="s">
        <v>35</v>
      </c>
      <c r="T133" s="158">
        <v>3.1429999999999998</v>
      </c>
      <c r="U133" s="11" t="s">
        <v>2611</v>
      </c>
      <c r="V133" s="174">
        <v>1.34E-2</v>
      </c>
      <c r="W133" s="189">
        <v>2.777E-2</v>
      </c>
      <c r="X133" s="4" t="s">
        <v>602</v>
      </c>
      <c r="Y133" s="4" t="s">
        <v>312</v>
      </c>
      <c r="Z133" s="158">
        <v>111692.44</v>
      </c>
      <c r="AA133" s="158">
        <v>1</v>
      </c>
      <c r="AB133" s="158">
        <v>110</v>
      </c>
      <c r="AC133" s="158">
        <v>11.637</v>
      </c>
      <c r="AD133" s="158">
        <v>134.499</v>
      </c>
      <c r="AG133" s="11" t="s">
        <v>37</v>
      </c>
      <c r="AH133" s="189">
        <v>3.8999999999999999E-5</v>
      </c>
      <c r="AI133" s="189">
        <v>1.50794882760182E-2</v>
      </c>
      <c r="AJ133" s="189">
        <v>3.6638278589994199E-3</v>
      </c>
    </row>
    <row r="134" spans="1:36">
      <c r="A134" s="11" t="s">
        <v>26</v>
      </c>
      <c r="B134" s="11">
        <v>13711</v>
      </c>
      <c r="C134" s="11" t="s">
        <v>1895</v>
      </c>
      <c r="D134" s="11" t="s">
        <v>1896</v>
      </c>
      <c r="E134" s="4" t="s">
        <v>1552</v>
      </c>
      <c r="F134" s="11" t="s">
        <v>2612</v>
      </c>
      <c r="G134" s="11" t="s">
        <v>2613</v>
      </c>
      <c r="H134" s="11" t="s">
        <v>511</v>
      </c>
      <c r="I134" s="11" t="s">
        <v>945</v>
      </c>
      <c r="J134" s="11" t="s">
        <v>31</v>
      </c>
      <c r="K134" s="11" t="s">
        <v>31</v>
      </c>
      <c r="L134" s="11" t="s">
        <v>517</v>
      </c>
      <c r="M134" s="11" t="s">
        <v>32</v>
      </c>
      <c r="N134" s="11" t="s">
        <v>652</v>
      </c>
      <c r="O134" s="11" t="s">
        <v>312</v>
      </c>
      <c r="P134" s="11" t="s">
        <v>2571</v>
      </c>
      <c r="Q134" s="11" t="s">
        <v>604</v>
      </c>
      <c r="R134" s="11" t="s">
        <v>596</v>
      </c>
      <c r="S134" s="11" t="s">
        <v>35</v>
      </c>
      <c r="T134" s="158">
        <v>2.7959999999999998</v>
      </c>
      <c r="U134" s="11" t="s">
        <v>2166</v>
      </c>
      <c r="V134" s="174">
        <v>1.77E-2</v>
      </c>
      <c r="W134" s="189">
        <v>2.615E-2</v>
      </c>
      <c r="X134" s="4" t="s">
        <v>602</v>
      </c>
      <c r="Y134" s="4" t="s">
        <v>312</v>
      </c>
      <c r="Z134" s="158">
        <v>30118.13</v>
      </c>
      <c r="AA134" s="158">
        <v>1</v>
      </c>
      <c r="AB134" s="158">
        <v>110.8</v>
      </c>
      <c r="AD134" s="158">
        <v>33.371000000000002</v>
      </c>
      <c r="AG134" s="11" t="s">
        <v>37</v>
      </c>
      <c r="AH134" s="189">
        <v>1.1E-5</v>
      </c>
      <c r="AI134" s="189">
        <v>3.7414055224870698E-3</v>
      </c>
      <c r="AJ134" s="189">
        <v>9.0904051478344196E-4</v>
      </c>
    </row>
    <row r="135" spans="1:36">
      <c r="A135" s="11" t="s">
        <v>26</v>
      </c>
      <c r="B135" s="11">
        <v>13711</v>
      </c>
      <c r="C135" s="11" t="s">
        <v>2614</v>
      </c>
      <c r="D135" s="11" t="s">
        <v>2615</v>
      </c>
      <c r="E135" s="4" t="s">
        <v>1552</v>
      </c>
      <c r="F135" s="11" t="s">
        <v>2616</v>
      </c>
      <c r="G135" s="11" t="s">
        <v>2617</v>
      </c>
      <c r="H135" s="11" t="s">
        <v>511</v>
      </c>
      <c r="I135" s="11" t="s">
        <v>1154</v>
      </c>
      <c r="J135" s="11" t="s">
        <v>31</v>
      </c>
      <c r="K135" s="11" t="s">
        <v>31</v>
      </c>
      <c r="L135" s="11" t="s">
        <v>517</v>
      </c>
      <c r="M135" s="11" t="s">
        <v>32</v>
      </c>
      <c r="N135" s="11" t="s">
        <v>652</v>
      </c>
      <c r="O135" s="11" t="s">
        <v>312</v>
      </c>
      <c r="P135" s="11" t="s">
        <v>157</v>
      </c>
      <c r="Q135" s="11" t="s">
        <v>604</v>
      </c>
      <c r="R135" s="11" t="s">
        <v>596</v>
      </c>
      <c r="S135" s="11" t="s">
        <v>35</v>
      </c>
      <c r="T135" s="158">
        <v>1.917</v>
      </c>
      <c r="U135" s="11" t="s">
        <v>2618</v>
      </c>
      <c r="V135" s="174">
        <v>1.44E-2</v>
      </c>
      <c r="W135" s="189">
        <v>4.7489999999999997E-2</v>
      </c>
      <c r="X135" s="4" t="s">
        <v>602</v>
      </c>
      <c r="Y135" s="4" t="s">
        <v>312</v>
      </c>
      <c r="Z135" s="158">
        <v>38000.33</v>
      </c>
      <c r="AA135" s="158">
        <v>1</v>
      </c>
      <c r="AB135" s="158">
        <v>94.32</v>
      </c>
      <c r="AD135" s="158">
        <v>35.841999999999999</v>
      </c>
      <c r="AG135" s="11" t="s">
        <v>37</v>
      </c>
      <c r="AH135" s="189">
        <v>9.5000000000000005E-5</v>
      </c>
      <c r="AI135" s="189">
        <v>4.0184463940231997E-3</v>
      </c>
      <c r="AJ135" s="189">
        <v>9.7635248483416402E-4</v>
      </c>
    </row>
    <row r="136" spans="1:36">
      <c r="A136" s="11" t="s">
        <v>26</v>
      </c>
      <c r="B136" s="11">
        <v>13711</v>
      </c>
      <c r="C136" s="11" t="s">
        <v>1903</v>
      </c>
      <c r="D136" s="11" t="s">
        <v>1904</v>
      </c>
      <c r="E136" s="4" t="s">
        <v>1552</v>
      </c>
      <c r="F136" s="11" t="s">
        <v>2619</v>
      </c>
      <c r="G136" s="11" t="s">
        <v>2620</v>
      </c>
      <c r="H136" s="11" t="s">
        <v>511</v>
      </c>
      <c r="I136" s="11" t="s">
        <v>1154</v>
      </c>
      <c r="J136" s="11" t="s">
        <v>31</v>
      </c>
      <c r="K136" s="11" t="s">
        <v>31</v>
      </c>
      <c r="L136" s="11" t="s">
        <v>517</v>
      </c>
      <c r="M136" s="11" t="s">
        <v>32</v>
      </c>
      <c r="N136" s="11" t="s">
        <v>636</v>
      </c>
      <c r="O136" s="11" t="s">
        <v>312</v>
      </c>
      <c r="P136" s="11" t="s">
        <v>157</v>
      </c>
      <c r="Q136" s="11" t="s">
        <v>604</v>
      </c>
      <c r="R136" s="11" t="s">
        <v>596</v>
      </c>
      <c r="S136" s="11" t="s">
        <v>35</v>
      </c>
      <c r="T136" s="158">
        <v>0.89800000000000002</v>
      </c>
      <c r="U136" s="11" t="s">
        <v>2621</v>
      </c>
      <c r="V136" s="174">
        <v>3.7600000000000001E-2</v>
      </c>
      <c r="W136" s="189">
        <v>4.4880000000000003E-2</v>
      </c>
      <c r="X136" s="4" t="s">
        <v>602</v>
      </c>
      <c r="Y136" s="4" t="s">
        <v>312</v>
      </c>
      <c r="Z136" s="158">
        <v>299000</v>
      </c>
      <c r="AA136" s="158">
        <v>1</v>
      </c>
      <c r="AB136" s="158">
        <v>99.71</v>
      </c>
      <c r="AD136" s="158">
        <v>298.13299999999998</v>
      </c>
      <c r="AG136" s="11" t="s">
        <v>37</v>
      </c>
      <c r="AH136" s="189">
        <v>2.4800000000000001E-4</v>
      </c>
      <c r="AI136" s="189">
        <v>3.3425423895164799E-2</v>
      </c>
      <c r="AJ136" s="189">
        <v>8.1212967591701001E-3</v>
      </c>
    </row>
    <row r="137" spans="1:36">
      <c r="A137" s="11" t="s">
        <v>26</v>
      </c>
      <c r="B137" s="11">
        <v>13711</v>
      </c>
      <c r="C137" s="11" t="s">
        <v>1903</v>
      </c>
      <c r="D137" s="11" t="s">
        <v>1904</v>
      </c>
      <c r="E137" s="4" t="s">
        <v>1552</v>
      </c>
      <c r="F137" s="11" t="s">
        <v>2622</v>
      </c>
      <c r="G137" s="11" t="s">
        <v>2623</v>
      </c>
      <c r="H137" s="11" t="s">
        <v>511</v>
      </c>
      <c r="I137" s="11" t="s">
        <v>945</v>
      </c>
      <c r="J137" s="11" t="s">
        <v>31</v>
      </c>
      <c r="K137" s="11" t="s">
        <v>31</v>
      </c>
      <c r="L137" s="11" t="s">
        <v>517</v>
      </c>
      <c r="M137" s="11" t="s">
        <v>32</v>
      </c>
      <c r="N137" s="11" t="s">
        <v>636</v>
      </c>
      <c r="O137" s="11" t="s">
        <v>312</v>
      </c>
      <c r="P137" s="11" t="s">
        <v>157</v>
      </c>
      <c r="Q137" s="11" t="s">
        <v>604</v>
      </c>
      <c r="R137" s="11" t="s">
        <v>596</v>
      </c>
      <c r="S137" s="11" t="s">
        <v>35</v>
      </c>
      <c r="T137" s="158">
        <v>3.806</v>
      </c>
      <c r="U137" s="11" t="s">
        <v>2624</v>
      </c>
      <c r="V137" s="174">
        <v>1E-3</v>
      </c>
      <c r="W137" s="189">
        <v>2.4920000000000001E-2</v>
      </c>
      <c r="X137" s="4" t="s">
        <v>602</v>
      </c>
      <c r="Y137" s="4" t="s">
        <v>312</v>
      </c>
      <c r="Z137" s="158">
        <v>120111.11</v>
      </c>
      <c r="AA137" s="158">
        <v>1</v>
      </c>
      <c r="AB137" s="158">
        <v>100.97</v>
      </c>
      <c r="AD137" s="158">
        <v>121.276</v>
      </c>
      <c r="AG137" s="11" t="s">
        <v>37</v>
      </c>
      <c r="AH137" s="189">
        <v>1.07E-4</v>
      </c>
      <c r="AI137" s="189">
        <v>1.3596983038442201E-2</v>
      </c>
      <c r="AJ137" s="189">
        <v>3.3036270424251801E-3</v>
      </c>
    </row>
    <row r="138" spans="1:36">
      <c r="A138" s="11" t="s">
        <v>26</v>
      </c>
      <c r="B138" s="11">
        <v>13711</v>
      </c>
      <c r="C138" s="11" t="s">
        <v>1903</v>
      </c>
      <c r="D138" s="11" t="s">
        <v>1904</v>
      </c>
      <c r="E138" s="4" t="s">
        <v>1552</v>
      </c>
      <c r="F138" s="11" t="s">
        <v>2625</v>
      </c>
      <c r="G138" s="11" t="s">
        <v>2626</v>
      </c>
      <c r="H138" s="11" t="s">
        <v>511</v>
      </c>
      <c r="I138" s="11" t="s">
        <v>945</v>
      </c>
      <c r="J138" s="11" t="s">
        <v>31</v>
      </c>
      <c r="K138" s="11" t="s">
        <v>31</v>
      </c>
      <c r="L138" s="11" t="s">
        <v>517</v>
      </c>
      <c r="M138" s="11" t="s">
        <v>32</v>
      </c>
      <c r="N138" s="11" t="s">
        <v>636</v>
      </c>
      <c r="O138" s="11" t="s">
        <v>312</v>
      </c>
      <c r="P138" s="11" t="s">
        <v>157</v>
      </c>
      <c r="Q138" s="11" t="s">
        <v>604</v>
      </c>
      <c r="R138" s="11" t="s">
        <v>596</v>
      </c>
      <c r="S138" s="11" t="s">
        <v>35</v>
      </c>
      <c r="T138" s="158">
        <v>4.1619999999999999</v>
      </c>
      <c r="U138" s="11" t="s">
        <v>2627</v>
      </c>
      <c r="V138" s="174">
        <v>1.3899999999999999E-2</v>
      </c>
      <c r="W138" s="189">
        <v>2.504E-2</v>
      </c>
      <c r="X138" s="4" t="s">
        <v>602</v>
      </c>
      <c r="Y138" s="4" t="s">
        <v>312</v>
      </c>
      <c r="Z138" s="158">
        <v>36000</v>
      </c>
      <c r="AA138" s="158">
        <v>1</v>
      </c>
      <c r="AB138" s="158">
        <v>101.46</v>
      </c>
      <c r="AD138" s="158">
        <v>36.526000000000003</v>
      </c>
      <c r="AG138" s="11" t="s">
        <v>37</v>
      </c>
      <c r="AH138" s="189">
        <v>2.0000000000000002E-5</v>
      </c>
      <c r="AI138" s="189">
        <v>4.0950987396065099E-3</v>
      </c>
      <c r="AJ138" s="189">
        <v>9.9497652525683505E-4</v>
      </c>
    </row>
    <row r="139" spans="1:36">
      <c r="A139" s="11" t="s">
        <v>26</v>
      </c>
      <c r="B139" s="11">
        <v>13711</v>
      </c>
      <c r="C139" s="11" t="s">
        <v>1903</v>
      </c>
      <c r="D139" s="11" t="s">
        <v>1904</v>
      </c>
      <c r="E139" s="4" t="s">
        <v>1552</v>
      </c>
      <c r="F139" s="11" t="s">
        <v>2628</v>
      </c>
      <c r="G139" s="11" t="s">
        <v>2629</v>
      </c>
      <c r="H139" s="11" t="s">
        <v>511</v>
      </c>
      <c r="I139" s="11" t="s">
        <v>945</v>
      </c>
      <c r="J139" s="11" t="s">
        <v>31</v>
      </c>
      <c r="K139" s="11" t="s">
        <v>31</v>
      </c>
      <c r="L139" s="11" t="s">
        <v>517</v>
      </c>
      <c r="M139" s="11" t="s">
        <v>32</v>
      </c>
      <c r="N139" s="11" t="s">
        <v>636</v>
      </c>
      <c r="O139" s="11" t="s">
        <v>312</v>
      </c>
      <c r="P139" s="11" t="s">
        <v>157</v>
      </c>
      <c r="Q139" s="11" t="s">
        <v>604</v>
      </c>
      <c r="R139" s="11" t="s">
        <v>596</v>
      </c>
      <c r="S139" s="11" t="s">
        <v>35</v>
      </c>
      <c r="T139" s="158">
        <v>2.2930000000000001</v>
      </c>
      <c r="U139" s="11" t="s">
        <v>2630</v>
      </c>
      <c r="V139" s="174">
        <v>6.0000000000000001E-3</v>
      </c>
      <c r="W139" s="189">
        <v>2.052E-2</v>
      </c>
      <c r="X139" s="4" t="s">
        <v>602</v>
      </c>
      <c r="Y139" s="4" t="s">
        <v>312</v>
      </c>
      <c r="Z139" s="158">
        <v>192000</v>
      </c>
      <c r="AA139" s="158">
        <v>1</v>
      </c>
      <c r="AB139" s="158">
        <v>110.68</v>
      </c>
      <c r="AD139" s="158">
        <v>212.506</v>
      </c>
      <c r="AG139" s="11" t="s">
        <v>37</v>
      </c>
      <c r="AH139" s="189">
        <v>2.1599999999999999E-4</v>
      </c>
      <c r="AI139" s="189">
        <v>2.3825246257948501E-2</v>
      </c>
      <c r="AJ139" s="189">
        <v>5.7887641403732999E-3</v>
      </c>
    </row>
    <row r="140" spans="1:36">
      <c r="A140" s="11" t="s">
        <v>26</v>
      </c>
      <c r="B140" s="11">
        <v>13711</v>
      </c>
      <c r="C140" s="11" t="s">
        <v>1903</v>
      </c>
      <c r="D140" s="11" t="s">
        <v>1904</v>
      </c>
      <c r="E140" s="4" t="s">
        <v>1552</v>
      </c>
      <c r="F140" s="11" t="s">
        <v>2631</v>
      </c>
      <c r="G140" s="11" t="s">
        <v>2632</v>
      </c>
      <c r="H140" s="11" t="s">
        <v>511</v>
      </c>
      <c r="I140" s="11" t="s">
        <v>945</v>
      </c>
      <c r="J140" s="11" t="s">
        <v>31</v>
      </c>
      <c r="K140" s="11" t="s">
        <v>31</v>
      </c>
      <c r="L140" s="11" t="s">
        <v>517</v>
      </c>
      <c r="M140" s="11" t="s">
        <v>32</v>
      </c>
      <c r="N140" s="11" t="s">
        <v>636</v>
      </c>
      <c r="O140" s="11" t="s">
        <v>312</v>
      </c>
      <c r="P140" s="11" t="s">
        <v>157</v>
      </c>
      <c r="Q140" s="11" t="s">
        <v>604</v>
      </c>
      <c r="R140" s="11" t="s">
        <v>596</v>
      </c>
      <c r="S140" s="11" t="s">
        <v>35</v>
      </c>
      <c r="T140" s="158">
        <v>3.262</v>
      </c>
      <c r="U140" s="11" t="s">
        <v>2633</v>
      </c>
      <c r="V140" s="174">
        <v>1.7500000000000002E-2</v>
      </c>
      <c r="W140" s="189">
        <v>2.4060000000000002E-2</v>
      </c>
      <c r="X140" s="4" t="s">
        <v>602</v>
      </c>
      <c r="Y140" s="4" t="s">
        <v>312</v>
      </c>
      <c r="Z140" s="158">
        <v>146000.81</v>
      </c>
      <c r="AA140" s="158">
        <v>1</v>
      </c>
      <c r="AB140" s="158">
        <v>111.51</v>
      </c>
      <c r="AD140" s="158">
        <v>162.80600000000001</v>
      </c>
      <c r="AG140" s="11" t="s">
        <v>37</v>
      </c>
      <c r="AH140" s="189">
        <v>5.5999999999999999E-5</v>
      </c>
      <c r="AI140" s="189">
        <v>1.8253077597144798E-2</v>
      </c>
      <c r="AJ140" s="189">
        <v>4.4349074046003602E-3</v>
      </c>
    </row>
    <row r="141" spans="1:36">
      <c r="A141" s="11" t="s">
        <v>26</v>
      </c>
      <c r="B141" s="11">
        <v>13711</v>
      </c>
      <c r="C141" s="11" t="s">
        <v>1907</v>
      </c>
      <c r="D141" s="11" t="s">
        <v>1908</v>
      </c>
      <c r="E141" s="4" t="s">
        <v>1552</v>
      </c>
      <c r="F141" s="11" t="s">
        <v>2634</v>
      </c>
      <c r="G141" s="11" t="s">
        <v>2635</v>
      </c>
      <c r="H141" s="11" t="s">
        <v>511</v>
      </c>
      <c r="I141" s="11" t="s">
        <v>1154</v>
      </c>
      <c r="J141" s="11" t="s">
        <v>31</v>
      </c>
      <c r="K141" s="11" t="s">
        <v>31</v>
      </c>
      <c r="L141" s="11" t="s">
        <v>517</v>
      </c>
      <c r="M141" s="11" t="s">
        <v>32</v>
      </c>
      <c r="N141" s="11" t="s">
        <v>665</v>
      </c>
      <c r="O141" s="11" t="s">
        <v>312</v>
      </c>
      <c r="P141" s="11" t="s">
        <v>2418</v>
      </c>
      <c r="Q141" s="11" t="s">
        <v>604</v>
      </c>
      <c r="R141" s="11" t="s">
        <v>596</v>
      </c>
      <c r="S141" s="11" t="s">
        <v>35</v>
      </c>
      <c r="T141" s="158">
        <v>1.5780000000000001</v>
      </c>
      <c r="U141" s="11" t="s">
        <v>2636</v>
      </c>
      <c r="V141" s="174">
        <v>2.29E-2</v>
      </c>
      <c r="W141" s="189">
        <v>4.9180000000000001E-2</v>
      </c>
      <c r="X141" s="4" t="s">
        <v>602</v>
      </c>
      <c r="Y141" s="4" t="s">
        <v>312</v>
      </c>
      <c r="Z141" s="158">
        <v>2153.84</v>
      </c>
      <c r="AA141" s="158">
        <v>1</v>
      </c>
      <c r="AB141" s="158">
        <v>96.26</v>
      </c>
      <c r="AD141" s="158">
        <v>2.073</v>
      </c>
      <c r="AG141" s="11" t="s">
        <v>37</v>
      </c>
      <c r="AH141" s="189">
        <v>5.0000000000000004E-6</v>
      </c>
      <c r="AI141" s="189">
        <v>2.3244826800823901E-4</v>
      </c>
      <c r="AJ141" s="189">
        <v>5.6477409877308799E-5</v>
      </c>
    </row>
    <row r="142" spans="1:36">
      <c r="A142" s="11" t="s">
        <v>26</v>
      </c>
      <c r="B142" s="11">
        <v>13711</v>
      </c>
      <c r="C142" s="11" t="s">
        <v>1907</v>
      </c>
      <c r="D142" s="11" t="s">
        <v>1908</v>
      </c>
      <c r="E142" s="4" t="s">
        <v>1552</v>
      </c>
      <c r="F142" s="11" t="s">
        <v>2637</v>
      </c>
      <c r="G142" s="11" t="s">
        <v>2638</v>
      </c>
      <c r="H142" s="11" t="s">
        <v>511</v>
      </c>
      <c r="I142" s="11" t="s">
        <v>1154</v>
      </c>
      <c r="J142" s="11" t="s">
        <v>31</v>
      </c>
      <c r="K142" s="11" t="s">
        <v>31</v>
      </c>
      <c r="L142" s="11" t="s">
        <v>517</v>
      </c>
      <c r="M142" s="11" t="s">
        <v>32</v>
      </c>
      <c r="N142" s="11" t="s">
        <v>665</v>
      </c>
      <c r="O142" s="11" t="s">
        <v>312</v>
      </c>
      <c r="P142" s="11" t="s">
        <v>2418</v>
      </c>
      <c r="Q142" s="11" t="s">
        <v>604</v>
      </c>
      <c r="R142" s="11" t="s">
        <v>596</v>
      </c>
      <c r="S142" s="11" t="s">
        <v>35</v>
      </c>
      <c r="T142" s="158">
        <v>0.03</v>
      </c>
      <c r="U142" s="11" t="s">
        <v>2639</v>
      </c>
      <c r="V142" s="174">
        <v>2.8000000000000001E-2</v>
      </c>
      <c r="W142" s="189">
        <v>0.24138999999999999</v>
      </c>
      <c r="X142" s="4" t="s">
        <v>602</v>
      </c>
      <c r="Y142" s="4" t="s">
        <v>312</v>
      </c>
      <c r="Z142" s="158">
        <v>2442</v>
      </c>
      <c r="AA142" s="158">
        <v>1</v>
      </c>
      <c r="AB142" s="158">
        <v>101.16</v>
      </c>
      <c r="AD142" s="158">
        <v>2.4700000000000002</v>
      </c>
      <c r="AG142" s="11" t="s">
        <v>37</v>
      </c>
      <c r="AH142" s="189">
        <v>7.1000000000000005E-5</v>
      </c>
      <c r="AI142" s="189">
        <v>2.76962837109744E-4</v>
      </c>
      <c r="AJ142" s="189">
        <v>6.7293010209372296E-5</v>
      </c>
    </row>
    <row r="143" spans="1:36">
      <c r="A143" s="11" t="s">
        <v>26</v>
      </c>
      <c r="B143" s="11">
        <v>13711</v>
      </c>
      <c r="C143" s="11" t="s">
        <v>1947</v>
      </c>
      <c r="D143" s="11" t="s">
        <v>1948</v>
      </c>
      <c r="E143" s="4" t="s">
        <v>1552</v>
      </c>
      <c r="F143" s="11" t="s">
        <v>2640</v>
      </c>
      <c r="G143" s="11" t="s">
        <v>2641</v>
      </c>
      <c r="H143" s="11" t="s">
        <v>511</v>
      </c>
      <c r="I143" s="11" t="s">
        <v>1154</v>
      </c>
      <c r="J143" s="11" t="s">
        <v>31</v>
      </c>
      <c r="K143" s="11" t="s">
        <v>31</v>
      </c>
      <c r="L143" s="11" t="s">
        <v>517</v>
      </c>
      <c r="M143" s="11" t="s">
        <v>32</v>
      </c>
      <c r="N143" s="11" t="s">
        <v>635</v>
      </c>
      <c r="O143" s="11" t="s">
        <v>312</v>
      </c>
      <c r="P143" s="11" t="s">
        <v>174</v>
      </c>
      <c r="Q143" s="11" t="s">
        <v>604</v>
      </c>
      <c r="R143" s="11" t="s">
        <v>596</v>
      </c>
      <c r="S143" s="11" t="s">
        <v>35</v>
      </c>
      <c r="T143" s="158">
        <v>4.0069999999999997</v>
      </c>
      <c r="U143" s="11" t="s">
        <v>219</v>
      </c>
      <c r="V143" s="174">
        <v>5.8900000000000001E-2</v>
      </c>
      <c r="W143" s="189">
        <v>6.2829999999999997E-2</v>
      </c>
      <c r="X143" s="4" t="s">
        <v>602</v>
      </c>
      <c r="Y143" s="4" t="s">
        <v>312</v>
      </c>
      <c r="Z143" s="158">
        <v>30000</v>
      </c>
      <c r="AA143" s="158">
        <v>1</v>
      </c>
      <c r="AB143" s="158">
        <v>98.86</v>
      </c>
      <c r="AD143" s="158">
        <v>29.658000000000001</v>
      </c>
      <c r="AG143" s="11" t="s">
        <v>37</v>
      </c>
      <c r="AH143" s="189">
        <v>1.4899999999999999E-4</v>
      </c>
      <c r="AI143" s="189">
        <v>3.3251319189623102E-3</v>
      </c>
      <c r="AJ143" s="189">
        <v>8.0789949476715601E-4</v>
      </c>
    </row>
    <row r="144" spans="1:36">
      <c r="A144" s="11" t="s">
        <v>26</v>
      </c>
      <c r="B144" s="11">
        <v>13711</v>
      </c>
      <c r="C144" s="11" t="s">
        <v>2642</v>
      </c>
      <c r="D144" s="11" t="s">
        <v>2643</v>
      </c>
      <c r="E144" s="4" t="s">
        <v>1552</v>
      </c>
      <c r="F144" s="11" t="s">
        <v>2644</v>
      </c>
      <c r="G144" s="11" t="s">
        <v>2645</v>
      </c>
      <c r="H144" s="11" t="s">
        <v>511</v>
      </c>
      <c r="I144" s="11" t="s">
        <v>1154</v>
      </c>
      <c r="J144" s="11" t="s">
        <v>31</v>
      </c>
      <c r="K144" s="11" t="s">
        <v>31</v>
      </c>
      <c r="L144" s="11" t="s">
        <v>517</v>
      </c>
      <c r="M144" s="11" t="s">
        <v>32</v>
      </c>
      <c r="N144" s="11" t="s">
        <v>653</v>
      </c>
      <c r="O144" s="11" t="s">
        <v>312</v>
      </c>
      <c r="P144" s="11" t="s">
        <v>174</v>
      </c>
      <c r="Q144" s="11" t="s">
        <v>604</v>
      </c>
      <c r="R144" s="11" t="s">
        <v>596</v>
      </c>
      <c r="S144" s="11" t="s">
        <v>35</v>
      </c>
      <c r="T144" s="158">
        <v>1.629</v>
      </c>
      <c r="U144" s="11" t="s">
        <v>2198</v>
      </c>
      <c r="V144" s="174">
        <v>4.99E-2</v>
      </c>
      <c r="W144" s="189">
        <v>5.1920000000000001E-2</v>
      </c>
      <c r="X144" s="4" t="s">
        <v>602</v>
      </c>
      <c r="Y144" s="4" t="s">
        <v>312</v>
      </c>
      <c r="Z144" s="158">
        <v>56903.73</v>
      </c>
      <c r="AA144" s="158">
        <v>1</v>
      </c>
      <c r="AB144" s="158">
        <v>101.04</v>
      </c>
      <c r="AD144" s="158">
        <v>57.496000000000002</v>
      </c>
      <c r="AG144" s="11" t="s">
        <v>37</v>
      </c>
      <c r="AH144" s="189">
        <v>1.8100000000000001E-4</v>
      </c>
      <c r="AI144" s="189">
        <v>6.4461601586046201E-3</v>
      </c>
      <c r="AJ144" s="189">
        <v>1.5662083978160101E-3</v>
      </c>
    </row>
    <row r="145" spans="1:36">
      <c r="A145" s="11" t="s">
        <v>26</v>
      </c>
      <c r="B145" s="11">
        <v>13711</v>
      </c>
      <c r="C145" s="11" t="s">
        <v>2646</v>
      </c>
      <c r="D145" s="11" t="s">
        <v>2647</v>
      </c>
      <c r="E145" s="4" t="s">
        <v>1552</v>
      </c>
      <c r="F145" s="11" t="s">
        <v>2648</v>
      </c>
      <c r="G145" s="11" t="s">
        <v>2649</v>
      </c>
      <c r="H145" s="11" t="s">
        <v>511</v>
      </c>
      <c r="I145" s="11" t="s">
        <v>1154</v>
      </c>
      <c r="J145" s="11" t="s">
        <v>31</v>
      </c>
      <c r="K145" s="11" t="s">
        <v>31</v>
      </c>
      <c r="L145" s="11" t="s">
        <v>517</v>
      </c>
      <c r="M145" s="11" t="s">
        <v>32</v>
      </c>
      <c r="N145" s="11" t="s">
        <v>649</v>
      </c>
      <c r="O145" s="11" t="s">
        <v>312</v>
      </c>
      <c r="P145" s="11" t="s">
        <v>174</v>
      </c>
      <c r="Q145" s="11" t="s">
        <v>604</v>
      </c>
      <c r="R145" s="11" t="s">
        <v>596</v>
      </c>
      <c r="S145" s="11" t="s">
        <v>35</v>
      </c>
      <c r="T145" s="158">
        <v>1.456</v>
      </c>
      <c r="U145" s="11" t="s">
        <v>2333</v>
      </c>
      <c r="V145" s="174">
        <v>3.2500000000000001E-2</v>
      </c>
      <c r="W145" s="189">
        <v>5.3999999999999999E-2</v>
      </c>
      <c r="X145" s="4" t="s">
        <v>602</v>
      </c>
      <c r="Y145" s="4" t="s">
        <v>312</v>
      </c>
      <c r="Z145" s="158">
        <v>3125.91</v>
      </c>
      <c r="AA145" s="158">
        <v>1</v>
      </c>
      <c r="AB145" s="158">
        <v>97.08</v>
      </c>
      <c r="AD145" s="158">
        <v>3.0350000000000001</v>
      </c>
      <c r="AG145" s="11" t="s">
        <v>37</v>
      </c>
      <c r="AH145" s="189">
        <v>1.0000000000000001E-5</v>
      </c>
      <c r="AI145" s="189">
        <v>3.4023051027691698E-4</v>
      </c>
      <c r="AJ145" s="189">
        <v>8.2665008203005002E-5</v>
      </c>
    </row>
    <row r="146" spans="1:36">
      <c r="A146" s="11" t="s">
        <v>26</v>
      </c>
      <c r="B146" s="11">
        <v>13711</v>
      </c>
      <c r="C146" s="11" t="s">
        <v>2650</v>
      </c>
      <c r="D146" s="11" t="s">
        <v>2651</v>
      </c>
      <c r="E146" s="4" t="s">
        <v>1552</v>
      </c>
      <c r="F146" s="11" t="s">
        <v>2652</v>
      </c>
      <c r="G146" s="11" t="s">
        <v>2653</v>
      </c>
      <c r="H146" s="11" t="s">
        <v>511</v>
      </c>
      <c r="I146" s="11" t="s">
        <v>1154</v>
      </c>
      <c r="J146" s="11" t="s">
        <v>31</v>
      </c>
      <c r="K146" s="18" t="s">
        <v>31</v>
      </c>
      <c r="L146" s="11" t="s">
        <v>517</v>
      </c>
      <c r="M146" s="11" t="s">
        <v>342</v>
      </c>
      <c r="N146" s="11" t="s">
        <v>635</v>
      </c>
      <c r="O146" s="11" t="s">
        <v>312</v>
      </c>
      <c r="P146" s="11" t="s">
        <v>2221</v>
      </c>
      <c r="Q146" s="11" t="s">
        <v>604</v>
      </c>
      <c r="R146" s="11" t="s">
        <v>596</v>
      </c>
      <c r="S146" s="11" t="s">
        <v>35</v>
      </c>
      <c r="T146" s="158">
        <v>0.98399999999999999</v>
      </c>
      <c r="U146" s="11" t="s">
        <v>2188</v>
      </c>
      <c r="V146" s="174">
        <v>4.3999999999999997E-2</v>
      </c>
      <c r="W146" s="189">
        <v>6.0580000000000002E-2</v>
      </c>
      <c r="X146" s="4" t="s">
        <v>602</v>
      </c>
      <c r="Y146" s="4" t="s">
        <v>312</v>
      </c>
      <c r="Z146" s="158">
        <v>22200</v>
      </c>
      <c r="AA146" s="158">
        <v>1</v>
      </c>
      <c r="AB146" s="158">
        <v>98.53</v>
      </c>
      <c r="AD146" s="158">
        <v>21.873999999999999</v>
      </c>
      <c r="AG146" s="11" t="s">
        <v>37</v>
      </c>
      <c r="AH146" s="189">
        <v>1.6799999999999999E-4</v>
      </c>
      <c r="AI146" s="189">
        <v>2.4523840127631401E-3</v>
      </c>
      <c r="AJ146" s="189">
        <v>5.9584998525553099E-4</v>
      </c>
    </row>
    <row r="147" spans="1:36">
      <c r="A147" s="11" t="s">
        <v>26</v>
      </c>
      <c r="B147" s="11">
        <v>13711</v>
      </c>
      <c r="C147" s="11" t="s">
        <v>2654</v>
      </c>
      <c r="D147" s="11" t="s">
        <v>2655</v>
      </c>
      <c r="E147" s="4" t="s">
        <v>1552</v>
      </c>
      <c r="F147" s="11" t="s">
        <v>2656</v>
      </c>
      <c r="G147" s="11" t="s">
        <v>2657</v>
      </c>
      <c r="H147" s="11" t="s">
        <v>511</v>
      </c>
      <c r="I147" s="11" t="s">
        <v>1154</v>
      </c>
      <c r="J147" s="11" t="s">
        <v>31</v>
      </c>
      <c r="K147" s="11" t="s">
        <v>31</v>
      </c>
      <c r="L147" s="11" t="s">
        <v>517</v>
      </c>
      <c r="M147" s="11" t="s">
        <v>32</v>
      </c>
      <c r="N147" s="11" t="s">
        <v>635</v>
      </c>
      <c r="O147" s="11" t="s">
        <v>312</v>
      </c>
      <c r="P147" s="11" t="s">
        <v>2327</v>
      </c>
      <c r="Q147" s="11" t="s">
        <v>358</v>
      </c>
      <c r="R147" s="11" t="s">
        <v>596</v>
      </c>
      <c r="S147" s="11" t="s">
        <v>35</v>
      </c>
      <c r="T147" s="158">
        <v>0.98</v>
      </c>
      <c r="U147" s="11" t="s">
        <v>2317</v>
      </c>
      <c r="V147" s="174">
        <v>4.9500000000000002E-2</v>
      </c>
      <c r="W147" s="189">
        <v>5.5849999999999997E-2</v>
      </c>
      <c r="X147" s="4" t="s">
        <v>602</v>
      </c>
      <c r="Y147" s="4" t="s">
        <v>312</v>
      </c>
      <c r="Z147" s="158">
        <v>15000</v>
      </c>
      <c r="AA147" s="158">
        <v>1</v>
      </c>
      <c r="AB147" s="158">
        <v>99.24</v>
      </c>
      <c r="AD147" s="158">
        <v>14.885999999999999</v>
      </c>
      <c r="AG147" s="11" t="s">
        <v>37</v>
      </c>
      <c r="AH147" s="189">
        <v>1.7000000000000001E-4</v>
      </c>
      <c r="AI147" s="189">
        <v>1.66895656300738E-3</v>
      </c>
      <c r="AJ147" s="189">
        <v>4.0550245731687498E-4</v>
      </c>
    </row>
    <row r="148" spans="1:36">
      <c r="A148" s="11" t="s">
        <v>26</v>
      </c>
      <c r="B148" s="11">
        <v>13711</v>
      </c>
      <c r="C148" s="11" t="s">
        <v>2658</v>
      </c>
      <c r="D148" s="11" t="s">
        <v>2659</v>
      </c>
      <c r="E148" s="4" t="s">
        <v>1552</v>
      </c>
      <c r="F148" s="11" t="s">
        <v>2660</v>
      </c>
      <c r="G148" s="11" t="s">
        <v>2661</v>
      </c>
      <c r="H148" s="11" t="s">
        <v>511</v>
      </c>
      <c r="I148" s="11" t="s">
        <v>1154</v>
      </c>
      <c r="J148" s="11" t="s">
        <v>31</v>
      </c>
      <c r="K148" s="11" t="s">
        <v>31</v>
      </c>
      <c r="L148" s="11" t="s">
        <v>517</v>
      </c>
      <c r="M148" s="11" t="s">
        <v>32</v>
      </c>
      <c r="N148" s="11" t="s">
        <v>650</v>
      </c>
      <c r="O148" s="11" t="s">
        <v>312</v>
      </c>
      <c r="P148" s="11" t="s">
        <v>2394</v>
      </c>
      <c r="Q148" s="11" t="s">
        <v>358</v>
      </c>
      <c r="R148" s="11" t="s">
        <v>596</v>
      </c>
      <c r="S148" s="11" t="s">
        <v>35</v>
      </c>
      <c r="T148" s="158">
        <v>1.133</v>
      </c>
      <c r="U148" s="11" t="s">
        <v>2662</v>
      </c>
      <c r="V148" s="174">
        <v>2.75E-2</v>
      </c>
      <c r="W148" s="189">
        <v>5.092E-2</v>
      </c>
      <c r="X148" s="4" t="s">
        <v>602</v>
      </c>
      <c r="Y148" s="4" t="s">
        <v>312</v>
      </c>
      <c r="Z148" s="158">
        <v>39419.839999999997</v>
      </c>
      <c r="AA148" s="158">
        <v>1</v>
      </c>
      <c r="AB148" s="158">
        <v>98.38</v>
      </c>
      <c r="AD148" s="158">
        <v>38.780999999999999</v>
      </c>
      <c r="AG148" s="11" t="s">
        <v>37</v>
      </c>
      <c r="AH148" s="189">
        <v>1.75E-4</v>
      </c>
      <c r="AI148" s="189">
        <v>4.3479915806579001E-3</v>
      </c>
      <c r="AJ148" s="189">
        <v>1.0564213050415199E-3</v>
      </c>
    </row>
    <row r="149" spans="1:36">
      <c r="A149" s="11" t="s">
        <v>26</v>
      </c>
      <c r="B149" s="11">
        <v>13711</v>
      </c>
      <c r="C149" s="11" t="s">
        <v>2658</v>
      </c>
      <c r="D149" s="11" t="s">
        <v>2659</v>
      </c>
      <c r="E149" s="4" t="s">
        <v>1552</v>
      </c>
      <c r="F149" s="11" t="s">
        <v>2663</v>
      </c>
      <c r="G149" s="11" t="s">
        <v>2664</v>
      </c>
      <c r="H149" s="11" t="s">
        <v>511</v>
      </c>
      <c r="I149" s="11" t="s">
        <v>1154</v>
      </c>
      <c r="J149" s="11" t="s">
        <v>31</v>
      </c>
      <c r="K149" s="11" t="s">
        <v>31</v>
      </c>
      <c r="L149" s="11" t="s">
        <v>517</v>
      </c>
      <c r="M149" s="11" t="s">
        <v>32</v>
      </c>
      <c r="N149" s="11" t="s">
        <v>650</v>
      </c>
      <c r="O149" s="11" t="s">
        <v>312</v>
      </c>
      <c r="P149" s="11" t="s">
        <v>2394</v>
      </c>
      <c r="Q149" s="11" t="s">
        <v>358</v>
      </c>
      <c r="R149" s="11" t="s">
        <v>596</v>
      </c>
      <c r="S149" s="11" t="s">
        <v>35</v>
      </c>
      <c r="T149" s="158">
        <v>2.1419999999999999</v>
      </c>
      <c r="U149" s="11" t="s">
        <v>2665</v>
      </c>
      <c r="V149" s="174">
        <v>2.1499999999999998E-2</v>
      </c>
      <c r="W149" s="189">
        <v>5.5379999999999999E-2</v>
      </c>
      <c r="X149" s="4" t="s">
        <v>602</v>
      </c>
      <c r="Y149" s="4" t="s">
        <v>312</v>
      </c>
      <c r="Z149" s="158">
        <v>9446.1</v>
      </c>
      <c r="AA149" s="158">
        <v>1</v>
      </c>
      <c r="AB149" s="158">
        <v>93.09</v>
      </c>
      <c r="AC149" s="158">
        <v>0.60799999999999998</v>
      </c>
      <c r="AD149" s="158">
        <v>9.4019999999999992</v>
      </c>
      <c r="AG149" s="11" t="s">
        <v>37</v>
      </c>
      <c r="AH149" s="189">
        <v>1.0000000000000001E-5</v>
      </c>
      <c r="AI149" s="189">
        <v>1.0540901933448999E-3</v>
      </c>
      <c r="AJ149" s="189">
        <v>2.5610981921827598E-4</v>
      </c>
    </row>
    <row r="150" spans="1:36">
      <c r="A150" s="11" t="s">
        <v>26</v>
      </c>
      <c r="B150" s="11">
        <v>13711</v>
      </c>
      <c r="C150" s="11" t="s">
        <v>2666</v>
      </c>
      <c r="D150" s="11" t="s">
        <v>2667</v>
      </c>
      <c r="E150" s="4" t="s">
        <v>1552</v>
      </c>
      <c r="F150" s="11" t="s">
        <v>2668</v>
      </c>
      <c r="G150" s="11" t="s">
        <v>2669</v>
      </c>
      <c r="H150" s="11" t="s">
        <v>511</v>
      </c>
      <c r="I150" s="11" t="s">
        <v>945</v>
      </c>
      <c r="J150" s="11" t="s">
        <v>31</v>
      </c>
      <c r="K150" s="11" t="s">
        <v>31</v>
      </c>
      <c r="L150" s="11" t="s">
        <v>517</v>
      </c>
      <c r="M150" s="11" t="s">
        <v>32</v>
      </c>
      <c r="N150" s="11" t="s">
        <v>652</v>
      </c>
      <c r="O150" s="11" t="s">
        <v>312</v>
      </c>
      <c r="P150" s="11" t="s">
        <v>2169</v>
      </c>
      <c r="Q150" s="11" t="s">
        <v>604</v>
      </c>
      <c r="R150" s="11" t="s">
        <v>596</v>
      </c>
      <c r="S150" s="11" t="s">
        <v>35</v>
      </c>
      <c r="T150" s="158">
        <v>1.4059999999999999</v>
      </c>
      <c r="U150" s="11" t="s">
        <v>2670</v>
      </c>
      <c r="V150" s="174">
        <v>1.6E-2</v>
      </c>
      <c r="W150" s="189">
        <v>2.6790000000000001E-2</v>
      </c>
      <c r="X150" s="4" t="s">
        <v>602</v>
      </c>
      <c r="Y150" s="4" t="s">
        <v>312</v>
      </c>
      <c r="Z150" s="158">
        <v>107000</v>
      </c>
      <c r="AA150" s="158">
        <v>1</v>
      </c>
      <c r="AB150" s="158">
        <v>113.63</v>
      </c>
      <c r="AD150" s="158">
        <v>121.584</v>
      </c>
      <c r="AG150" s="11" t="s">
        <v>37</v>
      </c>
      <c r="AH150" s="189">
        <v>2.7599999999999999E-4</v>
      </c>
      <c r="AI150" s="189">
        <v>1.36315048805822E-2</v>
      </c>
      <c r="AJ150" s="189">
        <v>3.31201473335084E-3</v>
      </c>
    </row>
    <row r="151" spans="1:36">
      <c r="A151" s="11" t="s">
        <v>26</v>
      </c>
      <c r="B151" s="11">
        <v>13711</v>
      </c>
      <c r="C151" s="11" t="s">
        <v>2666</v>
      </c>
      <c r="D151" s="11" t="s">
        <v>2667</v>
      </c>
      <c r="E151" s="4" t="s">
        <v>1552</v>
      </c>
      <c r="F151" s="11" t="s">
        <v>2671</v>
      </c>
      <c r="G151" s="11" t="s">
        <v>2672</v>
      </c>
      <c r="H151" s="11" t="s">
        <v>511</v>
      </c>
      <c r="I151" s="11" t="s">
        <v>945</v>
      </c>
      <c r="J151" s="11" t="s">
        <v>31</v>
      </c>
      <c r="K151" s="11" t="s">
        <v>31</v>
      </c>
      <c r="L151" s="11" t="s">
        <v>517</v>
      </c>
      <c r="M151" s="11" t="s">
        <v>32</v>
      </c>
      <c r="N151" s="11" t="s">
        <v>652</v>
      </c>
      <c r="O151" s="11" t="s">
        <v>312</v>
      </c>
      <c r="P151" s="11" t="s">
        <v>2169</v>
      </c>
      <c r="Q151" s="11" t="s">
        <v>358</v>
      </c>
      <c r="R151" s="11" t="s">
        <v>596</v>
      </c>
      <c r="S151" s="11" t="s">
        <v>35</v>
      </c>
      <c r="T151" s="158">
        <v>2.484</v>
      </c>
      <c r="U151" s="11" t="s">
        <v>134</v>
      </c>
      <c r="V151" s="174">
        <v>1.4200000000000001E-2</v>
      </c>
      <c r="W151" s="189">
        <v>2.5100000000000001E-2</v>
      </c>
      <c r="X151" s="4" t="s">
        <v>602</v>
      </c>
      <c r="Y151" s="4" t="s">
        <v>312</v>
      </c>
      <c r="Z151" s="158">
        <v>92601.51</v>
      </c>
      <c r="AA151" s="158">
        <v>1</v>
      </c>
      <c r="AB151" s="158">
        <v>110.8</v>
      </c>
      <c r="AD151" s="158">
        <v>102.602</v>
      </c>
      <c r="AG151" s="11" t="s">
        <v>37</v>
      </c>
      <c r="AH151" s="189">
        <v>7.7999999999999999E-5</v>
      </c>
      <c r="AI151" s="189">
        <v>1.1503363618678901E-2</v>
      </c>
      <c r="AJ151" s="189">
        <v>2.7949452479328601E-3</v>
      </c>
    </row>
    <row r="152" spans="1:36">
      <c r="A152" s="11" t="s">
        <v>26</v>
      </c>
      <c r="B152" s="11">
        <v>13711</v>
      </c>
      <c r="C152" s="11" t="s">
        <v>2673</v>
      </c>
      <c r="D152" s="11" t="s">
        <v>2674</v>
      </c>
      <c r="E152" s="4" t="s">
        <v>1552</v>
      </c>
      <c r="F152" s="11" t="s">
        <v>2675</v>
      </c>
      <c r="G152" s="11" t="s">
        <v>2676</v>
      </c>
      <c r="H152" s="11" t="s">
        <v>511</v>
      </c>
      <c r="I152" s="11" t="s">
        <v>1154</v>
      </c>
      <c r="J152" s="11" t="s">
        <v>31</v>
      </c>
      <c r="K152" s="11" t="s">
        <v>31</v>
      </c>
      <c r="L152" s="11" t="s">
        <v>517</v>
      </c>
      <c r="M152" s="11" t="s">
        <v>32</v>
      </c>
      <c r="N152" s="11" t="s">
        <v>635</v>
      </c>
      <c r="O152" s="11" t="s">
        <v>312</v>
      </c>
      <c r="P152" s="11" t="s">
        <v>2206</v>
      </c>
      <c r="Q152" s="11" t="s">
        <v>604</v>
      </c>
      <c r="R152" s="11" t="s">
        <v>596</v>
      </c>
      <c r="S152" s="11" t="s">
        <v>35</v>
      </c>
      <c r="T152" s="158">
        <v>0.51100000000000001</v>
      </c>
      <c r="U152" s="11" t="s">
        <v>2677</v>
      </c>
      <c r="V152" s="174">
        <v>4.3499999999999997E-2</v>
      </c>
      <c r="W152" s="189">
        <v>7.0150000000000004E-2</v>
      </c>
      <c r="X152" s="4" t="s">
        <v>602</v>
      </c>
      <c r="Y152" s="4" t="s">
        <v>312</v>
      </c>
      <c r="Z152" s="158">
        <v>6666.67</v>
      </c>
      <c r="AA152" s="158">
        <v>1</v>
      </c>
      <c r="AB152" s="158">
        <v>100.74</v>
      </c>
      <c r="AD152" s="158">
        <v>6.7160000000000002</v>
      </c>
      <c r="AG152" s="11" t="s">
        <v>37</v>
      </c>
      <c r="AH152" s="189">
        <v>1.3899999999999999E-4</v>
      </c>
      <c r="AI152" s="189">
        <v>7.5297043406648701E-4</v>
      </c>
      <c r="AJ152" s="189">
        <v>1.82947458351296E-4</v>
      </c>
    </row>
    <row r="153" spans="1:36">
      <c r="A153" s="11" t="s">
        <v>26</v>
      </c>
      <c r="B153" s="11">
        <v>13711</v>
      </c>
      <c r="C153" s="11" t="s">
        <v>2678</v>
      </c>
      <c r="D153" s="11" t="s">
        <v>2679</v>
      </c>
      <c r="E153" s="4" t="s">
        <v>1552</v>
      </c>
      <c r="F153" s="11" t="s">
        <v>2680</v>
      </c>
      <c r="G153" s="11" t="s">
        <v>2681</v>
      </c>
      <c r="H153" s="11" t="s">
        <v>511</v>
      </c>
      <c r="I153" s="11" t="s">
        <v>945</v>
      </c>
      <c r="J153" s="11" t="s">
        <v>31</v>
      </c>
      <c r="K153" s="11" t="s">
        <v>31</v>
      </c>
      <c r="L153" s="11" t="s">
        <v>517</v>
      </c>
      <c r="M153" s="11" t="s">
        <v>32</v>
      </c>
      <c r="N153" s="11" t="s">
        <v>652</v>
      </c>
      <c r="O153" s="11" t="s">
        <v>312</v>
      </c>
      <c r="P153" s="11" t="s">
        <v>2169</v>
      </c>
      <c r="Q153" s="11" t="s">
        <v>358</v>
      </c>
      <c r="R153" s="11" t="s">
        <v>596</v>
      </c>
      <c r="S153" s="11" t="s">
        <v>35</v>
      </c>
      <c r="T153" s="158">
        <v>0.219</v>
      </c>
      <c r="U153" s="11" t="s">
        <v>2682</v>
      </c>
      <c r="V153" s="174">
        <v>0.04</v>
      </c>
      <c r="W153" s="189">
        <v>2.223E-2</v>
      </c>
      <c r="X153" s="4" t="s">
        <v>602</v>
      </c>
      <c r="Y153" s="4" t="s">
        <v>312</v>
      </c>
      <c r="Z153" s="158">
        <v>42232</v>
      </c>
      <c r="AA153" s="158">
        <v>1</v>
      </c>
      <c r="AB153" s="158">
        <v>115.01</v>
      </c>
      <c r="AD153" s="158">
        <v>48.570999999999998</v>
      </c>
      <c r="AG153" s="11" t="s">
        <v>37</v>
      </c>
      <c r="AH153" s="189">
        <v>5.1900000000000004E-4</v>
      </c>
      <c r="AI153" s="189">
        <v>5.4455816163928401E-3</v>
      </c>
      <c r="AJ153" s="189">
        <v>1.3231001788254E-3</v>
      </c>
    </row>
    <row r="154" spans="1:36">
      <c r="A154" s="11" t="s">
        <v>26</v>
      </c>
      <c r="B154" s="11">
        <v>13711</v>
      </c>
      <c r="C154" s="11" t="s">
        <v>2678</v>
      </c>
      <c r="D154" s="11" t="s">
        <v>2679</v>
      </c>
      <c r="E154" s="4" t="s">
        <v>1552</v>
      </c>
      <c r="F154" s="11" t="s">
        <v>2683</v>
      </c>
      <c r="G154" s="11" t="s">
        <v>2684</v>
      </c>
      <c r="H154" s="11" t="s">
        <v>511</v>
      </c>
      <c r="I154" s="11" t="s">
        <v>945</v>
      </c>
      <c r="J154" s="11" t="s">
        <v>31</v>
      </c>
      <c r="K154" s="11" t="s">
        <v>31</v>
      </c>
      <c r="L154" s="11" t="s">
        <v>517</v>
      </c>
      <c r="M154" s="11" t="s">
        <v>32</v>
      </c>
      <c r="N154" s="11" t="s">
        <v>652</v>
      </c>
      <c r="O154" s="11" t="s">
        <v>312</v>
      </c>
      <c r="P154" s="11" t="s">
        <v>2169</v>
      </c>
      <c r="Q154" s="11" t="s">
        <v>358</v>
      </c>
      <c r="R154" s="11" t="s">
        <v>596</v>
      </c>
      <c r="S154" s="11" t="s">
        <v>35</v>
      </c>
      <c r="T154" s="158">
        <v>3.621</v>
      </c>
      <c r="U154" s="11" t="s">
        <v>2685</v>
      </c>
      <c r="V154" s="174">
        <v>3.5000000000000003E-2</v>
      </c>
      <c r="W154" s="189">
        <v>3.109E-2</v>
      </c>
      <c r="X154" s="4" t="s">
        <v>602</v>
      </c>
      <c r="Y154" s="4" t="s">
        <v>312</v>
      </c>
      <c r="Z154" s="158">
        <v>121570.04</v>
      </c>
      <c r="AA154" s="158">
        <v>1</v>
      </c>
      <c r="AB154" s="158">
        <v>118.06</v>
      </c>
      <c r="AD154" s="158">
        <v>143.52600000000001</v>
      </c>
      <c r="AG154" s="11" t="s">
        <v>37</v>
      </c>
      <c r="AH154" s="189">
        <v>1.3999999999999999E-4</v>
      </c>
      <c r="AI154" s="189">
        <v>1.6091493624539599E-2</v>
      </c>
      <c r="AJ154" s="189">
        <v>3.9097124222883502E-3</v>
      </c>
    </row>
    <row r="155" spans="1:36">
      <c r="A155" s="11" t="s">
        <v>26</v>
      </c>
      <c r="B155" s="11">
        <v>13711</v>
      </c>
      <c r="C155" s="11" t="s">
        <v>2678</v>
      </c>
      <c r="D155" s="11" t="s">
        <v>2679</v>
      </c>
      <c r="E155" s="4" t="s">
        <v>1552</v>
      </c>
      <c r="F155" s="11" t="s">
        <v>2686</v>
      </c>
      <c r="G155" s="11" t="s">
        <v>2687</v>
      </c>
      <c r="H155" s="11" t="s">
        <v>511</v>
      </c>
      <c r="I155" s="11" t="s">
        <v>945</v>
      </c>
      <c r="J155" s="11" t="s">
        <v>31</v>
      </c>
      <c r="K155" s="11" t="s">
        <v>31</v>
      </c>
      <c r="L155" s="11" t="s">
        <v>517</v>
      </c>
      <c r="M155" s="11" t="s">
        <v>32</v>
      </c>
      <c r="N155" s="11" t="s">
        <v>652</v>
      </c>
      <c r="O155" s="11" t="s">
        <v>312</v>
      </c>
      <c r="P155" s="11" t="s">
        <v>2169</v>
      </c>
      <c r="Q155" s="11" t="s">
        <v>358</v>
      </c>
      <c r="R155" s="11" t="s">
        <v>596</v>
      </c>
      <c r="S155" s="11" t="s">
        <v>35</v>
      </c>
      <c r="T155" s="158">
        <v>2.2850000000000001</v>
      </c>
      <c r="U155" s="11" t="s">
        <v>2688</v>
      </c>
      <c r="V155" s="174">
        <v>0.04</v>
      </c>
      <c r="W155" s="189">
        <v>2.7150000000000001E-2</v>
      </c>
      <c r="X155" s="4" t="s">
        <v>602</v>
      </c>
      <c r="Y155" s="4" t="s">
        <v>312</v>
      </c>
      <c r="Z155" s="158">
        <v>71945.279999999999</v>
      </c>
      <c r="AA155" s="158">
        <v>1</v>
      </c>
      <c r="AB155" s="158">
        <v>118.66</v>
      </c>
      <c r="AD155" s="158">
        <v>85.37</v>
      </c>
      <c r="AG155" s="11" t="s">
        <v>37</v>
      </c>
      <c r="AH155" s="189">
        <v>7.2999999999999999E-5</v>
      </c>
      <c r="AI155" s="189">
        <v>9.5713604156359607E-3</v>
      </c>
      <c r="AJ155" s="189">
        <v>2.3255309661337699E-3</v>
      </c>
    </row>
    <row r="156" spans="1:36">
      <c r="A156" s="11" t="s">
        <v>26</v>
      </c>
      <c r="B156" s="11">
        <v>13711</v>
      </c>
      <c r="C156" s="11" t="s">
        <v>2689</v>
      </c>
      <c r="D156" s="11" t="s">
        <v>2690</v>
      </c>
      <c r="E156" s="4" t="s">
        <v>1552</v>
      </c>
      <c r="F156" s="11" t="s">
        <v>2691</v>
      </c>
      <c r="G156" s="11" t="s">
        <v>2692</v>
      </c>
      <c r="H156" s="11" t="s">
        <v>511</v>
      </c>
      <c r="I156" s="11" t="s">
        <v>945</v>
      </c>
      <c r="J156" s="11" t="s">
        <v>31</v>
      </c>
      <c r="K156" s="11" t="s">
        <v>31</v>
      </c>
      <c r="L156" s="11" t="s">
        <v>517</v>
      </c>
      <c r="M156" s="11" t="s">
        <v>32</v>
      </c>
      <c r="N156" s="11" t="s">
        <v>652</v>
      </c>
      <c r="O156" s="11" t="s">
        <v>312</v>
      </c>
      <c r="P156" s="11" t="s">
        <v>2165</v>
      </c>
      <c r="Q156" s="27" t="s">
        <v>2165</v>
      </c>
      <c r="R156" s="16" t="s">
        <v>2165</v>
      </c>
      <c r="S156" s="11" t="s">
        <v>35</v>
      </c>
      <c r="T156" s="158">
        <v>5.508</v>
      </c>
      <c r="U156" s="11" t="s">
        <v>2193</v>
      </c>
      <c r="V156" s="174">
        <v>6.4000000000000003E-3</v>
      </c>
      <c r="W156" s="189">
        <v>3.8469999999999997E-2</v>
      </c>
      <c r="X156" s="4" t="s">
        <v>602</v>
      </c>
      <c r="Y156" s="4" t="s">
        <v>312</v>
      </c>
      <c r="Z156" s="158">
        <v>7787.25</v>
      </c>
      <c r="AA156" s="158">
        <v>1</v>
      </c>
      <c r="AB156" s="158">
        <v>94.5</v>
      </c>
      <c r="AD156" s="158">
        <v>7.359</v>
      </c>
      <c r="AG156" s="11" t="s">
        <v>37</v>
      </c>
      <c r="AH156" s="189">
        <v>3.0000000000000001E-5</v>
      </c>
      <c r="AI156" s="189">
        <v>8.2505508434360404E-4</v>
      </c>
      <c r="AJ156" s="189">
        <v>2.00461696570609E-4</v>
      </c>
    </row>
    <row r="157" spans="1:36">
      <c r="A157" s="11" t="s">
        <v>26</v>
      </c>
      <c r="B157" s="11">
        <v>13711</v>
      </c>
      <c r="C157" s="11" t="s">
        <v>2693</v>
      </c>
      <c r="D157" s="11" t="s">
        <v>2694</v>
      </c>
      <c r="E157" s="4" t="s">
        <v>1552</v>
      </c>
      <c r="F157" s="11" t="s">
        <v>2695</v>
      </c>
      <c r="G157" s="11" t="s">
        <v>2696</v>
      </c>
      <c r="H157" s="11" t="s">
        <v>511</v>
      </c>
      <c r="I157" s="11" t="s">
        <v>945</v>
      </c>
      <c r="J157" s="11" t="s">
        <v>31</v>
      </c>
      <c r="K157" s="11" t="s">
        <v>31</v>
      </c>
      <c r="L157" s="11" t="s">
        <v>517</v>
      </c>
      <c r="M157" s="11" t="s">
        <v>32</v>
      </c>
      <c r="N157" s="11" t="s">
        <v>666</v>
      </c>
      <c r="O157" s="11" t="s">
        <v>312</v>
      </c>
      <c r="P157" s="11" t="s">
        <v>2571</v>
      </c>
      <c r="Q157" s="11" t="s">
        <v>604</v>
      </c>
      <c r="R157" s="11" t="s">
        <v>596</v>
      </c>
      <c r="S157" s="11" t="s">
        <v>35</v>
      </c>
      <c r="T157" s="158">
        <v>3.8940000000000001</v>
      </c>
      <c r="U157" s="11" t="s">
        <v>2697</v>
      </c>
      <c r="V157" s="174">
        <v>7.0000000000000001E-3</v>
      </c>
      <c r="W157" s="189">
        <v>1.8870000000000001E-2</v>
      </c>
      <c r="X157" s="4" t="s">
        <v>602</v>
      </c>
      <c r="Y157" s="4" t="s">
        <v>312</v>
      </c>
      <c r="Z157" s="158">
        <v>14000</v>
      </c>
      <c r="AA157" s="158">
        <v>1</v>
      </c>
      <c r="AB157" s="158">
        <v>106.94</v>
      </c>
      <c r="AD157" s="158">
        <v>14.972</v>
      </c>
      <c r="AG157" s="11" t="s">
        <v>37</v>
      </c>
      <c r="AH157" s="189">
        <v>1.75E-4</v>
      </c>
      <c r="AI157" s="189">
        <v>1.67855367988186E-3</v>
      </c>
      <c r="AJ157" s="189">
        <v>4.0783424626933499E-4</v>
      </c>
    </row>
    <row r="158" spans="1:36">
      <c r="A158" s="11" t="s">
        <v>26</v>
      </c>
      <c r="B158" s="11">
        <v>13711</v>
      </c>
      <c r="C158" s="11" t="s">
        <v>2698</v>
      </c>
      <c r="D158" s="11" t="s">
        <v>2699</v>
      </c>
      <c r="E158" s="4" t="s">
        <v>1552</v>
      </c>
      <c r="F158" s="11" t="s">
        <v>2700</v>
      </c>
      <c r="G158" s="11" t="s">
        <v>2701</v>
      </c>
      <c r="H158" s="11" t="s">
        <v>511</v>
      </c>
      <c r="I158" s="11" t="s">
        <v>945</v>
      </c>
      <c r="J158" s="11" t="s">
        <v>31</v>
      </c>
      <c r="K158" s="11" t="s">
        <v>31</v>
      </c>
      <c r="L158" s="11" t="s">
        <v>517</v>
      </c>
      <c r="M158" s="11" t="s">
        <v>32</v>
      </c>
      <c r="N158" s="11" t="s">
        <v>652</v>
      </c>
      <c r="O158" s="11" t="s">
        <v>312</v>
      </c>
      <c r="P158" s="11" t="s">
        <v>2165</v>
      </c>
      <c r="Q158" s="27" t="s">
        <v>2165</v>
      </c>
      <c r="R158" s="16" t="s">
        <v>2165</v>
      </c>
      <c r="S158" s="11" t="s">
        <v>35</v>
      </c>
      <c r="T158" s="158">
        <v>2.8450000000000002</v>
      </c>
      <c r="U158" s="11" t="s">
        <v>2180</v>
      </c>
      <c r="V158" s="174">
        <v>4.2000000000000003E-2</v>
      </c>
      <c r="W158" s="189">
        <v>4.052E-2</v>
      </c>
      <c r="X158" s="4" t="s">
        <v>602</v>
      </c>
      <c r="Y158" s="4" t="s">
        <v>312</v>
      </c>
      <c r="Z158" s="158">
        <v>10000</v>
      </c>
      <c r="AA158" s="158">
        <v>1</v>
      </c>
      <c r="AB158" s="158">
        <v>103.05</v>
      </c>
      <c r="AD158" s="158">
        <v>10.305</v>
      </c>
      <c r="AG158" s="11" t="s">
        <v>37</v>
      </c>
      <c r="AH158" s="189">
        <v>1E-4</v>
      </c>
      <c r="AI158" s="189">
        <v>1.15535384803111E-3</v>
      </c>
      <c r="AJ158" s="189">
        <v>2.8071361162504399E-4</v>
      </c>
    </row>
    <row r="159" spans="1:36">
      <c r="A159" s="11" t="s">
        <v>26</v>
      </c>
      <c r="B159" s="11">
        <v>13711</v>
      </c>
      <c r="C159" s="11" t="s">
        <v>2702</v>
      </c>
      <c r="D159" s="11" t="s">
        <v>2703</v>
      </c>
      <c r="E159" s="4" t="s">
        <v>1552</v>
      </c>
      <c r="F159" s="11" t="s">
        <v>2704</v>
      </c>
      <c r="G159" s="11" t="s">
        <v>2705</v>
      </c>
      <c r="H159" s="11" t="s">
        <v>511</v>
      </c>
      <c r="I159" s="11" t="s">
        <v>945</v>
      </c>
      <c r="J159" s="11" t="s">
        <v>31</v>
      </c>
      <c r="K159" s="11" t="s">
        <v>31</v>
      </c>
      <c r="L159" s="11" t="s">
        <v>517</v>
      </c>
      <c r="M159" s="11" t="s">
        <v>32</v>
      </c>
      <c r="N159" s="11" t="s">
        <v>652</v>
      </c>
      <c r="O159" s="11" t="s">
        <v>312</v>
      </c>
      <c r="P159" s="11" t="s">
        <v>2327</v>
      </c>
      <c r="Q159" s="11" t="s">
        <v>358</v>
      </c>
      <c r="R159" s="11" t="s">
        <v>596</v>
      </c>
      <c r="S159" s="11" t="s">
        <v>35</v>
      </c>
      <c r="T159" s="158">
        <v>3.24</v>
      </c>
      <c r="U159" s="11" t="s">
        <v>2706</v>
      </c>
      <c r="V159" s="174">
        <v>1.0800000000000001E-2</v>
      </c>
      <c r="W159" s="189">
        <v>3.6830000000000002E-2</v>
      </c>
      <c r="X159" s="4" t="s">
        <v>602</v>
      </c>
      <c r="Y159" s="4" t="s">
        <v>312</v>
      </c>
      <c r="Z159" s="158">
        <v>8000.36</v>
      </c>
      <c r="AA159" s="158">
        <v>1</v>
      </c>
      <c r="AB159" s="158">
        <v>104.74</v>
      </c>
      <c r="AD159" s="158">
        <v>8.3800000000000008</v>
      </c>
      <c r="AG159" s="11" t="s">
        <v>37</v>
      </c>
      <c r="AH159" s="189">
        <v>2.6999999999999999E-5</v>
      </c>
      <c r="AI159" s="189">
        <v>9.3948341637706105E-4</v>
      </c>
      <c r="AJ159" s="189">
        <v>2.2826407972108899E-4</v>
      </c>
    </row>
    <row r="160" spans="1:36">
      <c r="A160" s="11" t="s">
        <v>26</v>
      </c>
      <c r="B160" s="11">
        <v>13711</v>
      </c>
      <c r="C160" s="11" t="s">
        <v>1979</v>
      </c>
      <c r="D160" s="11" t="s">
        <v>1980</v>
      </c>
      <c r="E160" s="4" t="s">
        <v>1552</v>
      </c>
      <c r="F160" s="11" t="s">
        <v>2707</v>
      </c>
      <c r="G160" s="11" t="s">
        <v>2708</v>
      </c>
      <c r="H160" s="11" t="s">
        <v>511</v>
      </c>
      <c r="I160" s="11" t="s">
        <v>1154</v>
      </c>
      <c r="J160" s="11" t="s">
        <v>31</v>
      </c>
      <c r="K160" s="11" t="s">
        <v>31</v>
      </c>
      <c r="L160" s="11" t="s">
        <v>517</v>
      </c>
      <c r="M160" s="11" t="s">
        <v>32</v>
      </c>
      <c r="N160" s="11" t="s">
        <v>647</v>
      </c>
      <c r="O160" s="11" t="s">
        <v>312</v>
      </c>
      <c r="P160" s="11" t="s">
        <v>2571</v>
      </c>
      <c r="Q160" s="11" t="s">
        <v>604</v>
      </c>
      <c r="R160" s="11" t="s">
        <v>596</v>
      </c>
      <c r="S160" s="11" t="s">
        <v>35</v>
      </c>
      <c r="T160" s="158">
        <v>1.9339999999999999</v>
      </c>
      <c r="U160" s="11" t="s">
        <v>2180</v>
      </c>
      <c r="V160" s="174">
        <v>2.6100000000000002E-2</v>
      </c>
      <c r="W160" s="189">
        <v>4.793E-2</v>
      </c>
      <c r="X160" s="4" t="s">
        <v>602</v>
      </c>
      <c r="Y160" s="4" t="s">
        <v>312</v>
      </c>
      <c r="Z160" s="158">
        <v>126335.34</v>
      </c>
      <c r="AA160" s="158">
        <v>1</v>
      </c>
      <c r="AB160" s="158">
        <v>95.99</v>
      </c>
      <c r="AD160" s="158">
        <v>121.26900000000001</v>
      </c>
      <c r="AG160" s="11" t="s">
        <v>37</v>
      </c>
      <c r="AH160" s="189">
        <v>2.6200000000000003E-4</v>
      </c>
      <c r="AI160" s="189">
        <v>1.35962100107467E-2</v>
      </c>
      <c r="AJ160" s="189">
        <v>3.3034392217011102E-3</v>
      </c>
    </row>
    <row r="161" spans="1:36">
      <c r="A161" s="11" t="s">
        <v>26</v>
      </c>
      <c r="B161" s="11">
        <v>13711</v>
      </c>
      <c r="C161" s="11" t="s">
        <v>2709</v>
      </c>
      <c r="D161" s="11" t="s">
        <v>2710</v>
      </c>
      <c r="E161" s="4" t="s">
        <v>1552</v>
      </c>
      <c r="F161" s="11" t="s">
        <v>2711</v>
      </c>
      <c r="G161" s="11" t="s">
        <v>2712</v>
      </c>
      <c r="H161" s="11" t="s">
        <v>511</v>
      </c>
      <c r="I161" s="11" t="s">
        <v>1154</v>
      </c>
      <c r="J161" s="11" t="s">
        <v>31</v>
      </c>
      <c r="K161" s="11" t="s">
        <v>31</v>
      </c>
      <c r="L161" s="11" t="s">
        <v>517</v>
      </c>
      <c r="M161" s="11" t="s">
        <v>32</v>
      </c>
      <c r="N161" s="11" t="s">
        <v>666</v>
      </c>
      <c r="O161" s="11" t="s">
        <v>312</v>
      </c>
      <c r="P161" s="11" t="s">
        <v>2169</v>
      </c>
      <c r="Q161" s="11" t="s">
        <v>358</v>
      </c>
      <c r="R161" s="11" t="s">
        <v>596</v>
      </c>
      <c r="S161" s="11" t="s">
        <v>35</v>
      </c>
      <c r="T161" s="158">
        <v>1.069</v>
      </c>
      <c r="U161" s="11" t="s">
        <v>2713</v>
      </c>
      <c r="V161" s="174">
        <v>2.7E-2</v>
      </c>
      <c r="W161" s="189">
        <v>4.9639999999999997E-2</v>
      </c>
      <c r="X161" s="4" t="s">
        <v>602</v>
      </c>
      <c r="Y161" s="4" t="s">
        <v>312</v>
      </c>
      <c r="Z161" s="158">
        <v>55047.53</v>
      </c>
      <c r="AA161" s="158">
        <v>1</v>
      </c>
      <c r="AB161" s="158">
        <v>97.8</v>
      </c>
      <c r="AD161" s="158">
        <v>53.835999999999999</v>
      </c>
      <c r="AG161" s="11" t="s">
        <v>37</v>
      </c>
      <c r="AH161" s="189">
        <v>4.4000000000000002E-4</v>
      </c>
      <c r="AI161" s="189">
        <v>6.0359232747875299E-3</v>
      </c>
      <c r="AJ161" s="189">
        <v>1.46653410541257E-3</v>
      </c>
    </row>
    <row r="162" spans="1:36">
      <c r="A162" s="11" t="s">
        <v>26</v>
      </c>
      <c r="B162" s="11">
        <v>13711</v>
      </c>
      <c r="C162" s="11" t="s">
        <v>2709</v>
      </c>
      <c r="D162" s="11" t="s">
        <v>2710</v>
      </c>
      <c r="E162" s="4" t="s">
        <v>1552</v>
      </c>
      <c r="F162" s="11" t="s">
        <v>2714</v>
      </c>
      <c r="G162" s="11" t="s">
        <v>2715</v>
      </c>
      <c r="H162" s="11" t="s">
        <v>511</v>
      </c>
      <c r="I162" s="11" t="s">
        <v>945</v>
      </c>
      <c r="J162" s="11" t="s">
        <v>31</v>
      </c>
      <c r="K162" s="11" t="s">
        <v>31</v>
      </c>
      <c r="L162" s="11" t="s">
        <v>517</v>
      </c>
      <c r="M162" s="11" t="s">
        <v>32</v>
      </c>
      <c r="N162" s="11" t="s">
        <v>666</v>
      </c>
      <c r="O162" s="11" t="s">
        <v>312</v>
      </c>
      <c r="P162" s="11" t="s">
        <v>2169</v>
      </c>
      <c r="Q162" s="11" t="s">
        <v>358</v>
      </c>
      <c r="R162" s="11" t="s">
        <v>596</v>
      </c>
      <c r="S162" s="11" t="s">
        <v>35</v>
      </c>
      <c r="T162" s="158">
        <v>1.0780000000000001</v>
      </c>
      <c r="U162" s="11" t="s">
        <v>2713</v>
      </c>
      <c r="V162" s="174">
        <v>1.7999999999999999E-2</v>
      </c>
      <c r="W162" s="189">
        <v>3.0530000000000002E-2</v>
      </c>
      <c r="X162" s="4" t="s">
        <v>602</v>
      </c>
      <c r="Y162" s="4" t="s">
        <v>312</v>
      </c>
      <c r="Z162" s="158">
        <v>17140.2</v>
      </c>
      <c r="AA162" s="158">
        <v>1</v>
      </c>
      <c r="AB162" s="158">
        <v>112.65</v>
      </c>
      <c r="AD162" s="158">
        <v>19.308</v>
      </c>
      <c r="AG162" s="11" t="s">
        <v>37</v>
      </c>
      <c r="AH162" s="189">
        <v>2.5999999999999998E-5</v>
      </c>
      <c r="AI162" s="189">
        <v>2.1647816616511099E-3</v>
      </c>
      <c r="AJ162" s="189">
        <v>5.2597191731115799E-4</v>
      </c>
    </row>
    <row r="163" spans="1:36">
      <c r="A163" s="11" t="s">
        <v>26</v>
      </c>
      <c r="B163" s="11">
        <v>13711</v>
      </c>
      <c r="C163" s="11" t="s">
        <v>2716</v>
      </c>
      <c r="D163" s="11" t="s">
        <v>2717</v>
      </c>
      <c r="E163" s="4" t="s">
        <v>1552</v>
      </c>
      <c r="F163" s="11" t="s">
        <v>2718</v>
      </c>
      <c r="G163" s="11" t="s">
        <v>2719</v>
      </c>
      <c r="H163" s="11" t="s">
        <v>511</v>
      </c>
      <c r="I163" s="11" t="s">
        <v>364</v>
      </c>
      <c r="J163" s="11" t="s">
        <v>31</v>
      </c>
      <c r="K163" s="11" t="s">
        <v>31</v>
      </c>
      <c r="L163" s="11" t="s">
        <v>517</v>
      </c>
      <c r="M163" s="11" t="s">
        <v>32</v>
      </c>
      <c r="N163" s="11" t="s">
        <v>642</v>
      </c>
      <c r="O163" s="11" t="s">
        <v>312</v>
      </c>
      <c r="P163" s="11" t="s">
        <v>2418</v>
      </c>
      <c r="Q163" s="11" t="s">
        <v>604</v>
      </c>
      <c r="R163" s="11" t="s">
        <v>596</v>
      </c>
      <c r="S163" s="11" t="s">
        <v>35</v>
      </c>
      <c r="T163" s="158">
        <v>2.8</v>
      </c>
      <c r="U163" s="11" t="s">
        <v>2720</v>
      </c>
      <c r="V163" s="174">
        <v>5.4800000000000001E-2</v>
      </c>
      <c r="W163" s="189">
        <v>6.6320000000000004E-2</v>
      </c>
      <c r="X163" s="4" t="s">
        <v>602</v>
      </c>
      <c r="Y163" s="4" t="s">
        <v>312</v>
      </c>
      <c r="Z163" s="158">
        <v>60000</v>
      </c>
      <c r="AA163" s="158">
        <v>1</v>
      </c>
      <c r="AB163" s="158">
        <v>104.51</v>
      </c>
      <c r="AD163" s="158">
        <v>62.706000000000003</v>
      </c>
      <c r="AG163" s="11" t="s">
        <v>37</v>
      </c>
      <c r="AH163" s="189">
        <v>2.1100000000000001E-4</v>
      </c>
      <c r="AI163" s="189">
        <v>7.0303365739581396E-3</v>
      </c>
      <c r="AJ163" s="189">
        <v>1.70814436977778E-3</v>
      </c>
    </row>
    <row r="164" spans="1:36">
      <c r="A164" s="11" t="s">
        <v>26</v>
      </c>
      <c r="B164" s="11">
        <v>13711</v>
      </c>
      <c r="C164" s="11" t="s">
        <v>2721</v>
      </c>
      <c r="D164" s="11" t="s">
        <v>2722</v>
      </c>
      <c r="E164" s="4" t="s">
        <v>1552</v>
      </c>
      <c r="F164" s="11" t="s">
        <v>2723</v>
      </c>
      <c r="G164" s="11" t="s">
        <v>2724</v>
      </c>
      <c r="H164" s="11" t="s">
        <v>511</v>
      </c>
      <c r="I164" s="11" t="s">
        <v>364</v>
      </c>
      <c r="J164" s="11" t="s">
        <v>31</v>
      </c>
      <c r="K164" s="11" t="s">
        <v>31</v>
      </c>
      <c r="L164" s="11" t="s">
        <v>517</v>
      </c>
      <c r="M164" s="11" t="s">
        <v>32</v>
      </c>
      <c r="N164" s="11" t="s">
        <v>642</v>
      </c>
      <c r="O164" s="11" t="s">
        <v>312</v>
      </c>
      <c r="P164" s="11" t="s">
        <v>168</v>
      </c>
      <c r="Q164" s="11" t="s">
        <v>604</v>
      </c>
      <c r="R164" s="11" t="s">
        <v>596</v>
      </c>
      <c r="S164" s="11" t="s">
        <v>35</v>
      </c>
      <c r="T164" s="158">
        <v>3.05</v>
      </c>
      <c r="U164" s="11" t="s">
        <v>2720</v>
      </c>
      <c r="V164" s="174">
        <v>4.6899999999999997E-2</v>
      </c>
      <c r="W164" s="189">
        <v>7.7439999999999995E-2</v>
      </c>
      <c r="X164" s="4" t="s">
        <v>602</v>
      </c>
      <c r="Y164" s="4" t="s">
        <v>312</v>
      </c>
      <c r="Z164" s="158">
        <v>40436.21</v>
      </c>
      <c r="AA164" s="158">
        <v>1</v>
      </c>
      <c r="AB164" s="158">
        <v>99.55</v>
      </c>
      <c r="AD164" s="158">
        <v>40.253999999999998</v>
      </c>
      <c r="AG164" s="11" t="s">
        <v>37</v>
      </c>
      <c r="AH164" s="189">
        <v>2.9E-5</v>
      </c>
      <c r="AI164" s="189">
        <v>4.5131391785142297E-3</v>
      </c>
      <c r="AJ164" s="189">
        <v>1.0965468291175E-3</v>
      </c>
    </row>
    <row r="165" spans="1:36">
      <c r="A165" s="11" t="s">
        <v>26</v>
      </c>
      <c r="B165" s="11">
        <v>13711</v>
      </c>
      <c r="C165" s="11" t="s">
        <v>2725</v>
      </c>
      <c r="D165" s="11" t="s">
        <v>2726</v>
      </c>
      <c r="E165" s="4" t="s">
        <v>1552</v>
      </c>
      <c r="F165" s="11" t="s">
        <v>2727</v>
      </c>
      <c r="G165" s="11" t="s">
        <v>2728</v>
      </c>
      <c r="H165" s="11" t="s">
        <v>511</v>
      </c>
      <c r="I165" s="11" t="s">
        <v>1154</v>
      </c>
      <c r="J165" s="11" t="s">
        <v>31</v>
      </c>
      <c r="K165" s="11" t="s">
        <v>31</v>
      </c>
      <c r="L165" s="11" t="s">
        <v>517</v>
      </c>
      <c r="M165" s="11" t="s">
        <v>32</v>
      </c>
      <c r="N165" s="11" t="s">
        <v>634</v>
      </c>
      <c r="O165" s="11" t="s">
        <v>312</v>
      </c>
      <c r="P165" s="11" t="s">
        <v>357</v>
      </c>
      <c r="Q165" s="11" t="s">
        <v>358</v>
      </c>
      <c r="R165" s="11" t="s">
        <v>596</v>
      </c>
      <c r="S165" s="11" t="s">
        <v>35</v>
      </c>
      <c r="T165" s="158">
        <v>0.41599999999999998</v>
      </c>
      <c r="U165" s="11" t="s">
        <v>2608</v>
      </c>
      <c r="V165" s="174">
        <v>5.45E-2</v>
      </c>
      <c r="W165" s="189">
        <v>4.7469999999999998E-2</v>
      </c>
      <c r="X165" s="4" t="s">
        <v>602</v>
      </c>
      <c r="Y165" s="4" t="s">
        <v>312</v>
      </c>
      <c r="Z165" s="158">
        <v>12961.01</v>
      </c>
      <c r="AA165" s="158">
        <v>1</v>
      </c>
      <c r="AB165" s="158">
        <v>100.76</v>
      </c>
      <c r="AD165" s="158">
        <v>13.06</v>
      </c>
      <c r="AG165" s="11" t="s">
        <v>37</v>
      </c>
      <c r="AH165" s="189">
        <v>8.3999999999999995E-5</v>
      </c>
      <c r="AI165" s="189">
        <v>1.4641784938361499E-3</v>
      </c>
      <c r="AJ165" s="189">
        <v>3.5574801067992301E-4</v>
      </c>
    </row>
    <row r="166" spans="1:36">
      <c r="A166" s="11" t="s">
        <v>26</v>
      </c>
      <c r="B166" s="11">
        <v>13711</v>
      </c>
      <c r="C166" s="11" t="s">
        <v>2729</v>
      </c>
      <c r="D166" s="11" t="s">
        <v>2730</v>
      </c>
      <c r="E166" s="4" t="s">
        <v>505</v>
      </c>
      <c r="F166" s="11" t="s">
        <v>2731</v>
      </c>
      <c r="G166" s="11" t="s">
        <v>2732</v>
      </c>
      <c r="H166" s="11" t="s">
        <v>511</v>
      </c>
      <c r="I166" s="11" t="s">
        <v>364</v>
      </c>
      <c r="J166" s="11" t="s">
        <v>154</v>
      </c>
      <c r="K166" s="11" t="s">
        <v>155</v>
      </c>
      <c r="L166" s="11" t="s">
        <v>517</v>
      </c>
      <c r="M166" s="11" t="s">
        <v>342</v>
      </c>
      <c r="N166" s="11" t="s">
        <v>2733</v>
      </c>
      <c r="O166" s="11" t="s">
        <v>312</v>
      </c>
      <c r="P166" s="11" t="s">
        <v>2734</v>
      </c>
      <c r="Q166" s="11" t="s">
        <v>621</v>
      </c>
      <c r="R166" s="11" t="s">
        <v>596</v>
      </c>
      <c r="S166" s="11" t="s">
        <v>159</v>
      </c>
      <c r="T166" s="158">
        <v>3.25</v>
      </c>
      <c r="U166" s="11" t="s">
        <v>2735</v>
      </c>
      <c r="V166" s="174">
        <v>7.9500000000000001E-2</v>
      </c>
      <c r="W166" s="189">
        <v>6.8110000000000004E-2</v>
      </c>
      <c r="X166" s="4" t="s">
        <v>602</v>
      </c>
      <c r="Y166" s="4" t="s">
        <v>312</v>
      </c>
      <c r="Z166" s="158">
        <v>7000</v>
      </c>
      <c r="AA166" s="158">
        <v>3.7589999999999999</v>
      </c>
      <c r="AB166" s="158">
        <v>103.755</v>
      </c>
      <c r="AD166" s="158">
        <v>27.300999999999998</v>
      </c>
      <c r="AG166" s="11" t="s">
        <v>37</v>
      </c>
      <c r="AH166" s="189">
        <v>0</v>
      </c>
      <c r="AI166" s="189">
        <v>3.06089312246751E-3</v>
      </c>
      <c r="AJ166" s="189">
        <v>7.4369801482928504E-4</v>
      </c>
    </row>
    <row r="167" spans="1:36">
      <c r="A167" s="11" t="s">
        <v>26</v>
      </c>
      <c r="B167" s="11">
        <v>13711</v>
      </c>
      <c r="C167" s="11" t="s">
        <v>2729</v>
      </c>
      <c r="D167" s="11" t="s">
        <v>2730</v>
      </c>
      <c r="E167" s="4" t="s">
        <v>505</v>
      </c>
      <c r="F167" s="11" t="s">
        <v>2736</v>
      </c>
      <c r="G167" s="11" t="s">
        <v>2737</v>
      </c>
      <c r="H167" s="11" t="s">
        <v>511</v>
      </c>
      <c r="I167" s="11" t="s">
        <v>364</v>
      </c>
      <c r="J167" s="11" t="s">
        <v>154</v>
      </c>
      <c r="K167" s="11" t="s">
        <v>155</v>
      </c>
      <c r="L167" s="11" t="s">
        <v>517</v>
      </c>
      <c r="M167" s="11" t="s">
        <v>342</v>
      </c>
      <c r="N167" s="11" t="s">
        <v>2733</v>
      </c>
      <c r="O167" s="11" t="s">
        <v>312</v>
      </c>
      <c r="P167" s="11" t="s">
        <v>2734</v>
      </c>
      <c r="Q167" s="11" t="s">
        <v>621</v>
      </c>
      <c r="R167" s="11" t="s">
        <v>596</v>
      </c>
      <c r="S167" s="11" t="s">
        <v>159</v>
      </c>
      <c r="T167" s="158">
        <v>5.26</v>
      </c>
      <c r="U167" s="11" t="s">
        <v>2738</v>
      </c>
      <c r="V167" s="174">
        <v>6.6500000000000004E-2</v>
      </c>
      <c r="W167" s="189">
        <v>6.8970000000000004E-2</v>
      </c>
      <c r="X167" s="4" t="s">
        <v>602</v>
      </c>
      <c r="Y167" s="4" t="s">
        <v>312</v>
      </c>
      <c r="Z167" s="158">
        <v>5000</v>
      </c>
      <c r="AA167" s="158">
        <v>3.7589999999999999</v>
      </c>
      <c r="AB167" s="158">
        <v>98.322999999999993</v>
      </c>
      <c r="AD167" s="158">
        <v>18.48</v>
      </c>
      <c r="AG167" s="11" t="s">
        <v>37</v>
      </c>
      <c r="AH167" s="189">
        <v>0</v>
      </c>
      <c r="AI167" s="189">
        <v>2.0718770295693701E-3</v>
      </c>
      <c r="AJ167" s="189">
        <v>5.03399096999177E-4</v>
      </c>
    </row>
    <row r="168" spans="1:36">
      <c r="A168" s="11" t="s">
        <v>26</v>
      </c>
      <c r="B168" s="11">
        <v>13711</v>
      </c>
      <c r="C168" s="11" t="s">
        <v>2739</v>
      </c>
      <c r="D168" s="11" t="s">
        <v>2740</v>
      </c>
      <c r="E168" s="4" t="s">
        <v>505</v>
      </c>
      <c r="F168" s="11" t="s">
        <v>2741</v>
      </c>
      <c r="G168" s="11" t="s">
        <v>2742</v>
      </c>
      <c r="H168" s="11" t="s">
        <v>511</v>
      </c>
      <c r="I168" s="11" t="s">
        <v>364</v>
      </c>
      <c r="J168" s="11" t="s">
        <v>154</v>
      </c>
      <c r="K168" s="11" t="s">
        <v>486</v>
      </c>
      <c r="L168" s="11" t="s">
        <v>517</v>
      </c>
      <c r="M168" s="11" t="s">
        <v>156</v>
      </c>
      <c r="N168" s="11" t="s">
        <v>678</v>
      </c>
      <c r="O168" s="11" t="s">
        <v>312</v>
      </c>
      <c r="P168" s="11" t="s">
        <v>2743</v>
      </c>
      <c r="Q168" s="11" t="s">
        <v>158</v>
      </c>
      <c r="R168" s="11" t="s">
        <v>596</v>
      </c>
      <c r="S168" s="11" t="s">
        <v>159</v>
      </c>
      <c r="T168" s="158">
        <v>6.17</v>
      </c>
      <c r="U168" s="11" t="s">
        <v>2744</v>
      </c>
      <c r="V168" s="174">
        <v>7.3779999999999998E-2</v>
      </c>
      <c r="W168" s="189">
        <v>6.1440000000000002E-2</v>
      </c>
      <c r="X168" s="4" t="s">
        <v>602</v>
      </c>
      <c r="Y168" s="4" t="s">
        <v>312</v>
      </c>
      <c r="Z168" s="158">
        <v>5000</v>
      </c>
      <c r="AA168" s="158">
        <v>3.7589999999999999</v>
      </c>
      <c r="AB168" s="158">
        <v>110.13800000000001</v>
      </c>
      <c r="AD168" s="158">
        <v>20.7</v>
      </c>
      <c r="AG168" s="11" t="s">
        <v>37</v>
      </c>
      <c r="AH168" s="189">
        <v>7.9999999999999996E-6</v>
      </c>
      <c r="AI168" s="189">
        <v>2.32084173404458E-3</v>
      </c>
      <c r="AJ168" s="189">
        <v>5.6388946666341303E-4</v>
      </c>
    </row>
    <row r="169" spans="1:36">
      <c r="A169" s="11" t="s">
        <v>26</v>
      </c>
      <c r="B169" s="11">
        <v>13711</v>
      </c>
      <c r="C169" s="11" t="s">
        <v>2745</v>
      </c>
      <c r="D169" s="11" t="s">
        <v>2746</v>
      </c>
      <c r="E169" s="4" t="s">
        <v>505</v>
      </c>
      <c r="F169" s="11" t="s">
        <v>2747</v>
      </c>
      <c r="G169" s="11" t="s">
        <v>2748</v>
      </c>
      <c r="H169" s="11" t="s">
        <v>511</v>
      </c>
      <c r="I169" s="11" t="s">
        <v>364</v>
      </c>
      <c r="J169" s="11" t="s">
        <v>154</v>
      </c>
      <c r="K169" s="11" t="s">
        <v>486</v>
      </c>
      <c r="L169" s="11" t="s">
        <v>517</v>
      </c>
      <c r="M169" s="11" t="s">
        <v>342</v>
      </c>
      <c r="N169" s="11" t="s">
        <v>757</v>
      </c>
      <c r="O169" s="11" t="s">
        <v>312</v>
      </c>
      <c r="P169" s="11" t="s">
        <v>2749</v>
      </c>
      <c r="Q169" s="11" t="s">
        <v>158</v>
      </c>
      <c r="R169" s="11" t="s">
        <v>596</v>
      </c>
      <c r="S169" s="11" t="s">
        <v>169</v>
      </c>
      <c r="T169" s="158">
        <v>1.1399999999999999</v>
      </c>
      <c r="U169" s="11" t="s">
        <v>2750</v>
      </c>
      <c r="V169" s="174">
        <v>4.2500000000000003E-2</v>
      </c>
      <c r="W169" s="189">
        <v>7.918E-2</v>
      </c>
      <c r="X169" s="4" t="s">
        <v>602</v>
      </c>
      <c r="Y169" s="4" t="s">
        <v>312</v>
      </c>
      <c r="Z169" s="158">
        <v>5000</v>
      </c>
      <c r="AA169" s="158">
        <v>4.0199999999999996</v>
      </c>
      <c r="AB169" s="158">
        <v>99.793000000000006</v>
      </c>
      <c r="AD169" s="158">
        <v>20.059000000000001</v>
      </c>
      <c r="AG169" s="11" t="s">
        <v>37</v>
      </c>
      <c r="AH169" s="189">
        <v>0</v>
      </c>
      <c r="AI169" s="189">
        <v>2.2489688854301199E-3</v>
      </c>
      <c r="AJ169" s="189">
        <v>5.4642668939675195E-4</v>
      </c>
    </row>
    <row r="170" spans="1:36">
      <c r="A170" s="11" t="s">
        <v>26</v>
      </c>
      <c r="B170" s="11">
        <v>13711</v>
      </c>
      <c r="C170" s="11" t="s">
        <v>2751</v>
      </c>
      <c r="D170" s="11" t="s">
        <v>2752</v>
      </c>
      <c r="E170" s="4" t="s">
        <v>505</v>
      </c>
      <c r="F170" s="11" t="s">
        <v>2753</v>
      </c>
      <c r="G170" s="11" t="s">
        <v>2754</v>
      </c>
      <c r="H170" s="11" t="s">
        <v>511</v>
      </c>
      <c r="I170" s="11" t="s">
        <v>364</v>
      </c>
      <c r="J170" s="11" t="s">
        <v>154</v>
      </c>
      <c r="K170" s="11" t="s">
        <v>155</v>
      </c>
      <c r="L170" s="11" t="s">
        <v>517</v>
      </c>
      <c r="M170" s="11" t="s">
        <v>342</v>
      </c>
      <c r="N170" s="11" t="s">
        <v>738</v>
      </c>
      <c r="O170" s="11" t="s">
        <v>312</v>
      </c>
      <c r="P170" s="11" t="s">
        <v>2418</v>
      </c>
      <c r="Q170" s="11" t="s">
        <v>158</v>
      </c>
      <c r="R170" s="11" t="s">
        <v>596</v>
      </c>
      <c r="S170" s="11" t="s">
        <v>159</v>
      </c>
      <c r="T170" s="158">
        <v>3.56</v>
      </c>
      <c r="U170" s="11" t="s">
        <v>2175</v>
      </c>
      <c r="V170" s="174">
        <v>4.5999999999999999E-2</v>
      </c>
      <c r="W170" s="189">
        <v>4.9149999999999999E-2</v>
      </c>
      <c r="X170" s="4" t="s">
        <v>602</v>
      </c>
      <c r="Y170" s="4" t="s">
        <v>312</v>
      </c>
      <c r="Z170" s="158">
        <v>2000</v>
      </c>
      <c r="AA170" s="158">
        <v>3.7589999999999999</v>
      </c>
      <c r="AB170" s="158">
        <v>100.154</v>
      </c>
      <c r="AD170" s="158">
        <v>7.53</v>
      </c>
      <c r="AG170" s="11" t="s">
        <v>37</v>
      </c>
      <c r="AH170" s="189">
        <v>9.9999999999999995E-7</v>
      </c>
      <c r="AI170" s="189">
        <v>8.44183161937001E-4</v>
      </c>
      <c r="AJ170" s="189">
        <v>2.0510920066975401E-4</v>
      </c>
    </row>
    <row r="171" spans="1:36">
      <c r="A171" s="11" t="s">
        <v>26</v>
      </c>
      <c r="B171" s="11">
        <v>13711</v>
      </c>
      <c r="C171" s="11" t="s">
        <v>2755</v>
      </c>
      <c r="D171" s="11" t="s">
        <v>2756</v>
      </c>
      <c r="E171" s="4" t="s">
        <v>505</v>
      </c>
      <c r="F171" s="11" t="s">
        <v>2757</v>
      </c>
      <c r="G171" s="11" t="s">
        <v>2758</v>
      </c>
      <c r="H171" s="11" t="s">
        <v>511</v>
      </c>
      <c r="I171" s="11" t="s">
        <v>364</v>
      </c>
      <c r="J171" s="11" t="s">
        <v>154</v>
      </c>
      <c r="K171" s="11" t="s">
        <v>155</v>
      </c>
      <c r="L171" s="11" t="s">
        <v>517</v>
      </c>
      <c r="M171" s="11" t="s">
        <v>342</v>
      </c>
      <c r="N171" s="11" t="s">
        <v>738</v>
      </c>
      <c r="O171" s="11" t="s">
        <v>312</v>
      </c>
      <c r="P171" s="11" t="s">
        <v>2327</v>
      </c>
      <c r="Q171" s="11" t="s">
        <v>621</v>
      </c>
      <c r="R171" s="11" t="s">
        <v>596</v>
      </c>
      <c r="S171" s="11" t="s">
        <v>159</v>
      </c>
      <c r="T171" s="158">
        <v>0.78</v>
      </c>
      <c r="U171" s="11" t="s">
        <v>2759</v>
      </c>
      <c r="V171" s="174">
        <v>3.3500000000000002E-2</v>
      </c>
      <c r="W171" s="189">
        <v>5.5079999999999997E-2</v>
      </c>
      <c r="X171" s="4" t="s">
        <v>602</v>
      </c>
      <c r="Y171" s="4" t="s">
        <v>312</v>
      </c>
      <c r="Z171" s="158">
        <v>5000</v>
      </c>
      <c r="AA171" s="158">
        <v>3.7589999999999999</v>
      </c>
      <c r="AB171" s="158">
        <v>99.387</v>
      </c>
      <c r="AD171" s="158">
        <v>18.68</v>
      </c>
      <c r="AG171" s="11" t="s">
        <v>37</v>
      </c>
      <c r="AH171" s="189">
        <v>0</v>
      </c>
      <c r="AI171" s="189">
        <v>2.0943072211705E-3</v>
      </c>
      <c r="AJ171" s="189">
        <v>5.0884890798524602E-4</v>
      </c>
    </row>
    <row r="172" spans="1:36">
      <c r="A172" s="11" t="s">
        <v>26</v>
      </c>
      <c r="B172" s="11">
        <v>13711</v>
      </c>
      <c r="C172" s="11" t="s">
        <v>2760</v>
      </c>
      <c r="D172" s="11" t="s">
        <v>2761</v>
      </c>
      <c r="E172" s="4" t="s">
        <v>505</v>
      </c>
      <c r="F172" s="11" t="s">
        <v>2762</v>
      </c>
      <c r="G172" s="11" t="s">
        <v>2763</v>
      </c>
      <c r="H172" s="11" t="s">
        <v>511</v>
      </c>
      <c r="I172" s="11" t="s">
        <v>364</v>
      </c>
      <c r="J172" s="11" t="s">
        <v>154</v>
      </c>
      <c r="K172" s="11" t="s">
        <v>155</v>
      </c>
      <c r="L172" s="11" t="s">
        <v>517</v>
      </c>
      <c r="M172" s="11" t="s">
        <v>342</v>
      </c>
      <c r="N172" s="11" t="s">
        <v>704</v>
      </c>
      <c r="O172" s="11" t="s">
        <v>312</v>
      </c>
      <c r="P172" s="11" t="s">
        <v>168</v>
      </c>
      <c r="Q172" s="11" t="s">
        <v>158</v>
      </c>
      <c r="R172" s="11" t="s">
        <v>596</v>
      </c>
      <c r="S172" s="11" t="s">
        <v>159</v>
      </c>
      <c r="T172" s="158">
        <v>3.12</v>
      </c>
      <c r="U172" s="11" t="s">
        <v>2764</v>
      </c>
      <c r="V172" s="174">
        <v>4.5499999999999999E-2</v>
      </c>
      <c r="W172" s="189">
        <v>4.9110000000000001E-2</v>
      </c>
      <c r="X172" s="4" t="s">
        <v>602</v>
      </c>
      <c r="Y172" s="4" t="s">
        <v>312</v>
      </c>
      <c r="Z172" s="158">
        <v>3000</v>
      </c>
      <c r="AA172" s="158">
        <v>3.7589999999999999</v>
      </c>
      <c r="AB172" s="158">
        <v>99.274000000000001</v>
      </c>
      <c r="AD172" s="158">
        <v>11.195</v>
      </c>
      <c r="AG172" s="11" t="s">
        <v>37</v>
      </c>
      <c r="AH172" s="189">
        <v>0</v>
      </c>
      <c r="AI172" s="189">
        <v>1.25515141642383E-3</v>
      </c>
      <c r="AJ172" s="189">
        <v>3.0496119248752898E-4</v>
      </c>
    </row>
    <row r="173" spans="1:36">
      <c r="A173" s="11" t="s">
        <v>26</v>
      </c>
      <c r="B173" s="11">
        <v>13711</v>
      </c>
      <c r="C173" s="11" t="s">
        <v>2765</v>
      </c>
      <c r="D173" s="11" t="s">
        <v>2766</v>
      </c>
      <c r="E173" s="4" t="s">
        <v>505</v>
      </c>
      <c r="F173" s="11" t="s">
        <v>2767</v>
      </c>
      <c r="G173" s="11" t="s">
        <v>2768</v>
      </c>
      <c r="H173" s="11" t="s">
        <v>511</v>
      </c>
      <c r="I173" s="11" t="s">
        <v>364</v>
      </c>
      <c r="J173" s="11" t="s">
        <v>154</v>
      </c>
      <c r="K173" s="11" t="s">
        <v>155</v>
      </c>
      <c r="L173" s="11" t="s">
        <v>517</v>
      </c>
      <c r="M173" s="11" t="s">
        <v>342</v>
      </c>
      <c r="N173" s="11" t="s">
        <v>726</v>
      </c>
      <c r="O173" s="11" t="s">
        <v>312</v>
      </c>
      <c r="P173" s="11" t="s">
        <v>2769</v>
      </c>
      <c r="Q173" s="11" t="s">
        <v>158</v>
      </c>
      <c r="R173" s="11" t="s">
        <v>596</v>
      </c>
      <c r="S173" s="11" t="s">
        <v>159</v>
      </c>
      <c r="T173" s="158">
        <v>3.97</v>
      </c>
      <c r="U173" s="11" t="s">
        <v>2596</v>
      </c>
      <c r="V173" s="174">
        <v>6.9000000000000006E-2</v>
      </c>
      <c r="W173" s="189">
        <v>6.7960000000000007E-2</v>
      </c>
      <c r="X173" s="4" t="s">
        <v>602</v>
      </c>
      <c r="Y173" s="4" t="s">
        <v>312</v>
      </c>
      <c r="Z173" s="158">
        <v>25000</v>
      </c>
      <c r="AA173" s="158">
        <v>3.7589999999999999</v>
      </c>
      <c r="AB173" s="158">
        <v>102.35899999999999</v>
      </c>
      <c r="AD173" s="158">
        <v>96.191999999999993</v>
      </c>
      <c r="AG173" s="11" t="s">
        <v>37</v>
      </c>
      <c r="AH173" s="189">
        <v>3.8000000000000002E-5</v>
      </c>
      <c r="AI173" s="189">
        <v>1.0784686105243701E-2</v>
      </c>
      <c r="AJ173" s="189">
        <v>2.6203298599857699E-3</v>
      </c>
    </row>
    <row r="174" spans="1:36">
      <c r="A174" s="11" t="s">
        <v>26</v>
      </c>
      <c r="B174" s="11">
        <v>13711</v>
      </c>
      <c r="C174" s="11" t="s">
        <v>2770</v>
      </c>
      <c r="D174" s="11" t="s">
        <v>2771</v>
      </c>
      <c r="E174" s="4" t="s">
        <v>505</v>
      </c>
      <c r="F174" s="11" t="s">
        <v>2772</v>
      </c>
      <c r="G174" s="11" t="s">
        <v>2773</v>
      </c>
      <c r="H174" s="11" t="s">
        <v>511</v>
      </c>
      <c r="I174" s="11" t="s">
        <v>364</v>
      </c>
      <c r="J174" s="11" t="s">
        <v>154</v>
      </c>
      <c r="K174" s="11" t="s">
        <v>155</v>
      </c>
      <c r="L174" s="11" t="s">
        <v>517</v>
      </c>
      <c r="M174" s="11" t="s">
        <v>342</v>
      </c>
      <c r="N174" s="11" t="s">
        <v>2774</v>
      </c>
      <c r="O174" s="11" t="s">
        <v>312</v>
      </c>
      <c r="P174" s="11" t="s">
        <v>2734</v>
      </c>
      <c r="Q174" s="11" t="s">
        <v>621</v>
      </c>
      <c r="R174" s="11" t="s">
        <v>596</v>
      </c>
      <c r="S174" s="11" t="s">
        <v>159</v>
      </c>
      <c r="T174" s="158">
        <v>7.3</v>
      </c>
      <c r="U174" s="11" t="s">
        <v>2775</v>
      </c>
      <c r="V174" s="174">
        <v>5.8749999999999997E-2</v>
      </c>
      <c r="W174" s="189">
        <v>6.2039999999999998E-2</v>
      </c>
      <c r="X174" s="4" t="s">
        <v>602</v>
      </c>
      <c r="Y174" s="4" t="s">
        <v>312</v>
      </c>
      <c r="Z174" s="158">
        <v>20000</v>
      </c>
      <c r="AA174" s="158">
        <v>3.7589999999999999</v>
      </c>
      <c r="AB174" s="158">
        <v>100.241</v>
      </c>
      <c r="AD174" s="158">
        <v>75.361000000000004</v>
      </c>
      <c r="AG174" s="11" t="s">
        <v>37</v>
      </c>
      <c r="AH174" s="189">
        <v>4.0000000000000003E-5</v>
      </c>
      <c r="AI174" s="189">
        <v>8.4491458131995996E-3</v>
      </c>
      <c r="AJ174" s="189">
        <v>2.0528691191982001E-3</v>
      </c>
    </row>
    <row r="175" spans="1:36">
      <c r="A175" s="11" t="s">
        <v>26</v>
      </c>
      <c r="B175" s="11">
        <v>13711</v>
      </c>
      <c r="C175" s="11" t="s">
        <v>2776</v>
      </c>
      <c r="D175" s="11" t="s">
        <v>2777</v>
      </c>
      <c r="E175" s="4" t="s">
        <v>505</v>
      </c>
      <c r="F175" s="11" t="s">
        <v>2778</v>
      </c>
      <c r="G175" s="11" t="s">
        <v>2779</v>
      </c>
      <c r="H175" s="11" t="s">
        <v>511</v>
      </c>
      <c r="I175" s="11" t="s">
        <v>364</v>
      </c>
      <c r="J175" s="11" t="s">
        <v>154</v>
      </c>
      <c r="K175" s="11" t="s">
        <v>431</v>
      </c>
      <c r="L175" s="11" t="s">
        <v>517</v>
      </c>
      <c r="M175" s="11" t="s">
        <v>342</v>
      </c>
      <c r="N175" s="11" t="s">
        <v>723</v>
      </c>
      <c r="O175" s="11" t="s">
        <v>312</v>
      </c>
      <c r="P175" s="11" t="s">
        <v>2743</v>
      </c>
      <c r="Q175" s="11" t="s">
        <v>158</v>
      </c>
      <c r="R175" s="11" t="s">
        <v>596</v>
      </c>
      <c r="S175" s="11" t="s">
        <v>159</v>
      </c>
      <c r="T175" s="158">
        <v>3.95</v>
      </c>
      <c r="U175" s="11" t="s">
        <v>2780</v>
      </c>
      <c r="V175" s="174">
        <v>4.3749999999999997E-2</v>
      </c>
      <c r="W175" s="189">
        <v>5.9139999999999998E-2</v>
      </c>
      <c r="X175" s="4" t="s">
        <v>602</v>
      </c>
      <c r="Y175" s="4" t="s">
        <v>312</v>
      </c>
      <c r="Z175" s="158">
        <v>5000</v>
      </c>
      <c r="AA175" s="158">
        <v>3.7589999999999999</v>
      </c>
      <c r="AB175" s="158">
        <v>94.977999999999994</v>
      </c>
      <c r="AD175" s="158">
        <v>17.850999999999999</v>
      </c>
      <c r="AG175" s="11" t="s">
        <v>37</v>
      </c>
      <c r="AH175" s="189">
        <v>9.9999999999999995E-7</v>
      </c>
      <c r="AI175" s="189">
        <v>2.0013991198319201E-3</v>
      </c>
      <c r="AJ175" s="189">
        <v>4.8627524475607499E-4</v>
      </c>
    </row>
    <row r="176" spans="1:36">
      <c r="A176" s="11" t="s">
        <v>26</v>
      </c>
      <c r="B176" s="11">
        <v>13711</v>
      </c>
      <c r="C176" s="11" t="s">
        <v>2781</v>
      </c>
      <c r="D176" s="11" t="s">
        <v>2782</v>
      </c>
      <c r="E176" s="4" t="s">
        <v>505</v>
      </c>
      <c r="F176" s="11" t="s">
        <v>2783</v>
      </c>
      <c r="G176" s="11" t="s">
        <v>2784</v>
      </c>
      <c r="H176" s="11" t="s">
        <v>511</v>
      </c>
      <c r="I176" s="11" t="s">
        <v>364</v>
      </c>
      <c r="J176" s="11" t="s">
        <v>154</v>
      </c>
      <c r="K176" s="11" t="s">
        <v>155</v>
      </c>
      <c r="L176" s="11" t="s">
        <v>517</v>
      </c>
      <c r="M176" s="11" t="s">
        <v>156</v>
      </c>
      <c r="N176" s="11" t="s">
        <v>1999</v>
      </c>
      <c r="O176" s="11" t="s">
        <v>312</v>
      </c>
      <c r="P176" s="11" t="s">
        <v>2354</v>
      </c>
      <c r="Q176" s="11" t="s">
        <v>621</v>
      </c>
      <c r="R176" s="11" t="s">
        <v>596</v>
      </c>
      <c r="S176" s="11" t="s">
        <v>159</v>
      </c>
      <c r="T176" s="158">
        <v>3.57</v>
      </c>
      <c r="U176" s="11" t="s">
        <v>2785</v>
      </c>
      <c r="V176" s="174">
        <v>5.1999999999999998E-2</v>
      </c>
      <c r="W176" s="189">
        <v>5.423E-2</v>
      </c>
      <c r="X176" s="4" t="s">
        <v>602</v>
      </c>
      <c r="Y176" s="4" t="s">
        <v>312</v>
      </c>
      <c r="Z176" s="158">
        <v>5000</v>
      </c>
      <c r="AA176" s="158">
        <v>3.7589999999999999</v>
      </c>
      <c r="AB176" s="158">
        <v>102.297</v>
      </c>
      <c r="AD176" s="158">
        <v>19.227</v>
      </c>
      <c r="AG176" s="11" t="s">
        <v>37</v>
      </c>
      <c r="AH176" s="189">
        <v>1.0000000000000001E-5</v>
      </c>
      <c r="AI176" s="189">
        <v>2.1556155321348701E-3</v>
      </c>
      <c r="AJ176" s="189">
        <v>5.23744844345147E-4</v>
      </c>
    </row>
    <row r="177" spans="1:36">
      <c r="A177" s="11" t="s">
        <v>26</v>
      </c>
      <c r="B177" s="11">
        <v>13711</v>
      </c>
      <c r="C177" s="11" t="s">
        <v>2781</v>
      </c>
      <c r="D177" s="11" t="s">
        <v>2782</v>
      </c>
      <c r="E177" s="4" t="s">
        <v>505</v>
      </c>
      <c r="F177" s="11" t="s">
        <v>2786</v>
      </c>
      <c r="G177" s="11" t="s">
        <v>2787</v>
      </c>
      <c r="H177" s="11" t="s">
        <v>511</v>
      </c>
      <c r="I177" s="11" t="s">
        <v>364</v>
      </c>
      <c r="J177" s="11" t="s">
        <v>154</v>
      </c>
      <c r="K177" s="11" t="s">
        <v>155</v>
      </c>
      <c r="L177" s="11" t="s">
        <v>517</v>
      </c>
      <c r="M177" s="11" t="s">
        <v>156</v>
      </c>
      <c r="N177" s="11" t="s">
        <v>1999</v>
      </c>
      <c r="O177" s="11" t="s">
        <v>312</v>
      </c>
      <c r="P177" s="11" t="s">
        <v>2354</v>
      </c>
      <c r="Q177" s="11" t="s">
        <v>621</v>
      </c>
      <c r="R177" s="11" t="s">
        <v>596</v>
      </c>
      <c r="S177" s="11" t="s">
        <v>159</v>
      </c>
      <c r="T177" s="158">
        <v>6.91</v>
      </c>
      <c r="U177" s="11" t="s">
        <v>2788</v>
      </c>
      <c r="V177" s="174">
        <v>5.45E-2</v>
      </c>
      <c r="W177" s="189">
        <v>5.7049999999999997E-2</v>
      </c>
      <c r="X177" s="4" t="s">
        <v>602</v>
      </c>
      <c r="Y177" s="4" t="s">
        <v>312</v>
      </c>
      <c r="Z177" s="158">
        <v>5000</v>
      </c>
      <c r="AA177" s="158">
        <v>3.7589999999999999</v>
      </c>
      <c r="AB177" s="158">
        <v>102.005</v>
      </c>
      <c r="AD177" s="158">
        <v>19.172000000000001</v>
      </c>
      <c r="AG177" s="11" t="s">
        <v>37</v>
      </c>
      <c r="AH177" s="189">
        <v>5.0000000000000004E-6</v>
      </c>
      <c r="AI177" s="189">
        <v>2.14947358335929E-3</v>
      </c>
      <c r="AJ177" s="189">
        <v>5.2225254947276098E-4</v>
      </c>
    </row>
    <row r="178" spans="1:36">
      <c r="A178" s="11" t="s">
        <v>26</v>
      </c>
      <c r="B178" s="11">
        <v>13711</v>
      </c>
      <c r="C178" s="11" t="s">
        <v>2789</v>
      </c>
      <c r="D178" s="11" t="s">
        <v>2790</v>
      </c>
      <c r="E178" s="4" t="s">
        <v>505</v>
      </c>
      <c r="F178" s="11" t="s">
        <v>2791</v>
      </c>
      <c r="G178" s="11" t="s">
        <v>2792</v>
      </c>
      <c r="H178" s="11" t="s">
        <v>511</v>
      </c>
      <c r="I178" s="11" t="s">
        <v>364</v>
      </c>
      <c r="J178" s="11" t="s">
        <v>154</v>
      </c>
      <c r="K178" s="11" t="s">
        <v>474</v>
      </c>
      <c r="L178" s="11" t="s">
        <v>517</v>
      </c>
      <c r="M178" s="11" t="s">
        <v>342</v>
      </c>
      <c r="N178" s="11" t="s">
        <v>746</v>
      </c>
      <c r="O178" s="11" t="s">
        <v>312</v>
      </c>
      <c r="P178" s="11" t="s">
        <v>2354</v>
      </c>
      <c r="Q178" s="11" t="s">
        <v>621</v>
      </c>
      <c r="R178" s="11" t="s">
        <v>596</v>
      </c>
      <c r="S178" s="11" t="s">
        <v>159</v>
      </c>
      <c r="T178" s="158">
        <v>3.45</v>
      </c>
      <c r="U178" s="11" t="s">
        <v>2793</v>
      </c>
      <c r="V178" s="174">
        <v>5.7000000000000002E-2</v>
      </c>
      <c r="W178" s="189">
        <v>5.4559999999999997E-2</v>
      </c>
      <c r="X178" s="4" t="s">
        <v>602</v>
      </c>
      <c r="Y178" s="4" t="s">
        <v>312</v>
      </c>
      <c r="Z178" s="158">
        <v>5000</v>
      </c>
      <c r="AA178" s="158">
        <v>3.7589999999999999</v>
      </c>
      <c r="AB178" s="158">
        <v>101.672</v>
      </c>
      <c r="AD178" s="158">
        <v>19.109000000000002</v>
      </c>
      <c r="AG178" s="11" t="s">
        <v>37</v>
      </c>
      <c r="AH178" s="189">
        <v>5.0000000000000004E-6</v>
      </c>
      <c r="AI178" s="189">
        <v>2.1424466032648501E-3</v>
      </c>
      <c r="AJ178" s="189">
        <v>5.2054522061892902E-4</v>
      </c>
    </row>
    <row r="179" spans="1:36">
      <c r="A179" s="11" t="s">
        <v>26</v>
      </c>
      <c r="B179" s="11">
        <v>13711</v>
      </c>
      <c r="C179" s="11" t="s">
        <v>2789</v>
      </c>
      <c r="D179" s="11" t="s">
        <v>2790</v>
      </c>
      <c r="E179" s="4" t="s">
        <v>505</v>
      </c>
      <c r="F179" s="11" t="s">
        <v>2794</v>
      </c>
      <c r="G179" s="11" t="s">
        <v>2795</v>
      </c>
      <c r="H179" s="11" t="s">
        <v>511</v>
      </c>
      <c r="I179" s="11" t="s">
        <v>364</v>
      </c>
      <c r="J179" s="11" t="s">
        <v>154</v>
      </c>
      <c r="K179" s="11" t="s">
        <v>155</v>
      </c>
      <c r="L179" s="11" t="s">
        <v>517</v>
      </c>
      <c r="M179" s="11" t="s">
        <v>342</v>
      </c>
      <c r="N179" s="11" t="s">
        <v>746</v>
      </c>
      <c r="O179" s="11" t="s">
        <v>312</v>
      </c>
      <c r="P179" s="11" t="s">
        <v>2354</v>
      </c>
      <c r="Q179" s="11" t="s">
        <v>621</v>
      </c>
      <c r="R179" s="11" t="s">
        <v>596</v>
      </c>
      <c r="S179" s="11" t="s">
        <v>159</v>
      </c>
      <c r="T179" s="158">
        <v>3.45</v>
      </c>
      <c r="U179" s="11" t="s">
        <v>2793</v>
      </c>
      <c r="V179" s="174">
        <v>5.7000000000000002E-2</v>
      </c>
      <c r="W179" s="189">
        <v>5.4649999999999997E-2</v>
      </c>
      <c r="X179" s="4" t="s">
        <v>602</v>
      </c>
      <c r="Y179" s="4" t="s">
        <v>312</v>
      </c>
      <c r="Z179" s="158">
        <v>5000</v>
      </c>
      <c r="AA179" s="158">
        <v>3.7589999999999999</v>
      </c>
      <c r="AB179" s="158">
        <v>101.532</v>
      </c>
      <c r="AD179" s="158">
        <v>19.082999999999998</v>
      </c>
      <c r="AG179" s="11" t="s">
        <v>37</v>
      </c>
      <c r="AH179" s="189">
        <v>5.0000000000000004E-6</v>
      </c>
      <c r="AI179" s="189">
        <v>2.1394964988686099E-3</v>
      </c>
      <c r="AJ179" s="189">
        <v>5.1982844068077395E-4</v>
      </c>
    </row>
    <row r="180" spans="1:36">
      <c r="A180" s="11" t="s">
        <v>26</v>
      </c>
      <c r="B180" s="11">
        <v>13711</v>
      </c>
      <c r="C180" s="11" t="s">
        <v>2115</v>
      </c>
      <c r="D180" s="11" t="s">
        <v>2116</v>
      </c>
      <c r="E180" s="4" t="s">
        <v>505</v>
      </c>
      <c r="F180" s="11" t="s">
        <v>2796</v>
      </c>
      <c r="G180" s="11" t="s">
        <v>2797</v>
      </c>
      <c r="H180" s="11" t="s">
        <v>511</v>
      </c>
      <c r="I180" s="11" t="s">
        <v>364</v>
      </c>
      <c r="J180" s="11" t="s">
        <v>154</v>
      </c>
      <c r="K180" s="11" t="s">
        <v>446</v>
      </c>
      <c r="L180" s="11" t="s">
        <v>517</v>
      </c>
      <c r="M180" s="11" t="s">
        <v>553</v>
      </c>
      <c r="N180" s="11" t="s">
        <v>757</v>
      </c>
      <c r="O180" s="11" t="s">
        <v>312</v>
      </c>
      <c r="P180" s="11" t="s">
        <v>2221</v>
      </c>
      <c r="Q180" s="11" t="s">
        <v>158</v>
      </c>
      <c r="R180" s="11" t="s">
        <v>596</v>
      </c>
      <c r="S180" s="11" t="s">
        <v>169</v>
      </c>
      <c r="T180" s="158">
        <v>3.43</v>
      </c>
      <c r="U180" s="11" t="s">
        <v>2798</v>
      </c>
      <c r="V180" s="174">
        <v>1.25E-3</v>
      </c>
      <c r="W180" s="189">
        <v>4.9979999999999997E-2</v>
      </c>
      <c r="X180" s="4" t="s">
        <v>602</v>
      </c>
      <c r="Y180" s="4" t="s">
        <v>312</v>
      </c>
      <c r="Z180" s="158">
        <v>3000</v>
      </c>
      <c r="AA180" s="158">
        <v>4.0199999999999996</v>
      </c>
      <c r="AB180" s="158">
        <v>85.742999999999995</v>
      </c>
      <c r="AD180" s="158">
        <v>10.340999999999999</v>
      </c>
      <c r="AG180" s="11" t="s">
        <v>37</v>
      </c>
      <c r="AH180" s="189">
        <v>3.0000000000000001E-6</v>
      </c>
      <c r="AI180" s="189">
        <v>1.1594089102450499E-3</v>
      </c>
      <c r="AJ180" s="189">
        <v>2.81698860569667E-4</v>
      </c>
    </row>
    <row r="181" spans="1:36">
      <c r="A181" s="11" t="s">
        <v>26</v>
      </c>
      <c r="B181" s="11">
        <v>13711</v>
      </c>
      <c r="C181" s="11" t="s">
        <v>1742</v>
      </c>
      <c r="D181" s="11" t="s">
        <v>1743</v>
      </c>
      <c r="E181" s="4" t="s">
        <v>1552</v>
      </c>
      <c r="F181" s="11" t="s">
        <v>2799</v>
      </c>
      <c r="G181" s="11" t="s">
        <v>2800</v>
      </c>
      <c r="H181" s="11" t="s">
        <v>511</v>
      </c>
      <c r="I181" s="11" t="s">
        <v>364</v>
      </c>
      <c r="J181" s="11" t="s">
        <v>31</v>
      </c>
      <c r="K181" s="11" t="s">
        <v>31</v>
      </c>
      <c r="L181" s="11" t="s">
        <v>517</v>
      </c>
      <c r="M181" s="11" t="s">
        <v>342</v>
      </c>
      <c r="N181" s="11" t="s">
        <v>725</v>
      </c>
      <c r="O181" s="11" t="s">
        <v>312</v>
      </c>
      <c r="P181" s="11" t="s">
        <v>2801</v>
      </c>
      <c r="Q181" s="11" t="s">
        <v>158</v>
      </c>
      <c r="R181" s="11" t="s">
        <v>596</v>
      </c>
      <c r="S181" s="11" t="s">
        <v>159</v>
      </c>
      <c r="T181" s="158">
        <v>3.2</v>
      </c>
      <c r="U181" s="11" t="s">
        <v>2802</v>
      </c>
      <c r="V181" s="174">
        <v>5.3749999999999999E-2</v>
      </c>
      <c r="W181" s="189">
        <v>6.182E-2</v>
      </c>
      <c r="X181" s="4" t="s">
        <v>602</v>
      </c>
      <c r="Y181" s="4" t="s">
        <v>312</v>
      </c>
      <c r="Z181" s="158">
        <v>5000</v>
      </c>
      <c r="AA181" s="158">
        <v>3.7589999999999999</v>
      </c>
      <c r="AB181" s="158">
        <v>99.41</v>
      </c>
      <c r="AD181" s="158">
        <v>18.684000000000001</v>
      </c>
      <c r="AG181" s="11" t="s">
        <v>37</v>
      </c>
      <c r="AH181" s="189">
        <v>6.0000000000000002E-6</v>
      </c>
      <c r="AI181" s="189">
        <v>2.0947912911575802E-3</v>
      </c>
      <c r="AJ181" s="189">
        <v>5.0896652133338403E-4</v>
      </c>
    </row>
    <row r="182" spans="1:36">
      <c r="A182" s="11" t="s">
        <v>26</v>
      </c>
      <c r="B182" s="11">
        <v>13711</v>
      </c>
      <c r="C182" s="11" t="s">
        <v>2803</v>
      </c>
      <c r="D182" s="11" t="s">
        <v>2804</v>
      </c>
      <c r="E182" s="4" t="s">
        <v>505</v>
      </c>
      <c r="F182" s="11" t="s">
        <v>2805</v>
      </c>
      <c r="G182" s="11" t="s">
        <v>2806</v>
      </c>
      <c r="H182" s="11" t="s">
        <v>511</v>
      </c>
      <c r="I182" s="11" t="s">
        <v>364</v>
      </c>
      <c r="J182" s="11" t="s">
        <v>154</v>
      </c>
      <c r="K182" s="11" t="s">
        <v>155</v>
      </c>
      <c r="L182" s="11" t="s">
        <v>517</v>
      </c>
      <c r="M182" s="11" t="s">
        <v>342</v>
      </c>
      <c r="N182" s="11" t="s">
        <v>737</v>
      </c>
      <c r="O182" s="11" t="s">
        <v>312</v>
      </c>
      <c r="P182" s="11" t="s">
        <v>2206</v>
      </c>
      <c r="Q182" s="11" t="s">
        <v>158</v>
      </c>
      <c r="R182" s="11" t="s">
        <v>596</v>
      </c>
      <c r="S182" s="11" t="s">
        <v>159</v>
      </c>
      <c r="T182" s="158">
        <v>1.58</v>
      </c>
      <c r="U182" s="11" t="s">
        <v>2807</v>
      </c>
      <c r="V182" s="174">
        <v>4.8750000000000002E-2</v>
      </c>
      <c r="W182" s="189">
        <v>5.2900000000000003E-2</v>
      </c>
      <c r="X182" s="4" t="s">
        <v>602</v>
      </c>
      <c r="Y182" s="4" t="s">
        <v>312</v>
      </c>
      <c r="Z182" s="158">
        <v>5000</v>
      </c>
      <c r="AA182" s="158">
        <v>3.7589999999999999</v>
      </c>
      <c r="AB182" s="158">
        <v>101.283</v>
      </c>
      <c r="AD182" s="158">
        <v>19.036000000000001</v>
      </c>
      <c r="AG182" s="11" t="s">
        <v>37</v>
      </c>
      <c r="AH182" s="189">
        <v>0</v>
      </c>
      <c r="AI182" s="189">
        <v>2.1342495274781501E-3</v>
      </c>
      <c r="AJ182" s="189">
        <v>5.1855359636219698E-4</v>
      </c>
    </row>
    <row r="183" spans="1:36">
      <c r="A183" s="11" t="s">
        <v>26</v>
      </c>
      <c r="B183" s="11">
        <v>13711</v>
      </c>
      <c r="C183" s="11" t="s">
        <v>2808</v>
      </c>
      <c r="D183" s="11" t="s">
        <v>2809</v>
      </c>
      <c r="E183" s="4" t="s">
        <v>505</v>
      </c>
      <c r="F183" s="11" t="s">
        <v>2810</v>
      </c>
      <c r="G183" s="11" t="s">
        <v>2811</v>
      </c>
      <c r="H183" s="11" t="s">
        <v>511</v>
      </c>
      <c r="I183" s="11" t="s">
        <v>364</v>
      </c>
      <c r="J183" s="11" t="s">
        <v>154</v>
      </c>
      <c r="K183" s="11" t="s">
        <v>155</v>
      </c>
      <c r="L183" s="11" t="s">
        <v>517</v>
      </c>
      <c r="M183" s="11" t="s">
        <v>342</v>
      </c>
      <c r="N183" s="11" t="s">
        <v>719</v>
      </c>
      <c r="O183" s="11" t="s">
        <v>312</v>
      </c>
      <c r="P183" s="11" t="s">
        <v>2769</v>
      </c>
      <c r="Q183" s="11" t="s">
        <v>158</v>
      </c>
      <c r="R183" s="11" t="s">
        <v>596</v>
      </c>
      <c r="S183" s="11" t="s">
        <v>159</v>
      </c>
      <c r="T183" s="158">
        <v>3.42</v>
      </c>
      <c r="U183" s="11" t="s">
        <v>2175</v>
      </c>
      <c r="V183" s="174">
        <v>5.7000000000000002E-2</v>
      </c>
      <c r="W183" s="189">
        <v>5.6270000000000001E-2</v>
      </c>
      <c r="X183" s="4" t="s">
        <v>602</v>
      </c>
      <c r="Y183" s="4" t="s">
        <v>312</v>
      </c>
      <c r="Z183" s="158">
        <v>5000</v>
      </c>
      <c r="AA183" s="158">
        <v>3.7589999999999999</v>
      </c>
      <c r="AB183" s="158">
        <v>101.53100000000001</v>
      </c>
      <c r="AD183" s="158">
        <v>19.082999999999998</v>
      </c>
      <c r="AG183" s="11" t="s">
        <v>37</v>
      </c>
      <c r="AH183" s="189">
        <v>0</v>
      </c>
      <c r="AI183" s="189">
        <v>2.1394894607624001E-3</v>
      </c>
      <c r="AJ183" s="189">
        <v>5.1982673064863505E-4</v>
      </c>
    </row>
    <row r="184" spans="1:36">
      <c r="A184" s="11" t="s">
        <v>26</v>
      </c>
      <c r="B184" s="11">
        <v>13711</v>
      </c>
      <c r="C184" s="11" t="s">
        <v>1786</v>
      </c>
      <c r="D184" s="11" t="s">
        <v>1787</v>
      </c>
      <c r="E184" s="4" t="s">
        <v>1552</v>
      </c>
      <c r="F184" s="11" t="s">
        <v>2812</v>
      </c>
      <c r="G184" s="11" t="s">
        <v>2813</v>
      </c>
      <c r="H184" s="11" t="s">
        <v>511</v>
      </c>
      <c r="I184" s="11" t="s">
        <v>364</v>
      </c>
      <c r="J184" s="11" t="s">
        <v>31</v>
      </c>
      <c r="K184" s="11" t="s">
        <v>155</v>
      </c>
      <c r="L184" s="11" t="s">
        <v>517</v>
      </c>
      <c r="M184" s="11" t="s">
        <v>342</v>
      </c>
      <c r="N184" s="11" t="s">
        <v>723</v>
      </c>
      <c r="O184" s="11" t="s">
        <v>312</v>
      </c>
      <c r="P184" s="11" t="s">
        <v>2814</v>
      </c>
      <c r="Q184" s="11" t="s">
        <v>158</v>
      </c>
      <c r="R184" s="11" t="s">
        <v>596</v>
      </c>
      <c r="S184" s="11" t="s">
        <v>169</v>
      </c>
      <c r="T184" s="158">
        <v>4.17</v>
      </c>
      <c r="U184" s="11" t="s">
        <v>2815</v>
      </c>
      <c r="V184" s="174">
        <v>7.3749999999999996E-2</v>
      </c>
      <c r="W184" s="189">
        <v>5.0279999999999998E-2</v>
      </c>
      <c r="X184" s="4" t="s">
        <v>602</v>
      </c>
      <c r="Y184" s="4" t="s">
        <v>312</v>
      </c>
      <c r="Z184" s="158">
        <v>1000</v>
      </c>
      <c r="AA184" s="158">
        <v>4.0199999999999996</v>
      </c>
      <c r="AB184" s="158">
        <v>113.035</v>
      </c>
      <c r="AD184" s="158">
        <v>4.5439999999999996</v>
      </c>
      <c r="AG184" s="11" t="s">
        <v>37</v>
      </c>
      <c r="AH184" s="189">
        <v>9.9999999999999995E-7</v>
      </c>
      <c r="AI184" s="189">
        <v>5.0948073960952302E-4</v>
      </c>
      <c r="AJ184" s="189">
        <v>1.2378733901558501E-4</v>
      </c>
    </row>
    <row r="185" spans="1:36">
      <c r="A185" s="11" t="s">
        <v>26</v>
      </c>
      <c r="B185" s="11">
        <v>13711</v>
      </c>
      <c r="C185" s="11" t="s">
        <v>1786</v>
      </c>
      <c r="D185" s="11" t="s">
        <v>1787</v>
      </c>
      <c r="E185" s="4" t="s">
        <v>1552</v>
      </c>
      <c r="F185" s="11" t="s">
        <v>2816</v>
      </c>
      <c r="G185" s="11" t="s">
        <v>2817</v>
      </c>
      <c r="H185" s="11" t="s">
        <v>511</v>
      </c>
      <c r="I185" s="11" t="s">
        <v>364</v>
      </c>
      <c r="J185" s="11" t="s">
        <v>31</v>
      </c>
      <c r="K185" s="11" t="s">
        <v>155</v>
      </c>
      <c r="L185" s="11" t="s">
        <v>517</v>
      </c>
      <c r="M185" s="11" t="s">
        <v>342</v>
      </c>
      <c r="N185" s="11" t="s">
        <v>723</v>
      </c>
      <c r="O185" s="11" t="s">
        <v>312</v>
      </c>
      <c r="P185" s="11" t="s">
        <v>2814</v>
      </c>
      <c r="Q185" s="11" t="s">
        <v>158</v>
      </c>
      <c r="R185" s="11" t="s">
        <v>596</v>
      </c>
      <c r="S185" s="11" t="s">
        <v>169</v>
      </c>
      <c r="T185" s="158">
        <v>5.43</v>
      </c>
      <c r="U185" s="11" t="s">
        <v>2818</v>
      </c>
      <c r="V185" s="174">
        <v>7.8750000000000001E-2</v>
      </c>
      <c r="W185" s="189">
        <v>5.2429999999999997E-2</v>
      </c>
      <c r="X185" s="4" t="s">
        <v>602</v>
      </c>
      <c r="Y185" s="4" t="s">
        <v>312</v>
      </c>
      <c r="Z185" s="158">
        <v>1000</v>
      </c>
      <c r="AA185" s="158">
        <v>4.0199999999999996</v>
      </c>
      <c r="AB185" s="158">
        <v>117.645</v>
      </c>
      <c r="AD185" s="158">
        <v>4.7300000000000004</v>
      </c>
      <c r="AG185" s="11" t="s">
        <v>37</v>
      </c>
      <c r="AH185" s="189">
        <v>1.9999999999999999E-6</v>
      </c>
      <c r="AI185" s="189">
        <v>5.3025858595417399E-4</v>
      </c>
      <c r="AJ185" s="189">
        <v>1.2883568355447799E-4</v>
      </c>
    </row>
    <row r="186" spans="1:36">
      <c r="A186" s="11" t="s">
        <v>26</v>
      </c>
      <c r="B186" s="11">
        <v>13711</v>
      </c>
      <c r="C186" s="11" t="s">
        <v>1674</v>
      </c>
      <c r="D186" s="11" t="s">
        <v>1675</v>
      </c>
      <c r="E186" s="4" t="s">
        <v>1552</v>
      </c>
      <c r="F186" s="11" t="s">
        <v>2819</v>
      </c>
      <c r="G186" s="11" t="s">
        <v>2820</v>
      </c>
      <c r="H186" s="11" t="s">
        <v>511</v>
      </c>
      <c r="I186" s="11" t="s">
        <v>1154</v>
      </c>
      <c r="J186" s="11" t="s">
        <v>31</v>
      </c>
      <c r="K186" s="11" t="s">
        <v>155</v>
      </c>
      <c r="L186" s="11" t="s">
        <v>517</v>
      </c>
      <c r="M186" s="11" t="s">
        <v>32</v>
      </c>
      <c r="N186" s="11" t="s">
        <v>629</v>
      </c>
      <c r="O186" s="11" t="s">
        <v>312</v>
      </c>
      <c r="P186" s="11" t="s">
        <v>2165</v>
      </c>
      <c r="Q186" s="27" t="s">
        <v>2165</v>
      </c>
      <c r="R186" s="16" t="s">
        <v>2165</v>
      </c>
      <c r="S186" s="11" t="s">
        <v>35</v>
      </c>
      <c r="T186" s="158">
        <v>0.627</v>
      </c>
      <c r="U186" s="11" t="s">
        <v>2821</v>
      </c>
      <c r="V186" s="174">
        <v>4.2500000000000003E-2</v>
      </c>
      <c r="W186" s="189">
        <v>5.5780000000000003E-2</v>
      </c>
      <c r="X186" s="4" t="s">
        <v>602</v>
      </c>
      <c r="Y186" s="4" t="s">
        <v>312</v>
      </c>
      <c r="Z186" s="158">
        <v>66422.64</v>
      </c>
      <c r="AA186" s="158">
        <v>1</v>
      </c>
      <c r="AB186" s="158">
        <v>100.64</v>
      </c>
      <c r="AD186" s="158">
        <v>66.847999999999999</v>
      </c>
      <c r="AG186" s="11" t="s">
        <v>37</v>
      </c>
      <c r="AH186" s="189">
        <v>8.0000000000000004E-4</v>
      </c>
      <c r="AI186" s="189">
        <v>7.4946918289952001E-3</v>
      </c>
      <c r="AJ186" s="189">
        <v>1.8209676757637799E-3</v>
      </c>
    </row>
    <row r="187" spans="1:36">
      <c r="A187" s="11" t="s">
        <v>26</v>
      </c>
      <c r="B187" s="11">
        <v>13711</v>
      </c>
      <c r="C187" s="11" t="s">
        <v>2323</v>
      </c>
      <c r="D187" s="11" t="s">
        <v>2324</v>
      </c>
      <c r="E187" s="4" t="s">
        <v>504</v>
      </c>
      <c r="F187" s="11" t="s">
        <v>2822</v>
      </c>
      <c r="G187" s="11" t="s">
        <v>2823</v>
      </c>
      <c r="H187" s="11" t="s">
        <v>511</v>
      </c>
      <c r="I187" s="11" t="s">
        <v>1154</v>
      </c>
      <c r="J187" s="11" t="s">
        <v>154</v>
      </c>
      <c r="K187" s="11" t="s">
        <v>155</v>
      </c>
      <c r="L187" s="11" t="s">
        <v>517</v>
      </c>
      <c r="M187" s="11" t="s">
        <v>32</v>
      </c>
      <c r="N187" s="11" t="s">
        <v>653</v>
      </c>
      <c r="O187" s="11" t="s">
        <v>312</v>
      </c>
      <c r="P187" s="11" t="s">
        <v>2161</v>
      </c>
      <c r="Q187" s="11" t="s">
        <v>358</v>
      </c>
      <c r="R187" s="11" t="s">
        <v>596</v>
      </c>
      <c r="S187" s="11" t="s">
        <v>35</v>
      </c>
      <c r="T187" s="158">
        <v>1.105</v>
      </c>
      <c r="U187" s="11" t="s">
        <v>119</v>
      </c>
      <c r="V187" s="174">
        <v>5.9499999999999997E-2</v>
      </c>
      <c r="W187" s="189">
        <v>7.4579999999999994E-2</v>
      </c>
      <c r="X187" s="4" t="s">
        <v>602</v>
      </c>
      <c r="Y187" s="4" t="s">
        <v>530</v>
      </c>
      <c r="Z187" s="158">
        <v>29027.95</v>
      </c>
      <c r="AA187" s="158">
        <v>1</v>
      </c>
      <c r="AB187" s="158">
        <v>99.4</v>
      </c>
      <c r="AD187" s="158">
        <v>28.853999999999999</v>
      </c>
      <c r="AG187" s="11" t="s">
        <v>37</v>
      </c>
      <c r="AH187" s="189">
        <v>1.01E-4</v>
      </c>
      <c r="AI187" s="189">
        <v>3.2349663668662701E-3</v>
      </c>
      <c r="AJ187" s="189">
        <v>7.8599218228779803E-4</v>
      </c>
    </row>
    <row r="188" spans="1:36">
      <c r="A188" s="11" t="s">
        <v>26</v>
      </c>
      <c r="B188" s="11">
        <v>13711</v>
      </c>
      <c r="C188" s="11" t="s">
        <v>1754</v>
      </c>
      <c r="D188" s="11" t="s">
        <v>1755</v>
      </c>
      <c r="E188" s="4" t="s">
        <v>1552</v>
      </c>
      <c r="F188" s="11" t="s">
        <v>2824</v>
      </c>
      <c r="G188" s="11" t="s">
        <v>2825</v>
      </c>
      <c r="H188" s="11" t="s">
        <v>511</v>
      </c>
      <c r="I188" s="11" t="s">
        <v>1154</v>
      </c>
      <c r="J188" s="11" t="s">
        <v>154</v>
      </c>
      <c r="K188" s="11" t="s">
        <v>31</v>
      </c>
      <c r="L188" s="11" t="s">
        <v>517</v>
      </c>
      <c r="M188" s="11" t="s">
        <v>32</v>
      </c>
      <c r="N188" s="11" t="s">
        <v>635</v>
      </c>
      <c r="O188" s="11" t="s">
        <v>312</v>
      </c>
      <c r="P188" s="11" t="s">
        <v>168</v>
      </c>
      <c r="Q188" s="11" t="s">
        <v>604</v>
      </c>
      <c r="R188" s="11" t="s">
        <v>596</v>
      </c>
      <c r="S188" s="11" t="s">
        <v>35</v>
      </c>
      <c r="T188" s="158">
        <v>0.98399999999999999</v>
      </c>
      <c r="U188" s="11" t="s">
        <v>2188</v>
      </c>
      <c r="V188" s="174">
        <v>4.1700000000000001E-2</v>
      </c>
      <c r="W188" s="189">
        <v>5.5230000000000001E-2</v>
      </c>
      <c r="X188" s="4" t="s">
        <v>602</v>
      </c>
      <c r="Y188" s="4" t="s">
        <v>312</v>
      </c>
      <c r="Z188" s="158">
        <v>57272.73</v>
      </c>
      <c r="AA188" s="158">
        <v>1</v>
      </c>
      <c r="AB188" s="158">
        <v>98.79</v>
      </c>
      <c r="AD188" s="158">
        <v>56.58</v>
      </c>
      <c r="AG188" s="11" t="s">
        <v>37</v>
      </c>
      <c r="AH188" s="189">
        <v>2.99E-4</v>
      </c>
      <c r="AI188" s="189">
        <v>6.3434845936860204E-3</v>
      </c>
      <c r="AJ188" s="189">
        <v>1.5412615568953199E-3</v>
      </c>
    </row>
    <row r="189" spans="1:36">
      <c r="A189" s="11" t="s">
        <v>26</v>
      </c>
      <c r="B189" s="11">
        <v>13711</v>
      </c>
      <c r="C189" s="11" t="s">
        <v>2826</v>
      </c>
      <c r="D189" s="11" t="s">
        <v>2827</v>
      </c>
      <c r="E189" s="4" t="s">
        <v>1552</v>
      </c>
      <c r="F189" s="11" t="s">
        <v>2828</v>
      </c>
      <c r="G189" s="11" t="s">
        <v>2829</v>
      </c>
      <c r="H189" s="11" t="s">
        <v>511</v>
      </c>
      <c r="I189" s="11" t="s">
        <v>1155</v>
      </c>
      <c r="J189" s="11" t="s">
        <v>31</v>
      </c>
      <c r="K189" s="11" t="s">
        <v>31</v>
      </c>
      <c r="L189" s="11" t="s">
        <v>517</v>
      </c>
      <c r="M189" s="11" t="s">
        <v>32</v>
      </c>
      <c r="N189" s="11" t="s">
        <v>667</v>
      </c>
      <c r="O189" s="11" t="s">
        <v>312</v>
      </c>
      <c r="P189" s="11" t="s">
        <v>174</v>
      </c>
      <c r="Q189" s="11" t="s">
        <v>604</v>
      </c>
      <c r="R189" s="11" t="s">
        <v>596</v>
      </c>
      <c r="S189" s="11" t="s">
        <v>35</v>
      </c>
      <c r="T189" s="158">
        <v>1.478</v>
      </c>
      <c r="U189" s="11" t="s">
        <v>2203</v>
      </c>
      <c r="V189" s="174">
        <v>1.4999999999999999E-2</v>
      </c>
      <c r="W189" s="189">
        <v>5.1529999999999999E-2</v>
      </c>
      <c r="X189" s="4" t="s">
        <v>602</v>
      </c>
      <c r="Y189" s="4" t="s">
        <v>312</v>
      </c>
      <c r="Z189" s="158">
        <v>666.67</v>
      </c>
      <c r="AA189" s="158">
        <v>1</v>
      </c>
      <c r="AB189" s="158">
        <v>94.9</v>
      </c>
      <c r="AD189" s="158">
        <v>0.63300000000000001</v>
      </c>
      <c r="AG189" s="11" t="s">
        <v>37</v>
      </c>
      <c r="AH189" s="189">
        <v>1.2999999999999999E-5</v>
      </c>
      <c r="AI189" s="189">
        <v>7.0932316605889093E-5</v>
      </c>
      <c r="AJ189" s="189">
        <v>1.7234258412955101E-5</v>
      </c>
    </row>
    <row r="190" spans="1:36">
      <c r="A190" s="11" t="s">
        <v>26</v>
      </c>
      <c r="B190" s="11">
        <v>13711</v>
      </c>
      <c r="C190" s="11" t="s">
        <v>2830</v>
      </c>
      <c r="D190" s="11" t="s">
        <v>2831</v>
      </c>
      <c r="E190" s="4" t="s">
        <v>504</v>
      </c>
      <c r="F190" s="11" t="s">
        <v>2832</v>
      </c>
      <c r="G190" s="11" t="s">
        <v>2833</v>
      </c>
      <c r="H190" s="11" t="s">
        <v>511</v>
      </c>
      <c r="I190" s="11" t="s">
        <v>364</v>
      </c>
      <c r="J190" s="11" t="s">
        <v>31</v>
      </c>
      <c r="K190" s="11" t="s">
        <v>31</v>
      </c>
      <c r="L190" s="11" t="s">
        <v>517</v>
      </c>
      <c r="M190" s="11" t="s">
        <v>32</v>
      </c>
      <c r="N190" s="11" t="s">
        <v>669</v>
      </c>
      <c r="O190" s="11" t="s">
        <v>312</v>
      </c>
      <c r="P190" s="11" t="s">
        <v>2394</v>
      </c>
      <c r="Q190" s="11" t="s">
        <v>358</v>
      </c>
      <c r="R190" s="11" t="s">
        <v>596</v>
      </c>
      <c r="S190" s="11" t="s">
        <v>35</v>
      </c>
      <c r="T190" s="158">
        <v>1</v>
      </c>
      <c r="U190" s="11" t="s">
        <v>2834</v>
      </c>
      <c r="V190" s="174">
        <v>3.3700000000000001E-2</v>
      </c>
      <c r="W190" s="189">
        <v>6.54E-2</v>
      </c>
      <c r="X190" s="4" t="s">
        <v>602</v>
      </c>
      <c r="Y190" s="4" t="s">
        <v>312</v>
      </c>
      <c r="Z190" s="158">
        <v>17333.330000000002</v>
      </c>
      <c r="AA190" s="158">
        <v>1</v>
      </c>
      <c r="AB190" s="158">
        <v>103.29</v>
      </c>
      <c r="AC190" s="158">
        <v>0.31</v>
      </c>
      <c r="AD190" s="158">
        <v>18.213999999999999</v>
      </c>
      <c r="AG190" s="11" t="s">
        <v>37</v>
      </c>
      <c r="AH190" s="189">
        <v>1.2400000000000001E-4</v>
      </c>
      <c r="AI190" s="189">
        <v>2.0420878206697398E-3</v>
      </c>
      <c r="AJ190" s="189">
        <v>4.9616128285944903E-4</v>
      </c>
    </row>
    <row r="191" spans="1:36">
      <c r="A191" s="11" t="s">
        <v>26</v>
      </c>
      <c r="B191" s="11">
        <v>13711</v>
      </c>
      <c r="C191" s="11" t="s">
        <v>1947</v>
      </c>
      <c r="D191" s="11" t="s">
        <v>1948</v>
      </c>
      <c r="E191" s="4" t="s">
        <v>1552</v>
      </c>
      <c r="F191" s="11" t="s">
        <v>2835</v>
      </c>
      <c r="G191" s="11" t="s">
        <v>2836</v>
      </c>
      <c r="H191" s="11" t="s">
        <v>511</v>
      </c>
      <c r="I191" s="11" t="s">
        <v>1154</v>
      </c>
      <c r="J191" s="11" t="s">
        <v>31</v>
      </c>
      <c r="K191" s="11" t="s">
        <v>31</v>
      </c>
      <c r="L191" s="11" t="s">
        <v>517</v>
      </c>
      <c r="M191" s="11" t="s">
        <v>32</v>
      </c>
      <c r="N191" s="11" t="s">
        <v>635</v>
      </c>
      <c r="O191" s="11" t="s">
        <v>312</v>
      </c>
      <c r="P191" s="11" t="s">
        <v>174</v>
      </c>
      <c r="Q191" s="11" t="s">
        <v>604</v>
      </c>
      <c r="R191" s="11" t="s">
        <v>596</v>
      </c>
      <c r="S191" s="11" t="s">
        <v>35</v>
      </c>
      <c r="T191" s="158">
        <v>1.4630000000000001</v>
      </c>
      <c r="U191" s="11" t="s">
        <v>2333</v>
      </c>
      <c r="V191" s="174">
        <v>0.02</v>
      </c>
      <c r="W191" s="189">
        <v>5.7119999999999997E-2</v>
      </c>
      <c r="X191" s="4" t="s">
        <v>602</v>
      </c>
      <c r="Y191" s="4" t="s">
        <v>312</v>
      </c>
      <c r="Z191" s="158">
        <v>45000</v>
      </c>
      <c r="AA191" s="158">
        <v>1</v>
      </c>
      <c r="AB191" s="158">
        <v>94.88</v>
      </c>
      <c r="AD191" s="158">
        <v>42.695999999999998</v>
      </c>
      <c r="AG191" s="11" t="s">
        <v>37</v>
      </c>
      <c r="AH191" s="189">
        <v>1.2899999999999999E-4</v>
      </c>
      <c r="AI191" s="189">
        <v>4.7868983886983204E-3</v>
      </c>
      <c r="AJ191" s="189">
        <v>1.16306146161503E-3</v>
      </c>
    </row>
    <row r="192" spans="1:36">
      <c r="A192" s="11" t="s">
        <v>26</v>
      </c>
      <c r="B192" s="11">
        <v>13711</v>
      </c>
      <c r="C192" s="11" t="s">
        <v>2837</v>
      </c>
      <c r="D192" s="11" t="s">
        <v>2838</v>
      </c>
      <c r="E192" s="4" t="s">
        <v>1552</v>
      </c>
      <c r="F192" s="11" t="s">
        <v>2839</v>
      </c>
      <c r="G192" s="11" t="s">
        <v>2840</v>
      </c>
      <c r="H192" s="11" t="s">
        <v>511</v>
      </c>
      <c r="I192" s="11" t="s">
        <v>945</v>
      </c>
      <c r="J192" s="11" t="s">
        <v>154</v>
      </c>
      <c r="K192" s="11" t="s">
        <v>31</v>
      </c>
      <c r="L192" s="11" t="s">
        <v>517</v>
      </c>
      <c r="M192" s="11" t="s">
        <v>32</v>
      </c>
      <c r="N192" s="11" t="s">
        <v>635</v>
      </c>
      <c r="O192" s="11" t="s">
        <v>312</v>
      </c>
      <c r="P192" s="11" t="s">
        <v>2165</v>
      </c>
      <c r="Q192" s="27" t="s">
        <v>2165</v>
      </c>
      <c r="R192" s="16" t="s">
        <v>2165</v>
      </c>
      <c r="S192" s="11" t="s">
        <v>35</v>
      </c>
      <c r="T192" s="158">
        <v>1.6639999999999999</v>
      </c>
      <c r="U192" s="11" t="s">
        <v>2235</v>
      </c>
      <c r="V192" s="174">
        <v>2.8500000000000001E-2</v>
      </c>
      <c r="W192" s="189">
        <v>2.3E-2</v>
      </c>
      <c r="X192" s="4" t="s">
        <v>602</v>
      </c>
      <c r="Y192" s="4" t="s">
        <v>312</v>
      </c>
      <c r="Z192" s="158">
        <v>11223.6</v>
      </c>
      <c r="AA192" s="158">
        <v>1</v>
      </c>
      <c r="AB192" s="158">
        <v>116.03</v>
      </c>
      <c r="AD192" s="158">
        <v>13.023</v>
      </c>
      <c r="AG192" s="11" t="s">
        <v>37</v>
      </c>
      <c r="AH192" s="189">
        <v>7.7000000000000001E-5</v>
      </c>
      <c r="AI192" s="189">
        <v>1.4600559271614199E-3</v>
      </c>
      <c r="AJ192" s="189">
        <v>3.5474636033496799E-4</v>
      </c>
    </row>
    <row r="193" spans="1:36">
      <c r="A193" s="11" t="s">
        <v>256</v>
      </c>
      <c r="B193" s="11">
        <v>556</v>
      </c>
      <c r="C193" s="11" t="s">
        <v>1602</v>
      </c>
      <c r="D193" s="11" t="s">
        <v>1603</v>
      </c>
      <c r="E193" s="4" t="s">
        <v>1552</v>
      </c>
      <c r="F193" s="11" t="s">
        <v>2159</v>
      </c>
      <c r="G193" s="11" t="s">
        <v>2160</v>
      </c>
      <c r="H193" s="11" t="s">
        <v>511</v>
      </c>
      <c r="I193" s="11" t="s">
        <v>1154</v>
      </c>
      <c r="J193" s="11" t="s">
        <v>31</v>
      </c>
      <c r="K193" s="11" t="s">
        <v>31</v>
      </c>
      <c r="L193" s="11" t="s">
        <v>517</v>
      </c>
      <c r="M193" s="11" t="s">
        <v>32</v>
      </c>
      <c r="N193" s="11" t="s">
        <v>654</v>
      </c>
      <c r="O193" s="11" t="s">
        <v>312</v>
      </c>
      <c r="P193" s="11" t="s">
        <v>2161</v>
      </c>
      <c r="Q193" s="11" t="s">
        <v>358</v>
      </c>
      <c r="R193" s="11" t="s">
        <v>596</v>
      </c>
      <c r="S193" s="11" t="s">
        <v>35</v>
      </c>
      <c r="T193" s="158">
        <v>0.499</v>
      </c>
      <c r="U193" s="11" t="s">
        <v>2162</v>
      </c>
      <c r="V193" s="174">
        <v>4.7500000000000001E-2</v>
      </c>
      <c r="W193" s="189">
        <v>5.5599999999999997E-2</v>
      </c>
      <c r="X193" s="4" t="s">
        <v>602</v>
      </c>
      <c r="Y193" s="4" t="s">
        <v>312</v>
      </c>
      <c r="Z193" s="158">
        <v>37000</v>
      </c>
      <c r="AA193" s="158">
        <v>1</v>
      </c>
      <c r="AB193" s="158">
        <v>99.65</v>
      </c>
      <c r="AD193" s="158">
        <v>36.869999999999997</v>
      </c>
      <c r="AG193" s="11" t="s">
        <v>37</v>
      </c>
      <c r="AH193" s="189">
        <v>4.4099999999999999E-4</v>
      </c>
      <c r="AI193" s="189">
        <v>6.0524861549810698E-4</v>
      </c>
      <c r="AJ193" s="189">
        <v>1.1560266551717201E-4</v>
      </c>
    </row>
    <row r="194" spans="1:36">
      <c r="A194" s="11" t="s">
        <v>256</v>
      </c>
      <c r="B194" s="11">
        <v>556</v>
      </c>
      <c r="C194" s="11" t="s">
        <v>2841</v>
      </c>
      <c r="D194" s="11" t="s">
        <v>2842</v>
      </c>
      <c r="E194" s="4" t="s">
        <v>1552</v>
      </c>
      <c r="F194" s="11" t="s">
        <v>2843</v>
      </c>
      <c r="G194" s="11" t="s">
        <v>2844</v>
      </c>
      <c r="H194" s="11" t="s">
        <v>511</v>
      </c>
      <c r="I194" s="11" t="s">
        <v>1154</v>
      </c>
      <c r="J194" s="11" t="s">
        <v>31</v>
      </c>
      <c r="K194" s="11" t="s">
        <v>155</v>
      </c>
      <c r="L194" s="11" t="s">
        <v>517</v>
      </c>
      <c r="M194" s="11" t="s">
        <v>32</v>
      </c>
      <c r="N194" s="11" t="s">
        <v>653</v>
      </c>
      <c r="O194" s="11" t="s">
        <v>312</v>
      </c>
      <c r="P194" s="11" t="s">
        <v>2165</v>
      </c>
      <c r="Q194" s="27" t="s">
        <v>2165</v>
      </c>
      <c r="R194" s="16" t="s">
        <v>2165</v>
      </c>
      <c r="S194" s="11" t="s">
        <v>35</v>
      </c>
      <c r="T194" s="158">
        <v>0</v>
      </c>
      <c r="U194" s="11" t="s">
        <v>2845</v>
      </c>
      <c r="V194" s="174">
        <v>7.9500000000000001E-2</v>
      </c>
      <c r="W194" s="189">
        <v>0</v>
      </c>
      <c r="X194" s="4" t="s">
        <v>602</v>
      </c>
      <c r="Y194" s="4" t="s">
        <v>312</v>
      </c>
      <c r="Z194" s="158">
        <v>597040.24</v>
      </c>
      <c r="AA194" s="158">
        <v>1</v>
      </c>
      <c r="AB194" s="158">
        <v>106.23</v>
      </c>
      <c r="AD194" s="158">
        <v>634.23599999999999</v>
      </c>
      <c r="AG194" s="11" t="s">
        <v>37</v>
      </c>
      <c r="AH194" s="189">
        <v>0</v>
      </c>
      <c r="AI194" s="189">
        <v>1.04113144184909E-2</v>
      </c>
      <c r="AJ194" s="189">
        <v>1.9885641495014299E-3</v>
      </c>
    </row>
    <row r="195" spans="1:36">
      <c r="A195" s="11" t="s">
        <v>256</v>
      </c>
      <c r="B195" s="11">
        <v>556</v>
      </c>
      <c r="C195" s="11" t="s">
        <v>2841</v>
      </c>
      <c r="D195" s="11" t="s">
        <v>2842</v>
      </c>
      <c r="E195" s="4" t="s">
        <v>1552</v>
      </c>
      <c r="F195" s="11" t="s">
        <v>2846</v>
      </c>
      <c r="G195" s="11" t="s">
        <v>2847</v>
      </c>
      <c r="H195" s="11" t="s">
        <v>511</v>
      </c>
      <c r="I195" s="11" t="s">
        <v>1154</v>
      </c>
      <c r="J195" s="11" t="s">
        <v>31</v>
      </c>
      <c r="K195" s="11" t="s">
        <v>155</v>
      </c>
      <c r="L195" s="11" t="s">
        <v>517</v>
      </c>
      <c r="M195" s="11" t="s">
        <v>32</v>
      </c>
      <c r="N195" s="11" t="s">
        <v>653</v>
      </c>
      <c r="O195" s="11" t="s">
        <v>312</v>
      </c>
      <c r="P195" s="11" t="s">
        <v>2165</v>
      </c>
      <c r="Q195" s="27" t="s">
        <v>2165</v>
      </c>
      <c r="R195" s="16" t="s">
        <v>2165</v>
      </c>
      <c r="S195" s="11" t="s">
        <v>35</v>
      </c>
      <c r="T195" s="158">
        <v>0</v>
      </c>
      <c r="U195" s="11" t="s">
        <v>45</v>
      </c>
      <c r="V195" s="174">
        <v>7.0000000000000007E-2</v>
      </c>
      <c r="W195" s="189">
        <v>0</v>
      </c>
      <c r="X195" s="4" t="s">
        <v>602</v>
      </c>
      <c r="Y195" s="4" t="s">
        <v>312</v>
      </c>
      <c r="Z195" s="158">
        <v>103400</v>
      </c>
      <c r="AA195" s="158">
        <v>1</v>
      </c>
      <c r="AB195" s="158">
        <v>4.5</v>
      </c>
      <c r="AD195" s="158">
        <v>4.6529999999999996</v>
      </c>
      <c r="AG195" s="11" t="s">
        <v>37</v>
      </c>
      <c r="AH195" s="189">
        <v>0</v>
      </c>
      <c r="AI195" s="189">
        <v>7.6381437949382E-5</v>
      </c>
      <c r="AJ195" s="189">
        <v>1.4588877358630999E-5</v>
      </c>
    </row>
    <row r="196" spans="1:36">
      <c r="A196" s="11" t="s">
        <v>256</v>
      </c>
      <c r="B196" s="11">
        <v>556</v>
      </c>
      <c r="C196" s="11" t="s">
        <v>1618</v>
      </c>
      <c r="D196" s="11" t="s">
        <v>1619</v>
      </c>
      <c r="E196" s="4" t="s">
        <v>1552</v>
      </c>
      <c r="F196" s="11" t="s">
        <v>2848</v>
      </c>
      <c r="G196" s="11" t="s">
        <v>2849</v>
      </c>
      <c r="H196" s="11" t="s">
        <v>511</v>
      </c>
      <c r="I196" s="11" t="s">
        <v>1154</v>
      </c>
      <c r="J196" s="11" t="s">
        <v>31</v>
      </c>
      <c r="K196" s="11" t="s">
        <v>31</v>
      </c>
      <c r="L196" s="11" t="s">
        <v>517</v>
      </c>
      <c r="M196" s="11" t="s">
        <v>32</v>
      </c>
      <c r="N196" s="11" t="s">
        <v>666</v>
      </c>
      <c r="O196" s="11" t="s">
        <v>312</v>
      </c>
      <c r="P196" s="11" t="s">
        <v>2327</v>
      </c>
      <c r="Q196" s="11" t="s">
        <v>358</v>
      </c>
      <c r="R196" s="11" t="s">
        <v>596</v>
      </c>
      <c r="S196" s="11" t="s">
        <v>35</v>
      </c>
      <c r="T196" s="158">
        <v>1.5</v>
      </c>
      <c r="U196" s="11" t="s">
        <v>2333</v>
      </c>
      <c r="V196" s="174">
        <v>3.2500000000000001E-2</v>
      </c>
      <c r="W196" s="189">
        <v>5.8409999999999997E-2</v>
      </c>
      <c r="X196" s="4" t="s">
        <v>602</v>
      </c>
      <c r="Y196" s="4" t="s">
        <v>312</v>
      </c>
      <c r="Z196" s="158">
        <v>42885.1</v>
      </c>
      <c r="AA196" s="158">
        <v>1</v>
      </c>
      <c r="AB196" s="158">
        <v>96.38</v>
      </c>
      <c r="AD196" s="158">
        <v>41.332999999999998</v>
      </c>
      <c r="AG196" s="11" t="s">
        <v>37</v>
      </c>
      <c r="AH196" s="189">
        <v>6.8800000000000003E-4</v>
      </c>
      <c r="AI196" s="189">
        <v>6.7849730447376198E-4</v>
      </c>
      <c r="AJ196" s="189">
        <v>1.2959318689036899E-4</v>
      </c>
    </row>
    <row r="197" spans="1:36">
      <c r="A197" s="11" t="s">
        <v>256</v>
      </c>
      <c r="B197" s="11">
        <v>556</v>
      </c>
      <c r="C197" s="11" t="s">
        <v>1638</v>
      </c>
      <c r="D197" s="11" t="s">
        <v>1639</v>
      </c>
      <c r="E197" s="4" t="s">
        <v>1552</v>
      </c>
      <c r="F197" s="11" t="s">
        <v>2163</v>
      </c>
      <c r="G197" s="11" t="s">
        <v>2164</v>
      </c>
      <c r="H197" s="11" t="s">
        <v>511</v>
      </c>
      <c r="I197" s="11" t="s">
        <v>1155</v>
      </c>
      <c r="J197" s="11" t="s">
        <v>31</v>
      </c>
      <c r="K197" s="11" t="s">
        <v>31</v>
      </c>
      <c r="L197" s="11" t="s">
        <v>517</v>
      </c>
      <c r="M197" s="11" t="s">
        <v>32</v>
      </c>
      <c r="N197" s="11" t="s">
        <v>649</v>
      </c>
      <c r="O197" s="11" t="s">
        <v>312</v>
      </c>
      <c r="P197" s="11" t="s">
        <v>2165</v>
      </c>
      <c r="Q197" s="27" t="s">
        <v>2165</v>
      </c>
      <c r="R197" s="16" t="s">
        <v>2165</v>
      </c>
      <c r="S197" s="11" t="s">
        <v>35</v>
      </c>
      <c r="T197" s="158">
        <v>3.6739999999999999</v>
      </c>
      <c r="U197" s="11" t="s">
        <v>2166</v>
      </c>
      <c r="V197" s="174">
        <v>4.8500000000000001E-2</v>
      </c>
      <c r="W197" s="189">
        <v>5.994E-2</v>
      </c>
      <c r="X197" s="4" t="s">
        <v>602</v>
      </c>
      <c r="Y197" s="4" t="s">
        <v>312</v>
      </c>
      <c r="Z197" s="158">
        <v>163000</v>
      </c>
      <c r="AA197" s="158">
        <v>1</v>
      </c>
      <c r="AB197" s="158">
        <v>96.5</v>
      </c>
      <c r="AD197" s="158">
        <v>157.29499999999999</v>
      </c>
      <c r="AG197" s="11" t="s">
        <v>37</v>
      </c>
      <c r="AH197" s="189">
        <v>5.4299999999999997E-4</v>
      </c>
      <c r="AI197" s="189">
        <v>2.5820800090797401E-3</v>
      </c>
      <c r="AJ197" s="189">
        <v>4.9317804945752297E-4</v>
      </c>
    </row>
    <row r="198" spans="1:36">
      <c r="A198" s="11" t="s">
        <v>256</v>
      </c>
      <c r="B198" s="11">
        <v>556</v>
      </c>
      <c r="C198" s="11" t="s">
        <v>1642</v>
      </c>
      <c r="D198" s="11" t="s">
        <v>1643</v>
      </c>
      <c r="E198" s="4" t="s">
        <v>1552</v>
      </c>
      <c r="F198" s="11" t="s">
        <v>2850</v>
      </c>
      <c r="G198" s="11" t="s">
        <v>2851</v>
      </c>
      <c r="H198" s="11" t="s">
        <v>511</v>
      </c>
      <c r="I198" s="11" t="s">
        <v>364</v>
      </c>
      <c r="J198" s="11" t="s">
        <v>31</v>
      </c>
      <c r="K198" s="11" t="s">
        <v>31</v>
      </c>
      <c r="L198" s="11" t="s">
        <v>517</v>
      </c>
      <c r="M198" s="11" t="s">
        <v>32</v>
      </c>
      <c r="N198" s="11" t="s">
        <v>634</v>
      </c>
      <c r="O198" s="11" t="s">
        <v>312</v>
      </c>
      <c r="P198" s="11" t="s">
        <v>2169</v>
      </c>
      <c r="Q198" s="11" t="s">
        <v>358</v>
      </c>
      <c r="R198" s="11" t="s">
        <v>596</v>
      </c>
      <c r="S198" s="11" t="s">
        <v>35</v>
      </c>
      <c r="T198" s="158">
        <v>4.6500000000000004</v>
      </c>
      <c r="U198" s="11" t="s">
        <v>2852</v>
      </c>
      <c r="V198" s="174">
        <v>2.6700000000000002E-2</v>
      </c>
      <c r="W198" s="189">
        <v>6.0049999999999999E-2</v>
      </c>
      <c r="X198" s="4" t="s">
        <v>602</v>
      </c>
      <c r="Y198" s="4" t="s">
        <v>312</v>
      </c>
      <c r="Z198" s="158">
        <v>366625.17</v>
      </c>
      <c r="AA198" s="158">
        <v>1</v>
      </c>
      <c r="AB198" s="158">
        <v>97.08</v>
      </c>
      <c r="AD198" s="158">
        <v>355.92</v>
      </c>
      <c r="AG198" s="11" t="s">
        <v>37</v>
      </c>
      <c r="AH198" s="189">
        <v>2.1389999999999998E-3</v>
      </c>
      <c r="AI198" s="189">
        <v>5.84260898968063E-3</v>
      </c>
      <c r="AJ198" s="189">
        <v>1.1159400541970899E-3</v>
      </c>
    </row>
    <row r="199" spans="1:36">
      <c r="A199" s="11" t="s">
        <v>256</v>
      </c>
      <c r="B199" s="11">
        <v>556</v>
      </c>
      <c r="C199" s="11" t="s">
        <v>1642</v>
      </c>
      <c r="D199" s="11" t="s">
        <v>1643</v>
      </c>
      <c r="E199" s="4" t="s">
        <v>1552</v>
      </c>
      <c r="F199" s="11" t="s">
        <v>2167</v>
      </c>
      <c r="G199" s="11" t="s">
        <v>2168</v>
      </c>
      <c r="H199" s="11" t="s">
        <v>511</v>
      </c>
      <c r="I199" s="11" t="s">
        <v>1154</v>
      </c>
      <c r="J199" s="11" t="s">
        <v>31</v>
      </c>
      <c r="K199" s="11" t="s">
        <v>31</v>
      </c>
      <c r="L199" s="11" t="s">
        <v>517</v>
      </c>
      <c r="M199" s="11" t="s">
        <v>32</v>
      </c>
      <c r="N199" s="11" t="s">
        <v>634</v>
      </c>
      <c r="O199" s="11" t="s">
        <v>312</v>
      </c>
      <c r="P199" s="11" t="s">
        <v>2169</v>
      </c>
      <c r="Q199" s="11" t="s">
        <v>358</v>
      </c>
      <c r="R199" s="11" t="s">
        <v>596</v>
      </c>
      <c r="S199" s="11" t="s">
        <v>35</v>
      </c>
      <c r="T199" s="158">
        <v>2.8690000000000002</v>
      </c>
      <c r="U199" s="11" t="s">
        <v>2170</v>
      </c>
      <c r="V199" s="174">
        <v>1.0800000000000001E-2</v>
      </c>
      <c r="W199" s="189">
        <v>5.0319999999999997E-2</v>
      </c>
      <c r="X199" s="4" t="s">
        <v>602</v>
      </c>
      <c r="Y199" s="4" t="s">
        <v>312</v>
      </c>
      <c r="Z199" s="158">
        <v>307023.81</v>
      </c>
      <c r="AA199" s="158">
        <v>1</v>
      </c>
      <c r="AB199" s="158">
        <v>89.46</v>
      </c>
      <c r="AD199" s="158">
        <v>274.66399999999999</v>
      </c>
      <c r="AG199" s="11" t="s">
        <v>37</v>
      </c>
      <c r="AH199" s="189">
        <v>2.7300000000000002E-4</v>
      </c>
      <c r="AI199" s="189">
        <v>4.5087455651727001E-3</v>
      </c>
      <c r="AJ199" s="189">
        <v>8.6117174352185605E-4</v>
      </c>
    </row>
    <row r="200" spans="1:36">
      <c r="A200" s="11" t="s">
        <v>256</v>
      </c>
      <c r="B200" s="11">
        <v>556</v>
      </c>
      <c r="C200" s="11" t="s">
        <v>2171</v>
      </c>
      <c r="D200" s="11" t="s">
        <v>2172</v>
      </c>
      <c r="E200" s="4" t="s">
        <v>1552</v>
      </c>
      <c r="F200" s="11" t="s">
        <v>2173</v>
      </c>
      <c r="G200" s="11" t="s">
        <v>2174</v>
      </c>
      <c r="H200" s="11" t="s">
        <v>511</v>
      </c>
      <c r="I200" s="11" t="s">
        <v>945</v>
      </c>
      <c r="J200" s="11" t="s">
        <v>31</v>
      </c>
      <c r="K200" s="11" t="s">
        <v>31</v>
      </c>
      <c r="L200" s="11" t="s">
        <v>517</v>
      </c>
      <c r="M200" s="11" t="s">
        <v>32</v>
      </c>
      <c r="N200" s="11" t="s">
        <v>666</v>
      </c>
      <c r="O200" s="11" t="s">
        <v>312</v>
      </c>
      <c r="P200" s="11" t="s">
        <v>2161</v>
      </c>
      <c r="Q200" s="11" t="s">
        <v>358</v>
      </c>
      <c r="R200" s="11" t="s">
        <v>596</v>
      </c>
      <c r="S200" s="11" t="s">
        <v>35</v>
      </c>
      <c r="T200" s="158">
        <v>1.915</v>
      </c>
      <c r="U200" s="11" t="s">
        <v>2175</v>
      </c>
      <c r="V200" s="174">
        <v>3.2000000000000001E-2</v>
      </c>
      <c r="W200" s="189">
        <v>3.2629999999999999E-2</v>
      </c>
      <c r="X200" s="4" t="s">
        <v>602</v>
      </c>
      <c r="Y200" s="4" t="s">
        <v>312</v>
      </c>
      <c r="Z200" s="158">
        <v>123000.47</v>
      </c>
      <c r="AA200" s="158">
        <v>1</v>
      </c>
      <c r="AB200" s="158">
        <v>105.65</v>
      </c>
      <c r="AD200" s="158">
        <v>129.94999999999999</v>
      </c>
      <c r="AG200" s="11" t="s">
        <v>37</v>
      </c>
      <c r="AH200" s="189">
        <v>1.56E-4</v>
      </c>
      <c r="AI200" s="189">
        <v>2.1331974206722898E-3</v>
      </c>
      <c r="AJ200" s="189">
        <v>4.0744134160657899E-4</v>
      </c>
    </row>
    <row r="201" spans="1:36">
      <c r="A201" s="11" t="s">
        <v>256</v>
      </c>
      <c r="B201" s="11">
        <v>556</v>
      </c>
      <c r="C201" s="11" t="s">
        <v>2176</v>
      </c>
      <c r="D201" s="11" t="s">
        <v>2177</v>
      </c>
      <c r="E201" s="4" t="s">
        <v>1552</v>
      </c>
      <c r="F201" s="11" t="s">
        <v>2178</v>
      </c>
      <c r="G201" s="11" t="s">
        <v>2179</v>
      </c>
      <c r="H201" s="11" t="s">
        <v>511</v>
      </c>
      <c r="I201" s="11" t="s">
        <v>1154</v>
      </c>
      <c r="J201" s="11" t="s">
        <v>31</v>
      </c>
      <c r="K201" s="11" t="s">
        <v>31</v>
      </c>
      <c r="L201" s="11" t="s">
        <v>517</v>
      </c>
      <c r="M201" s="11" t="s">
        <v>32</v>
      </c>
      <c r="N201" s="11" t="s">
        <v>639</v>
      </c>
      <c r="O201" s="11" t="s">
        <v>312</v>
      </c>
      <c r="P201" s="11" t="s">
        <v>2165</v>
      </c>
      <c r="Q201" s="27" t="s">
        <v>2165</v>
      </c>
      <c r="R201" s="16" t="s">
        <v>2165</v>
      </c>
      <c r="S201" s="11" t="s">
        <v>35</v>
      </c>
      <c r="T201" s="158">
        <v>2.4489999999999998</v>
      </c>
      <c r="U201" s="11" t="s">
        <v>2180</v>
      </c>
      <c r="V201" s="174">
        <v>8.2500000000000004E-2</v>
      </c>
      <c r="W201" s="189">
        <v>7.1529999999999996E-2</v>
      </c>
      <c r="X201" s="4" t="s">
        <v>602</v>
      </c>
      <c r="Y201" s="4" t="s">
        <v>312</v>
      </c>
      <c r="Z201" s="158">
        <v>150075</v>
      </c>
      <c r="AA201" s="158">
        <v>1</v>
      </c>
      <c r="AB201" s="158">
        <v>102.96</v>
      </c>
      <c r="AD201" s="158">
        <v>154.517</v>
      </c>
      <c r="AG201" s="11" t="s">
        <v>37</v>
      </c>
      <c r="AH201" s="189">
        <v>1.864E-3</v>
      </c>
      <c r="AI201" s="189">
        <v>2.5364812919709901E-3</v>
      </c>
      <c r="AJ201" s="189">
        <v>4.8446868093200002E-4</v>
      </c>
    </row>
    <row r="202" spans="1:36">
      <c r="A202" s="11" t="s">
        <v>256</v>
      </c>
      <c r="B202" s="11">
        <v>556</v>
      </c>
      <c r="C202" s="11" t="s">
        <v>1646</v>
      </c>
      <c r="D202" s="11" t="s">
        <v>1647</v>
      </c>
      <c r="E202" s="4" t="s">
        <v>1552</v>
      </c>
      <c r="F202" s="11" t="s">
        <v>2181</v>
      </c>
      <c r="G202" s="11" t="s">
        <v>2182</v>
      </c>
      <c r="H202" s="11" t="s">
        <v>511</v>
      </c>
      <c r="I202" s="11" t="s">
        <v>1154</v>
      </c>
      <c r="J202" s="11" t="s">
        <v>31</v>
      </c>
      <c r="K202" s="11" t="s">
        <v>31</v>
      </c>
      <c r="L202" s="11" t="s">
        <v>517</v>
      </c>
      <c r="M202" s="11" t="s">
        <v>32</v>
      </c>
      <c r="N202" s="11" t="s">
        <v>629</v>
      </c>
      <c r="O202" s="11" t="s">
        <v>312</v>
      </c>
      <c r="P202" s="11" t="s">
        <v>2165</v>
      </c>
      <c r="Q202" s="27" t="s">
        <v>2165</v>
      </c>
      <c r="R202" s="16" t="s">
        <v>2165</v>
      </c>
      <c r="S202" s="11" t="s">
        <v>35</v>
      </c>
      <c r="T202" s="158">
        <v>2.91</v>
      </c>
      <c r="U202" s="11" t="s">
        <v>2183</v>
      </c>
      <c r="V202" s="174">
        <v>6.0499999999999998E-2</v>
      </c>
      <c r="W202" s="189">
        <v>7.0010000000000003E-2</v>
      </c>
      <c r="X202" s="4" t="s">
        <v>602</v>
      </c>
      <c r="Y202" s="4" t="s">
        <v>312</v>
      </c>
      <c r="Z202" s="158">
        <v>221000</v>
      </c>
      <c r="AA202" s="158">
        <v>1</v>
      </c>
      <c r="AB202" s="158">
        <v>99.16</v>
      </c>
      <c r="AD202" s="158">
        <v>219.14400000000001</v>
      </c>
      <c r="AG202" s="11" t="s">
        <v>37</v>
      </c>
      <c r="AH202" s="189">
        <v>1.005E-3</v>
      </c>
      <c r="AI202" s="189">
        <v>3.5973572502480599E-3</v>
      </c>
      <c r="AJ202" s="189">
        <v>6.8709630439047398E-4</v>
      </c>
    </row>
    <row r="203" spans="1:36">
      <c r="A203" s="11" t="s">
        <v>256</v>
      </c>
      <c r="B203" s="11">
        <v>556</v>
      </c>
      <c r="C203" s="11" t="s">
        <v>1646</v>
      </c>
      <c r="D203" s="11" t="s">
        <v>1647</v>
      </c>
      <c r="E203" s="4" t="s">
        <v>1552</v>
      </c>
      <c r="F203" s="11" t="s">
        <v>2184</v>
      </c>
      <c r="G203" s="11" t="s">
        <v>2185</v>
      </c>
      <c r="H203" s="11" t="s">
        <v>511</v>
      </c>
      <c r="I203" s="11" t="s">
        <v>1154</v>
      </c>
      <c r="J203" s="11" t="s">
        <v>31</v>
      </c>
      <c r="K203" s="11" t="s">
        <v>31</v>
      </c>
      <c r="L203" s="11" t="s">
        <v>517</v>
      </c>
      <c r="M203" s="11" t="s">
        <v>32</v>
      </c>
      <c r="N203" s="11" t="s">
        <v>629</v>
      </c>
      <c r="O203" s="11" t="s">
        <v>312</v>
      </c>
      <c r="P203" s="11" t="s">
        <v>2165</v>
      </c>
      <c r="Q203" s="27" t="s">
        <v>2165</v>
      </c>
      <c r="R203" s="16" t="s">
        <v>2165</v>
      </c>
      <c r="S203" s="11" t="s">
        <v>35</v>
      </c>
      <c r="T203" s="158">
        <v>3.544</v>
      </c>
      <c r="U203" s="11" t="s">
        <v>149</v>
      </c>
      <c r="V203" s="174">
        <v>5.5E-2</v>
      </c>
      <c r="W203" s="189">
        <v>7.1720000000000006E-2</v>
      </c>
      <c r="X203" s="4" t="s">
        <v>602</v>
      </c>
      <c r="Y203" s="4" t="s">
        <v>312</v>
      </c>
      <c r="Z203" s="158">
        <v>48000</v>
      </c>
      <c r="AA203" s="158">
        <v>1</v>
      </c>
      <c r="AB203" s="158">
        <v>96.11</v>
      </c>
      <c r="AD203" s="158">
        <v>46.133000000000003</v>
      </c>
      <c r="AG203" s="11" t="s">
        <v>37</v>
      </c>
      <c r="AH203" s="189">
        <v>2.2900000000000001E-4</v>
      </c>
      <c r="AI203" s="189">
        <v>7.5729413295320296E-4</v>
      </c>
      <c r="AJ203" s="189">
        <v>1.4464340455840299E-4</v>
      </c>
    </row>
    <row r="204" spans="1:36">
      <c r="A204" s="11" t="s">
        <v>256</v>
      </c>
      <c r="B204" s="11">
        <v>556</v>
      </c>
      <c r="C204" s="11" t="s">
        <v>1646</v>
      </c>
      <c r="D204" s="11" t="s">
        <v>1647</v>
      </c>
      <c r="E204" s="4" t="s">
        <v>1552</v>
      </c>
      <c r="F204" s="11" t="s">
        <v>2186</v>
      </c>
      <c r="G204" s="11" t="s">
        <v>2187</v>
      </c>
      <c r="H204" s="11" t="s">
        <v>511</v>
      </c>
      <c r="I204" s="11" t="s">
        <v>1154</v>
      </c>
      <c r="J204" s="11" t="s">
        <v>31</v>
      </c>
      <c r="K204" s="11" t="s">
        <v>31</v>
      </c>
      <c r="L204" s="11" t="s">
        <v>517</v>
      </c>
      <c r="M204" s="11" t="s">
        <v>32</v>
      </c>
      <c r="N204" s="11" t="s">
        <v>629</v>
      </c>
      <c r="O204" s="11" t="s">
        <v>312</v>
      </c>
      <c r="P204" s="11" t="s">
        <v>2165</v>
      </c>
      <c r="Q204" s="27" t="s">
        <v>2165</v>
      </c>
      <c r="R204" s="16" t="s">
        <v>2165</v>
      </c>
      <c r="S204" s="11" t="s">
        <v>35</v>
      </c>
      <c r="T204" s="158">
        <v>0.98599999999999999</v>
      </c>
      <c r="U204" s="11" t="s">
        <v>2188</v>
      </c>
      <c r="V204" s="174">
        <v>3.5499999999999997E-2</v>
      </c>
      <c r="W204" s="189">
        <v>5.9659999999999998E-2</v>
      </c>
      <c r="X204" s="4" t="s">
        <v>602</v>
      </c>
      <c r="Y204" s="4" t="s">
        <v>312</v>
      </c>
      <c r="Z204" s="158">
        <v>339500</v>
      </c>
      <c r="AA204" s="158">
        <v>1</v>
      </c>
      <c r="AB204" s="158">
        <v>97.8</v>
      </c>
      <c r="AD204" s="158">
        <v>332.03100000000001</v>
      </c>
      <c r="AG204" s="11" t="s">
        <v>37</v>
      </c>
      <c r="AH204" s="189">
        <v>1.1850000000000001E-3</v>
      </c>
      <c r="AI204" s="189">
        <v>5.4504631901507103E-3</v>
      </c>
      <c r="AJ204" s="189">
        <v>1.04104008989117E-3</v>
      </c>
    </row>
    <row r="205" spans="1:36">
      <c r="A205" s="11" t="s">
        <v>256</v>
      </c>
      <c r="B205" s="11">
        <v>556</v>
      </c>
      <c r="C205" s="11" t="s">
        <v>2189</v>
      </c>
      <c r="D205" s="11" t="s">
        <v>2190</v>
      </c>
      <c r="E205" s="4" t="s">
        <v>1552</v>
      </c>
      <c r="F205" s="11" t="s">
        <v>2191</v>
      </c>
      <c r="G205" s="11" t="s">
        <v>2192</v>
      </c>
      <c r="H205" s="11" t="s">
        <v>511</v>
      </c>
      <c r="I205" s="11" t="s">
        <v>945</v>
      </c>
      <c r="J205" s="11" t="s">
        <v>31</v>
      </c>
      <c r="K205" s="11" t="s">
        <v>31</v>
      </c>
      <c r="L205" s="11" t="s">
        <v>517</v>
      </c>
      <c r="M205" s="11" t="s">
        <v>32</v>
      </c>
      <c r="N205" s="11" t="s">
        <v>639</v>
      </c>
      <c r="O205" s="11" t="s">
        <v>312</v>
      </c>
      <c r="P205" s="11" t="s">
        <v>2161</v>
      </c>
      <c r="Q205" s="11" t="s">
        <v>358</v>
      </c>
      <c r="R205" s="11" t="s">
        <v>596</v>
      </c>
      <c r="S205" s="11" t="s">
        <v>35</v>
      </c>
      <c r="T205" s="158">
        <v>4.2439999999999998</v>
      </c>
      <c r="U205" s="11" t="s">
        <v>2193</v>
      </c>
      <c r="V205" s="174">
        <v>0.03</v>
      </c>
      <c r="W205" s="189">
        <v>3.5970000000000002E-2</v>
      </c>
      <c r="X205" s="4" t="s">
        <v>602</v>
      </c>
      <c r="Y205" s="4" t="s">
        <v>312</v>
      </c>
      <c r="Z205" s="158">
        <v>57463</v>
      </c>
      <c r="AA205" s="158">
        <v>1</v>
      </c>
      <c r="AB205" s="158">
        <v>100.49</v>
      </c>
      <c r="AD205" s="158">
        <v>57.744999999999997</v>
      </c>
      <c r="AG205" s="11" t="s">
        <v>37</v>
      </c>
      <c r="AH205" s="189">
        <v>1.2899999999999999E-4</v>
      </c>
      <c r="AI205" s="189">
        <v>9.4790741265267104E-4</v>
      </c>
      <c r="AJ205" s="189">
        <v>1.8105059765556399E-4</v>
      </c>
    </row>
    <row r="206" spans="1:36">
      <c r="A206" s="11" t="s">
        <v>256</v>
      </c>
      <c r="B206" s="11">
        <v>556</v>
      </c>
      <c r="C206" s="11" t="s">
        <v>2189</v>
      </c>
      <c r="D206" s="11" t="s">
        <v>2190</v>
      </c>
      <c r="E206" s="4" t="s">
        <v>1552</v>
      </c>
      <c r="F206" s="11" t="s">
        <v>2194</v>
      </c>
      <c r="G206" s="11" t="s">
        <v>2192</v>
      </c>
      <c r="H206" s="11" t="s">
        <v>511</v>
      </c>
      <c r="I206" s="11" t="s">
        <v>945</v>
      </c>
      <c r="J206" s="11" t="s">
        <v>31</v>
      </c>
      <c r="K206" s="18" t="s">
        <v>31</v>
      </c>
      <c r="L206" s="16" t="s">
        <v>519</v>
      </c>
      <c r="M206" s="11" t="s">
        <v>342</v>
      </c>
      <c r="N206" s="11" t="s">
        <v>639</v>
      </c>
      <c r="O206" s="11" t="s">
        <v>312</v>
      </c>
      <c r="P206" s="11" t="s">
        <v>2161</v>
      </c>
      <c r="Q206" s="11" t="s">
        <v>358</v>
      </c>
      <c r="R206" s="11" t="s">
        <v>596</v>
      </c>
      <c r="S206" s="11" t="s">
        <v>35</v>
      </c>
      <c r="T206" s="158">
        <v>4.21</v>
      </c>
      <c r="U206" s="11" t="s">
        <v>2193</v>
      </c>
      <c r="V206" s="174">
        <v>0.03</v>
      </c>
      <c r="W206" s="189">
        <v>3.4880000000000001E-2</v>
      </c>
      <c r="X206" s="4" t="s">
        <v>602</v>
      </c>
      <c r="Y206" s="4" t="s">
        <v>312</v>
      </c>
      <c r="Z206" s="158">
        <v>141722</v>
      </c>
      <c r="AA206" s="158">
        <v>1</v>
      </c>
      <c r="AB206" s="158">
        <v>100.247</v>
      </c>
      <c r="AD206" s="158">
        <v>142.072</v>
      </c>
      <c r="AG206" s="11" t="s">
        <v>37</v>
      </c>
      <c r="AH206" s="189">
        <v>0</v>
      </c>
      <c r="AI206" s="189">
        <v>2.3321830246744702E-3</v>
      </c>
      <c r="AJ206" s="189">
        <v>4.45447651134879E-4</v>
      </c>
    </row>
    <row r="207" spans="1:36">
      <c r="A207" s="11" t="s">
        <v>256</v>
      </c>
      <c r="B207" s="11">
        <v>556</v>
      </c>
      <c r="C207" s="11" t="s">
        <v>2189</v>
      </c>
      <c r="D207" s="11" t="s">
        <v>2190</v>
      </c>
      <c r="E207" s="4" t="s">
        <v>1552</v>
      </c>
      <c r="F207" s="11" t="s">
        <v>2195</v>
      </c>
      <c r="G207" s="11" t="s">
        <v>2192</v>
      </c>
      <c r="H207" s="11" t="s">
        <v>511</v>
      </c>
      <c r="I207" s="11" t="s">
        <v>945</v>
      </c>
      <c r="J207" s="11" t="s">
        <v>31</v>
      </c>
      <c r="K207" s="11" t="s">
        <v>31</v>
      </c>
      <c r="L207" s="16" t="s">
        <v>519</v>
      </c>
      <c r="M207" s="11" t="s">
        <v>32</v>
      </c>
      <c r="N207" s="11" t="s">
        <v>639</v>
      </c>
      <c r="O207" s="11" t="s">
        <v>312</v>
      </c>
      <c r="P207" s="11" t="s">
        <v>2161</v>
      </c>
      <c r="Q207" s="11" t="s">
        <v>358</v>
      </c>
      <c r="R207" s="11" t="s">
        <v>596</v>
      </c>
      <c r="S207" s="11" t="s">
        <v>35</v>
      </c>
      <c r="T207" s="158">
        <v>4.21</v>
      </c>
      <c r="U207" s="11" t="s">
        <v>2193</v>
      </c>
      <c r="V207" s="174">
        <v>0.03</v>
      </c>
      <c r="W207" s="189">
        <v>3.4880000000000001E-2</v>
      </c>
      <c r="X207" s="4" t="s">
        <v>602</v>
      </c>
      <c r="Y207" s="4" t="s">
        <v>312</v>
      </c>
      <c r="Z207" s="158">
        <v>300815</v>
      </c>
      <c r="AA207" s="158">
        <v>1</v>
      </c>
      <c r="AB207" s="158">
        <v>100.22199999999999</v>
      </c>
      <c r="AD207" s="158">
        <v>301.48399999999998</v>
      </c>
      <c r="AG207" s="11" t="s">
        <v>37</v>
      </c>
      <c r="AH207" s="189">
        <v>0</v>
      </c>
      <c r="AI207" s="189">
        <v>4.94902307508831E-3</v>
      </c>
      <c r="AJ207" s="189">
        <v>9.4526487882233199E-4</v>
      </c>
    </row>
    <row r="208" spans="1:36">
      <c r="A208" s="11" t="s">
        <v>256</v>
      </c>
      <c r="B208" s="11">
        <v>556</v>
      </c>
      <c r="C208" s="11" t="s">
        <v>2189</v>
      </c>
      <c r="D208" s="11" t="s">
        <v>2190</v>
      </c>
      <c r="E208" s="4" t="s">
        <v>1552</v>
      </c>
      <c r="F208" s="11" t="s">
        <v>2196</v>
      </c>
      <c r="G208" s="11" t="s">
        <v>2197</v>
      </c>
      <c r="H208" s="11" t="s">
        <v>511</v>
      </c>
      <c r="I208" s="11" t="s">
        <v>1154</v>
      </c>
      <c r="J208" s="11" t="s">
        <v>31</v>
      </c>
      <c r="K208" s="11" t="s">
        <v>31</v>
      </c>
      <c r="L208" s="11" t="s">
        <v>517</v>
      </c>
      <c r="M208" s="11" t="s">
        <v>32</v>
      </c>
      <c r="N208" s="11" t="s">
        <v>639</v>
      </c>
      <c r="O208" s="11" t="s">
        <v>312</v>
      </c>
      <c r="P208" s="11" t="s">
        <v>2161</v>
      </c>
      <c r="Q208" s="11" t="s">
        <v>358</v>
      </c>
      <c r="R208" s="11" t="s">
        <v>596</v>
      </c>
      <c r="S208" s="11" t="s">
        <v>35</v>
      </c>
      <c r="T208" s="158">
        <v>1.3160000000000001</v>
      </c>
      <c r="U208" s="11" t="s">
        <v>2198</v>
      </c>
      <c r="V208" s="174">
        <v>3.9E-2</v>
      </c>
      <c r="W208" s="189">
        <v>5.5669999999999997E-2</v>
      </c>
      <c r="X208" s="4" t="s">
        <v>602</v>
      </c>
      <c r="Y208" s="4" t="s">
        <v>312</v>
      </c>
      <c r="Z208" s="158">
        <v>9600</v>
      </c>
      <c r="AA208" s="158">
        <v>1</v>
      </c>
      <c r="AB208" s="158">
        <v>98.89</v>
      </c>
      <c r="AD208" s="158">
        <v>9.4930000000000003</v>
      </c>
      <c r="AG208" s="11" t="s">
        <v>37</v>
      </c>
      <c r="AH208" s="189">
        <v>1.2E-5</v>
      </c>
      <c r="AI208" s="189">
        <v>1.55839801909775E-4</v>
      </c>
      <c r="AJ208" s="189">
        <v>2.9765448500219501E-5</v>
      </c>
    </row>
    <row r="209" spans="1:36">
      <c r="A209" s="11" t="s">
        <v>256</v>
      </c>
      <c r="B209" s="11">
        <v>556</v>
      </c>
      <c r="C209" s="11" t="s">
        <v>2199</v>
      </c>
      <c r="D209" s="11" t="s">
        <v>2200</v>
      </c>
      <c r="E209" s="4" t="s">
        <v>1552</v>
      </c>
      <c r="F209" s="11" t="s">
        <v>2201</v>
      </c>
      <c r="G209" s="11" t="s">
        <v>2202</v>
      </c>
      <c r="H209" s="11" t="s">
        <v>511</v>
      </c>
      <c r="I209" s="11" t="s">
        <v>1154</v>
      </c>
      <c r="J209" s="11" t="s">
        <v>31</v>
      </c>
      <c r="K209" s="11" t="s">
        <v>31</v>
      </c>
      <c r="L209" s="11" t="s">
        <v>517</v>
      </c>
      <c r="M209" s="11" t="s">
        <v>32</v>
      </c>
      <c r="N209" s="11" t="s">
        <v>639</v>
      </c>
      <c r="O209" s="11" t="s">
        <v>312</v>
      </c>
      <c r="P209" s="11" t="s">
        <v>168</v>
      </c>
      <c r="Q209" s="11" t="s">
        <v>604</v>
      </c>
      <c r="R209" s="11" t="s">
        <v>596</v>
      </c>
      <c r="S209" s="11" t="s">
        <v>35</v>
      </c>
      <c r="T209" s="158">
        <v>1.4590000000000001</v>
      </c>
      <c r="U209" s="11" t="s">
        <v>2203</v>
      </c>
      <c r="V209" s="174">
        <v>0.04</v>
      </c>
      <c r="W209" s="189">
        <v>4.9189999999999998E-2</v>
      </c>
      <c r="X209" s="4" t="s">
        <v>602</v>
      </c>
      <c r="Y209" s="4" t="s">
        <v>312</v>
      </c>
      <c r="Z209" s="158">
        <v>40666.699999999997</v>
      </c>
      <c r="AA209" s="158">
        <v>1</v>
      </c>
      <c r="AB209" s="158">
        <v>98.76</v>
      </c>
      <c r="AD209" s="158">
        <v>40.161999999999999</v>
      </c>
      <c r="AG209" s="11" t="s">
        <v>37</v>
      </c>
      <c r="AH209" s="189">
        <v>3.0899999999999998E-4</v>
      </c>
      <c r="AI209" s="189">
        <v>6.5928742273268798E-4</v>
      </c>
      <c r="AJ209" s="189">
        <v>1.2592409376619901E-4</v>
      </c>
    </row>
    <row r="210" spans="1:36">
      <c r="A210" s="11" t="s">
        <v>256</v>
      </c>
      <c r="B210" s="11">
        <v>556</v>
      </c>
      <c r="C210" s="11" t="s">
        <v>1662</v>
      </c>
      <c r="D210" s="11" t="s">
        <v>1663</v>
      </c>
      <c r="E210" s="4" t="s">
        <v>1552</v>
      </c>
      <c r="F210" s="11" t="s">
        <v>2204</v>
      </c>
      <c r="G210" s="11" t="s">
        <v>2205</v>
      </c>
      <c r="H210" s="11" t="s">
        <v>511</v>
      </c>
      <c r="I210" s="11" t="s">
        <v>1154</v>
      </c>
      <c r="J210" s="11" t="s">
        <v>31</v>
      </c>
      <c r="K210" s="11" t="s">
        <v>31</v>
      </c>
      <c r="L210" s="11" t="s">
        <v>517</v>
      </c>
      <c r="M210" s="11" t="s">
        <v>32</v>
      </c>
      <c r="N210" s="11" t="s">
        <v>653</v>
      </c>
      <c r="O210" s="11" t="s">
        <v>312</v>
      </c>
      <c r="P210" s="11" t="s">
        <v>2206</v>
      </c>
      <c r="Q210" s="11" t="s">
        <v>604</v>
      </c>
      <c r="R210" s="11" t="s">
        <v>596</v>
      </c>
      <c r="S210" s="11" t="s">
        <v>35</v>
      </c>
      <c r="T210" s="158">
        <v>8.0000000000000002E-3</v>
      </c>
      <c r="U210" s="11" t="s">
        <v>361</v>
      </c>
      <c r="V210" s="174">
        <v>5.5500000000000001E-2</v>
      </c>
      <c r="W210" s="189">
        <v>-0.20596</v>
      </c>
      <c r="X210" s="4" t="s">
        <v>602</v>
      </c>
      <c r="Y210" s="4" t="s">
        <v>312</v>
      </c>
      <c r="Z210" s="158">
        <v>58000.79</v>
      </c>
      <c r="AA210" s="158">
        <v>1</v>
      </c>
      <c r="AB210" s="158">
        <v>102.57</v>
      </c>
      <c r="AD210" s="158">
        <v>59.491</v>
      </c>
      <c r="AG210" s="11" t="s">
        <v>37</v>
      </c>
      <c r="AH210" s="189">
        <v>1.7149999999999999E-3</v>
      </c>
      <c r="AI210" s="189">
        <v>9.765827347044541E-4</v>
      </c>
      <c r="AJ210" s="189">
        <v>1.8652759269341499E-4</v>
      </c>
    </row>
    <row r="211" spans="1:36">
      <c r="A211" s="11" t="s">
        <v>256</v>
      </c>
      <c r="B211" s="11">
        <v>556</v>
      </c>
      <c r="C211" s="11" t="s">
        <v>2207</v>
      </c>
      <c r="D211" s="11" t="s">
        <v>2208</v>
      </c>
      <c r="E211" s="4" t="s">
        <v>1552</v>
      </c>
      <c r="F211" s="11" t="s">
        <v>2209</v>
      </c>
      <c r="G211" s="11" t="s">
        <v>2210</v>
      </c>
      <c r="H211" s="11" t="s">
        <v>511</v>
      </c>
      <c r="I211" s="11" t="s">
        <v>1154</v>
      </c>
      <c r="J211" s="11" t="s">
        <v>31</v>
      </c>
      <c r="K211" s="11" t="s">
        <v>489</v>
      </c>
      <c r="L211" s="11" t="s">
        <v>517</v>
      </c>
      <c r="M211" s="11" t="s">
        <v>32</v>
      </c>
      <c r="N211" s="11" t="s">
        <v>653</v>
      </c>
      <c r="O211" s="11" t="s">
        <v>312</v>
      </c>
      <c r="P211" s="11" t="s">
        <v>2165</v>
      </c>
      <c r="Q211" s="27" t="s">
        <v>2165</v>
      </c>
      <c r="R211" s="16" t="s">
        <v>2165</v>
      </c>
      <c r="S211" s="11" t="s">
        <v>35</v>
      </c>
      <c r="T211" s="158">
        <v>0.68200000000000005</v>
      </c>
      <c r="U211" s="11" t="s">
        <v>2211</v>
      </c>
      <c r="V211" s="174">
        <v>7.2499999999999995E-2</v>
      </c>
      <c r="W211" s="189">
        <v>6.9190000000000002E-2</v>
      </c>
      <c r="X211" s="4" t="s">
        <v>602</v>
      </c>
      <c r="Y211" s="4" t="s">
        <v>312</v>
      </c>
      <c r="Z211" s="158">
        <v>317474.53999999998</v>
      </c>
      <c r="AA211" s="158">
        <v>1</v>
      </c>
      <c r="AB211" s="158">
        <v>102.43</v>
      </c>
      <c r="AD211" s="158">
        <v>325.18900000000002</v>
      </c>
      <c r="AG211" s="11" t="s">
        <v>37</v>
      </c>
      <c r="AH211" s="189">
        <v>2.127E-3</v>
      </c>
      <c r="AI211" s="189">
        <v>5.3381509802583899E-3</v>
      </c>
      <c r="AJ211" s="189">
        <v>1.01958842440823E-3</v>
      </c>
    </row>
    <row r="212" spans="1:36">
      <c r="A212" s="11" t="s">
        <v>256</v>
      </c>
      <c r="B212" s="11">
        <v>556</v>
      </c>
      <c r="C212" s="11" t="s">
        <v>2212</v>
      </c>
      <c r="D212" s="11" t="s">
        <v>2213</v>
      </c>
      <c r="E212" s="4" t="s">
        <v>1552</v>
      </c>
      <c r="F212" s="11" t="s">
        <v>2214</v>
      </c>
      <c r="G212" s="11" t="s">
        <v>2215</v>
      </c>
      <c r="H212" s="11" t="s">
        <v>511</v>
      </c>
      <c r="I212" s="11" t="s">
        <v>1154</v>
      </c>
      <c r="J212" s="11" t="s">
        <v>31</v>
      </c>
      <c r="K212" s="11" t="s">
        <v>155</v>
      </c>
      <c r="L212" s="11" t="s">
        <v>517</v>
      </c>
      <c r="M212" s="11" t="s">
        <v>32</v>
      </c>
      <c r="N212" s="11" t="s">
        <v>631</v>
      </c>
      <c r="O212" s="11" t="s">
        <v>312</v>
      </c>
      <c r="P212" s="11" t="s">
        <v>2161</v>
      </c>
      <c r="Q212" s="11" t="s">
        <v>358</v>
      </c>
      <c r="R212" s="11" t="s">
        <v>596</v>
      </c>
      <c r="S212" s="11" t="s">
        <v>35</v>
      </c>
      <c r="T212" s="158">
        <v>0.95399999999999996</v>
      </c>
      <c r="U212" s="11" t="s">
        <v>2216</v>
      </c>
      <c r="V212" s="174">
        <v>4.7500000000000001E-2</v>
      </c>
      <c r="W212" s="189">
        <v>6.0749999999999998E-2</v>
      </c>
      <c r="X212" s="4" t="s">
        <v>602</v>
      </c>
      <c r="Y212" s="4" t="s">
        <v>312</v>
      </c>
      <c r="Z212" s="158">
        <v>551000.56999999995</v>
      </c>
      <c r="AA212" s="158">
        <v>1</v>
      </c>
      <c r="AB212" s="158">
        <v>99.82</v>
      </c>
      <c r="AD212" s="158">
        <v>550.00900000000001</v>
      </c>
      <c r="AG212" s="11" t="s">
        <v>37</v>
      </c>
      <c r="AH212" s="189">
        <v>6.6500000000000001E-4</v>
      </c>
      <c r="AI212" s="189">
        <v>9.0286827120145199E-3</v>
      </c>
      <c r="AJ212" s="189">
        <v>1.72448108247008E-3</v>
      </c>
    </row>
    <row r="213" spans="1:36">
      <c r="A213" s="11" t="s">
        <v>256</v>
      </c>
      <c r="B213" s="11">
        <v>556</v>
      </c>
      <c r="C213" s="11" t="s">
        <v>2217</v>
      </c>
      <c r="D213" s="11" t="s">
        <v>2218</v>
      </c>
      <c r="E213" s="4" t="s">
        <v>504</v>
      </c>
      <c r="F213" s="11" t="s">
        <v>2219</v>
      </c>
      <c r="G213" s="11" t="s">
        <v>2220</v>
      </c>
      <c r="H213" s="11" t="s">
        <v>511</v>
      </c>
      <c r="I213" s="11" t="s">
        <v>1154</v>
      </c>
      <c r="J213" s="11" t="s">
        <v>31</v>
      </c>
      <c r="K213" s="11" t="s">
        <v>31</v>
      </c>
      <c r="L213" s="11" t="s">
        <v>517</v>
      </c>
      <c r="M213" s="11" t="s">
        <v>32</v>
      </c>
      <c r="N213" s="11" t="s">
        <v>653</v>
      </c>
      <c r="O213" s="11" t="s">
        <v>312</v>
      </c>
      <c r="P213" s="11" t="s">
        <v>2221</v>
      </c>
      <c r="Q213" s="11" t="s">
        <v>604</v>
      </c>
      <c r="R213" s="11" t="s">
        <v>596</v>
      </c>
      <c r="S213" s="11" t="s">
        <v>35</v>
      </c>
      <c r="T213" s="158">
        <v>0.59899999999999998</v>
      </c>
      <c r="U213" s="11" t="s">
        <v>2222</v>
      </c>
      <c r="V213" s="174">
        <v>7.7499999999999999E-2</v>
      </c>
      <c r="W213" s="189">
        <v>7.6840000000000006E-2</v>
      </c>
      <c r="X213" s="4" t="s">
        <v>602</v>
      </c>
      <c r="Y213" s="4" t="s">
        <v>312</v>
      </c>
      <c r="Z213" s="158">
        <v>232800</v>
      </c>
      <c r="AA213" s="158">
        <v>1</v>
      </c>
      <c r="AB213" s="158">
        <v>103</v>
      </c>
      <c r="AD213" s="158">
        <v>239.78399999999999</v>
      </c>
      <c r="AG213" s="11" t="s">
        <v>37</v>
      </c>
      <c r="AH213" s="189">
        <v>1.5529999999999999E-3</v>
      </c>
      <c r="AI213" s="189">
        <v>3.9361802530097998E-3</v>
      </c>
      <c r="AJ213" s="189">
        <v>7.5181159865935203E-4</v>
      </c>
    </row>
    <row r="214" spans="1:36">
      <c r="A214" s="11" t="s">
        <v>256</v>
      </c>
      <c r="B214" s="11">
        <v>556</v>
      </c>
      <c r="C214" s="11" t="s">
        <v>1670</v>
      </c>
      <c r="D214" s="11" t="s">
        <v>1671</v>
      </c>
      <c r="E214" s="4" t="s">
        <v>1552</v>
      </c>
      <c r="F214" s="11" t="s">
        <v>2223</v>
      </c>
      <c r="G214" s="11" t="s">
        <v>2224</v>
      </c>
      <c r="H214" s="11" t="s">
        <v>511</v>
      </c>
      <c r="I214" s="11" t="s">
        <v>1154</v>
      </c>
      <c r="J214" s="11" t="s">
        <v>31</v>
      </c>
      <c r="K214" s="11" t="s">
        <v>31</v>
      </c>
      <c r="L214" s="11" t="s">
        <v>517</v>
      </c>
      <c r="M214" s="11" t="s">
        <v>32</v>
      </c>
      <c r="N214" s="11" t="s">
        <v>652</v>
      </c>
      <c r="O214" s="11" t="s">
        <v>312</v>
      </c>
      <c r="P214" s="11" t="s">
        <v>2225</v>
      </c>
      <c r="Q214" s="11" t="s">
        <v>604</v>
      </c>
      <c r="R214" s="11" t="s">
        <v>596</v>
      </c>
      <c r="S214" s="11" t="s">
        <v>35</v>
      </c>
      <c r="T214" s="158">
        <v>0.99099999999999999</v>
      </c>
      <c r="U214" s="11" t="s">
        <v>2226</v>
      </c>
      <c r="V214" s="174">
        <v>3.39E-2</v>
      </c>
      <c r="W214" s="189">
        <v>4.795E-2</v>
      </c>
      <c r="X214" s="4" t="s">
        <v>602</v>
      </c>
      <c r="Y214" s="4" t="s">
        <v>312</v>
      </c>
      <c r="Z214" s="158">
        <v>8000</v>
      </c>
      <c r="AA214" s="158">
        <v>1</v>
      </c>
      <c r="AB214" s="158">
        <v>100.14</v>
      </c>
      <c r="AD214" s="158">
        <v>8.0109999999999992</v>
      </c>
      <c r="AG214" s="11" t="s">
        <v>37</v>
      </c>
      <c r="AH214" s="189">
        <v>1.8E-5</v>
      </c>
      <c r="AI214" s="189">
        <v>1.31508054094152E-4</v>
      </c>
      <c r="AJ214" s="189">
        <v>2.51180774329388E-5</v>
      </c>
    </row>
    <row r="215" spans="1:36">
      <c r="A215" s="11" t="s">
        <v>256</v>
      </c>
      <c r="B215" s="11">
        <v>556</v>
      </c>
      <c r="C215" s="11" t="s">
        <v>1674</v>
      </c>
      <c r="D215" s="11" t="s">
        <v>1675</v>
      </c>
      <c r="E215" s="4" t="s">
        <v>1552</v>
      </c>
      <c r="F215" s="11" t="s">
        <v>2227</v>
      </c>
      <c r="G215" s="11" t="s">
        <v>2228</v>
      </c>
      <c r="H215" s="11" t="s">
        <v>511</v>
      </c>
      <c r="I215" s="11" t="s">
        <v>1155</v>
      </c>
      <c r="J215" s="11" t="s">
        <v>31</v>
      </c>
      <c r="K215" s="11" t="s">
        <v>155</v>
      </c>
      <c r="L215" s="11" t="s">
        <v>517</v>
      </c>
      <c r="M215" s="11" t="s">
        <v>32</v>
      </c>
      <c r="N215" s="11" t="s">
        <v>629</v>
      </c>
      <c r="O215" s="11" t="s">
        <v>312</v>
      </c>
      <c r="P215" s="11" t="s">
        <v>174</v>
      </c>
      <c r="Q215" s="11" t="s">
        <v>604</v>
      </c>
      <c r="R215" s="11" t="s">
        <v>596</v>
      </c>
      <c r="S215" s="11" t="s">
        <v>35</v>
      </c>
      <c r="T215" s="158">
        <v>4.093</v>
      </c>
      <c r="U215" s="11" t="s">
        <v>2229</v>
      </c>
      <c r="V215" s="174">
        <v>7.4999999999999997E-3</v>
      </c>
      <c r="W215" s="189">
        <v>6.0040000000000003E-2</v>
      </c>
      <c r="X215" s="4" t="s">
        <v>602</v>
      </c>
      <c r="Y215" s="4" t="s">
        <v>312</v>
      </c>
      <c r="Z215" s="158">
        <v>461000</v>
      </c>
      <c r="AA215" s="158">
        <v>1</v>
      </c>
      <c r="AB215" s="158">
        <v>81.400000000000006</v>
      </c>
      <c r="AD215" s="158">
        <v>375.25400000000002</v>
      </c>
      <c r="AG215" s="11" t="s">
        <v>37</v>
      </c>
      <c r="AH215" s="189">
        <v>8.6700000000000004E-4</v>
      </c>
      <c r="AI215" s="189">
        <v>6.1599914283811301E-3</v>
      </c>
      <c r="AJ215" s="189">
        <v>1.1765601943554099E-3</v>
      </c>
    </row>
    <row r="216" spans="1:36">
      <c r="A216" s="11" t="s">
        <v>256</v>
      </c>
      <c r="B216" s="11">
        <v>556</v>
      </c>
      <c r="C216" s="11" t="s">
        <v>2230</v>
      </c>
      <c r="D216" s="11" t="s">
        <v>2231</v>
      </c>
      <c r="E216" s="4" t="s">
        <v>504</v>
      </c>
      <c r="F216" s="11" t="s">
        <v>2232</v>
      </c>
      <c r="G216" s="11" t="s">
        <v>2233</v>
      </c>
      <c r="H216" s="11" t="s">
        <v>511</v>
      </c>
      <c r="I216" s="11" t="s">
        <v>1154</v>
      </c>
      <c r="J216" s="11" t="s">
        <v>31</v>
      </c>
      <c r="K216" s="11" t="s">
        <v>155</v>
      </c>
      <c r="L216" s="11" t="s">
        <v>517</v>
      </c>
      <c r="M216" s="11" t="s">
        <v>50</v>
      </c>
      <c r="N216" s="11" t="s">
        <v>653</v>
      </c>
      <c r="O216" s="11" t="s">
        <v>312</v>
      </c>
      <c r="P216" s="11" t="s">
        <v>2234</v>
      </c>
      <c r="Q216" s="11" t="s">
        <v>358</v>
      </c>
      <c r="R216" s="11" t="s">
        <v>596</v>
      </c>
      <c r="S216" s="11" t="s">
        <v>35</v>
      </c>
      <c r="T216" s="158">
        <v>1.8839999999999999</v>
      </c>
      <c r="U216" s="11" t="s">
        <v>2235</v>
      </c>
      <c r="V216" s="174">
        <v>7.2499999999999995E-2</v>
      </c>
      <c r="W216" s="189">
        <v>7.6039999999999996E-2</v>
      </c>
      <c r="X216" s="4" t="s">
        <v>602</v>
      </c>
      <c r="Y216" s="4" t="s">
        <v>312</v>
      </c>
      <c r="Z216" s="158">
        <v>133000</v>
      </c>
      <c r="AA216" s="158">
        <v>1</v>
      </c>
      <c r="AB216" s="158">
        <v>101.9</v>
      </c>
      <c r="AD216" s="158">
        <v>135.52699999999999</v>
      </c>
      <c r="AG216" s="11" t="s">
        <v>37</v>
      </c>
      <c r="AH216" s="189">
        <v>1.023E-3</v>
      </c>
      <c r="AI216" s="189">
        <v>2.22474686029785E-3</v>
      </c>
      <c r="AJ216" s="189">
        <v>4.2492731179522399E-4</v>
      </c>
    </row>
    <row r="217" spans="1:36">
      <c r="A217" s="11" t="s">
        <v>256</v>
      </c>
      <c r="B217" s="11">
        <v>556</v>
      </c>
      <c r="C217" s="11" t="s">
        <v>2853</v>
      </c>
      <c r="D217" s="11" t="s">
        <v>2854</v>
      </c>
      <c r="E217" s="4" t="s">
        <v>1552</v>
      </c>
      <c r="F217" s="11" t="s">
        <v>2855</v>
      </c>
      <c r="G217" s="11" t="s">
        <v>2856</v>
      </c>
      <c r="H217" s="11" t="s">
        <v>511</v>
      </c>
      <c r="I217" s="11" t="s">
        <v>1154</v>
      </c>
      <c r="J217" s="11" t="s">
        <v>31</v>
      </c>
      <c r="K217" s="11" t="s">
        <v>31</v>
      </c>
      <c r="L217" s="11" t="s">
        <v>517</v>
      </c>
      <c r="M217" s="11" t="s">
        <v>32</v>
      </c>
      <c r="N217" s="11" t="s">
        <v>631</v>
      </c>
      <c r="O217" s="11" t="s">
        <v>312</v>
      </c>
      <c r="P217" s="11" t="s">
        <v>2206</v>
      </c>
      <c r="Q217" s="11" t="s">
        <v>604</v>
      </c>
      <c r="R217" s="11" t="s">
        <v>596</v>
      </c>
      <c r="S217" s="11" t="s">
        <v>35</v>
      </c>
      <c r="T217" s="158">
        <v>0.247</v>
      </c>
      <c r="U217" s="11" t="s">
        <v>206</v>
      </c>
      <c r="V217" s="174">
        <v>3.2399999999999998E-2</v>
      </c>
      <c r="W217" s="189">
        <v>9.4060000000000005E-2</v>
      </c>
      <c r="X217" s="4" t="s">
        <v>602</v>
      </c>
      <c r="Y217" s="4" t="s">
        <v>312</v>
      </c>
      <c r="Z217" s="158">
        <v>25853.68</v>
      </c>
      <c r="AA217" s="158">
        <v>1</v>
      </c>
      <c r="AB217" s="158">
        <v>98.85</v>
      </c>
      <c r="AD217" s="158">
        <v>25.556000000000001</v>
      </c>
      <c r="AG217" s="11" t="s">
        <v>37</v>
      </c>
      <c r="AH217" s="189">
        <v>3.4000000000000002E-4</v>
      </c>
      <c r="AI217" s="189">
        <v>4.1952111116576898E-4</v>
      </c>
      <c r="AJ217" s="189">
        <v>8.0128656967808499E-5</v>
      </c>
    </row>
    <row r="218" spans="1:36">
      <c r="A218" s="11" t="s">
        <v>256</v>
      </c>
      <c r="B218" s="11">
        <v>556</v>
      </c>
      <c r="C218" s="11" t="s">
        <v>2236</v>
      </c>
      <c r="D218" s="11" t="s">
        <v>2237</v>
      </c>
      <c r="E218" s="4" t="s">
        <v>1552</v>
      </c>
      <c r="F218" s="11" t="s">
        <v>2238</v>
      </c>
      <c r="G218" s="11" t="s">
        <v>2239</v>
      </c>
      <c r="H218" s="11" t="s">
        <v>511</v>
      </c>
      <c r="I218" s="11" t="s">
        <v>945</v>
      </c>
      <c r="J218" s="11" t="s">
        <v>31</v>
      </c>
      <c r="K218" s="11" t="s">
        <v>31</v>
      </c>
      <c r="L218" s="11" t="s">
        <v>517</v>
      </c>
      <c r="M218" s="11" t="s">
        <v>32</v>
      </c>
      <c r="N218" s="11" t="s">
        <v>653</v>
      </c>
      <c r="O218" s="11" t="s">
        <v>312</v>
      </c>
      <c r="P218" s="11" t="s">
        <v>174</v>
      </c>
      <c r="Q218" s="11" t="s">
        <v>604</v>
      </c>
      <c r="R218" s="11" t="s">
        <v>596</v>
      </c>
      <c r="S218" s="11" t="s">
        <v>35</v>
      </c>
      <c r="T218" s="158">
        <v>0.99099999999999999</v>
      </c>
      <c r="U218" s="11" t="s">
        <v>2188</v>
      </c>
      <c r="V218" s="174">
        <v>1.2200000000000001E-2</v>
      </c>
      <c r="W218" s="189">
        <v>3.0630000000000001E-2</v>
      </c>
      <c r="X218" s="4" t="s">
        <v>602</v>
      </c>
      <c r="Y218" s="4" t="s">
        <v>312</v>
      </c>
      <c r="Z218" s="158">
        <v>56500</v>
      </c>
      <c r="AA218" s="158">
        <v>1</v>
      </c>
      <c r="AB218" s="158">
        <v>111.42</v>
      </c>
      <c r="AD218" s="158">
        <v>62.951999999999998</v>
      </c>
      <c r="AG218" s="11" t="s">
        <v>37</v>
      </c>
      <c r="AH218" s="189">
        <v>1.2300000000000001E-4</v>
      </c>
      <c r="AI218" s="189">
        <v>1.03339505614031E-3</v>
      </c>
      <c r="AJ218" s="189">
        <v>1.9737876297952801E-4</v>
      </c>
    </row>
    <row r="219" spans="1:36">
      <c r="A219" s="11" t="s">
        <v>256</v>
      </c>
      <c r="B219" s="11">
        <v>556</v>
      </c>
      <c r="C219" s="11" t="s">
        <v>2236</v>
      </c>
      <c r="D219" s="11" t="s">
        <v>2237</v>
      </c>
      <c r="E219" s="4" t="s">
        <v>1552</v>
      </c>
      <c r="F219" s="11" t="s">
        <v>2240</v>
      </c>
      <c r="G219" s="11" t="s">
        <v>2241</v>
      </c>
      <c r="H219" s="11" t="s">
        <v>511</v>
      </c>
      <c r="I219" s="11" t="s">
        <v>1154</v>
      </c>
      <c r="J219" s="11" t="s">
        <v>31</v>
      </c>
      <c r="K219" s="11" t="s">
        <v>31</v>
      </c>
      <c r="L219" s="11" t="s">
        <v>517</v>
      </c>
      <c r="M219" s="11" t="s">
        <v>32</v>
      </c>
      <c r="N219" s="11" t="s">
        <v>653</v>
      </c>
      <c r="O219" s="11" t="s">
        <v>312</v>
      </c>
      <c r="P219" s="11" t="s">
        <v>174</v>
      </c>
      <c r="Q219" s="11" t="s">
        <v>604</v>
      </c>
      <c r="R219" s="11" t="s">
        <v>596</v>
      </c>
      <c r="S219" s="11" t="s">
        <v>35</v>
      </c>
      <c r="T219" s="158">
        <v>2.7869999999999999</v>
      </c>
      <c r="U219" s="11" t="s">
        <v>2242</v>
      </c>
      <c r="V219" s="174">
        <v>2.3E-2</v>
      </c>
      <c r="W219" s="189">
        <v>5.5829999999999998E-2</v>
      </c>
      <c r="X219" s="4" t="s">
        <v>602</v>
      </c>
      <c r="Y219" s="4" t="s">
        <v>312</v>
      </c>
      <c r="Z219" s="158">
        <v>206000.14</v>
      </c>
      <c r="AA219" s="158">
        <v>1</v>
      </c>
      <c r="AB219" s="158">
        <v>92.02</v>
      </c>
      <c r="AD219" s="158">
        <v>189.56100000000001</v>
      </c>
      <c r="AG219" s="11" t="s">
        <v>37</v>
      </c>
      <c r="AH219" s="189">
        <v>2.7E-4</v>
      </c>
      <c r="AI219" s="189">
        <v>3.11174873747653E-3</v>
      </c>
      <c r="AJ219" s="189">
        <v>5.9434493406636702E-4</v>
      </c>
    </row>
    <row r="220" spans="1:36">
      <c r="A220" s="11" t="s">
        <v>256</v>
      </c>
      <c r="B220" s="11">
        <v>556</v>
      </c>
      <c r="C220" s="11" t="s">
        <v>2243</v>
      </c>
      <c r="D220" s="11" t="s">
        <v>2244</v>
      </c>
      <c r="E220" s="4" t="s">
        <v>1552</v>
      </c>
      <c r="F220" s="11" t="s">
        <v>2245</v>
      </c>
      <c r="G220" s="11" t="s">
        <v>2246</v>
      </c>
      <c r="H220" s="11" t="s">
        <v>511</v>
      </c>
      <c r="I220" s="11" t="s">
        <v>1154</v>
      </c>
      <c r="J220" s="11" t="s">
        <v>31</v>
      </c>
      <c r="K220" s="11" t="s">
        <v>31</v>
      </c>
      <c r="L220" s="11" t="s">
        <v>517</v>
      </c>
      <c r="M220" s="11" t="s">
        <v>32</v>
      </c>
      <c r="N220" s="11" t="s">
        <v>635</v>
      </c>
      <c r="O220" s="11" t="s">
        <v>312</v>
      </c>
      <c r="P220" s="11" t="s">
        <v>2165</v>
      </c>
      <c r="Q220" s="27" t="s">
        <v>2165</v>
      </c>
      <c r="R220" s="16" t="s">
        <v>2165</v>
      </c>
      <c r="S220" s="11" t="s">
        <v>35</v>
      </c>
      <c r="T220" s="158">
        <v>2.2999999999999998</v>
      </c>
      <c r="U220" s="11" t="s">
        <v>2180</v>
      </c>
      <c r="V220" s="174">
        <v>8.5000000000000006E-2</v>
      </c>
      <c r="W220" s="189">
        <v>7.4560000000000001E-2</v>
      </c>
      <c r="X220" s="4" t="s">
        <v>602</v>
      </c>
      <c r="Y220" s="4" t="s">
        <v>312</v>
      </c>
      <c r="Z220" s="158">
        <v>175000</v>
      </c>
      <c r="AA220" s="158">
        <v>1</v>
      </c>
      <c r="AB220" s="158">
        <v>102.62</v>
      </c>
      <c r="AD220" s="158">
        <v>179.58500000000001</v>
      </c>
      <c r="AG220" s="11" t="s">
        <v>37</v>
      </c>
      <c r="AH220" s="189">
        <v>1.346E-3</v>
      </c>
      <c r="AI220" s="189">
        <v>2.9479820619255901E-3</v>
      </c>
      <c r="AJ220" s="189">
        <v>5.63065450343808E-4</v>
      </c>
    </row>
    <row r="221" spans="1:36">
      <c r="A221" s="11" t="s">
        <v>256</v>
      </c>
      <c r="B221" s="11">
        <v>556</v>
      </c>
      <c r="C221" s="11" t="s">
        <v>2247</v>
      </c>
      <c r="D221" s="11" t="s">
        <v>2248</v>
      </c>
      <c r="E221" s="4" t="s">
        <v>1552</v>
      </c>
      <c r="F221" s="11" t="s">
        <v>2249</v>
      </c>
      <c r="G221" s="11" t="s">
        <v>2250</v>
      </c>
      <c r="H221" s="11" t="s">
        <v>511</v>
      </c>
      <c r="I221" s="11" t="s">
        <v>1154</v>
      </c>
      <c r="J221" s="11" t="s">
        <v>31</v>
      </c>
      <c r="K221" s="11" t="s">
        <v>31</v>
      </c>
      <c r="L221" s="11" t="s">
        <v>517</v>
      </c>
      <c r="M221" s="11" t="s">
        <v>32</v>
      </c>
      <c r="N221" s="11" t="s">
        <v>635</v>
      </c>
      <c r="O221" s="11" t="s">
        <v>312</v>
      </c>
      <c r="P221" s="11" t="s">
        <v>174</v>
      </c>
      <c r="Q221" s="11" t="s">
        <v>604</v>
      </c>
      <c r="R221" s="11" t="s">
        <v>596</v>
      </c>
      <c r="S221" s="11" t="s">
        <v>35</v>
      </c>
      <c r="T221" s="158">
        <v>0.73799999999999999</v>
      </c>
      <c r="U221" s="11" t="s">
        <v>2251</v>
      </c>
      <c r="V221" s="174">
        <v>2.75E-2</v>
      </c>
      <c r="W221" s="189">
        <v>5.3370000000000001E-2</v>
      </c>
      <c r="X221" s="4" t="s">
        <v>602</v>
      </c>
      <c r="Y221" s="4" t="s">
        <v>312</v>
      </c>
      <c r="Z221" s="158">
        <v>45000.33</v>
      </c>
      <c r="AA221" s="158">
        <v>1</v>
      </c>
      <c r="AB221" s="158">
        <v>98.88</v>
      </c>
      <c r="AD221" s="158">
        <v>44.496000000000002</v>
      </c>
      <c r="AG221" s="11" t="s">
        <v>37</v>
      </c>
      <c r="AH221" s="189">
        <v>5.04E-4</v>
      </c>
      <c r="AI221" s="189">
        <v>7.3043055804092696E-4</v>
      </c>
      <c r="AJ221" s="189">
        <v>1.3951245376288E-4</v>
      </c>
    </row>
    <row r="222" spans="1:36">
      <c r="A222" s="11" t="s">
        <v>256</v>
      </c>
      <c r="B222" s="11">
        <v>556</v>
      </c>
      <c r="C222" s="11" t="s">
        <v>1686</v>
      </c>
      <c r="D222" s="11" t="s">
        <v>1687</v>
      </c>
      <c r="E222" s="4" t="s">
        <v>1552</v>
      </c>
      <c r="F222" s="11" t="s">
        <v>2252</v>
      </c>
      <c r="G222" s="11" t="s">
        <v>2253</v>
      </c>
      <c r="H222" s="11" t="s">
        <v>511</v>
      </c>
      <c r="I222" s="11" t="s">
        <v>1155</v>
      </c>
      <c r="J222" s="11" t="s">
        <v>31</v>
      </c>
      <c r="K222" s="11" t="s">
        <v>31</v>
      </c>
      <c r="L222" s="11" t="s">
        <v>517</v>
      </c>
      <c r="M222" s="11" t="s">
        <v>32</v>
      </c>
      <c r="N222" s="11" t="s">
        <v>629</v>
      </c>
      <c r="O222" s="11" t="s">
        <v>312</v>
      </c>
      <c r="P222" s="11" t="s">
        <v>2165</v>
      </c>
      <c r="Q222" s="27" t="s">
        <v>2165</v>
      </c>
      <c r="R222" s="16" t="s">
        <v>2165</v>
      </c>
      <c r="S222" s="11" t="s">
        <v>35</v>
      </c>
      <c r="T222" s="158">
        <v>1.96</v>
      </c>
      <c r="U222" s="11" t="s">
        <v>2203</v>
      </c>
      <c r="V222" s="174">
        <v>2.5000000000000001E-2</v>
      </c>
      <c r="W222" s="189">
        <v>8.133E-2</v>
      </c>
      <c r="X222" s="4" t="s">
        <v>602</v>
      </c>
      <c r="Y222" s="4" t="s">
        <v>312</v>
      </c>
      <c r="Z222" s="158">
        <v>351000</v>
      </c>
      <c r="AA222" s="158">
        <v>1</v>
      </c>
      <c r="AB222" s="158">
        <v>90.1</v>
      </c>
      <c r="AD222" s="158">
        <v>316.25099999999998</v>
      </c>
      <c r="AG222" s="11" t="s">
        <v>37</v>
      </c>
      <c r="AH222" s="189">
        <v>1.049E-3</v>
      </c>
      <c r="AI222" s="189">
        <v>5.1914262052288902E-3</v>
      </c>
      <c r="AJ222" s="189">
        <v>9.915639487522881E-4</v>
      </c>
    </row>
    <row r="223" spans="1:36">
      <c r="A223" s="11" t="s">
        <v>256</v>
      </c>
      <c r="B223" s="11">
        <v>556</v>
      </c>
      <c r="C223" s="11" t="s">
        <v>1694</v>
      </c>
      <c r="D223" s="11" t="s">
        <v>1695</v>
      </c>
      <c r="E223" s="4" t="s">
        <v>1552</v>
      </c>
      <c r="F223" s="11" t="s">
        <v>2254</v>
      </c>
      <c r="G223" s="11" t="s">
        <v>2255</v>
      </c>
      <c r="H223" s="11" t="s">
        <v>511</v>
      </c>
      <c r="I223" s="11" t="s">
        <v>945</v>
      </c>
      <c r="J223" s="11" t="s">
        <v>31</v>
      </c>
      <c r="K223" s="11" t="s">
        <v>31</v>
      </c>
      <c r="L223" s="11" t="s">
        <v>517</v>
      </c>
      <c r="M223" s="11" t="s">
        <v>32</v>
      </c>
      <c r="N223" s="11" t="s">
        <v>652</v>
      </c>
      <c r="O223" s="11" t="s">
        <v>312</v>
      </c>
      <c r="P223" s="11" t="s">
        <v>2165</v>
      </c>
      <c r="Q223" s="27" t="s">
        <v>2165</v>
      </c>
      <c r="R223" s="16" t="s">
        <v>2165</v>
      </c>
      <c r="S223" s="11" t="s">
        <v>35</v>
      </c>
      <c r="T223" s="158">
        <v>2.5609999999999999</v>
      </c>
      <c r="U223" s="11" t="s">
        <v>2256</v>
      </c>
      <c r="V223" s="174">
        <v>1.9E-2</v>
      </c>
      <c r="W223" s="189">
        <v>3.7080000000000002E-2</v>
      </c>
      <c r="X223" s="4" t="s">
        <v>602</v>
      </c>
      <c r="Y223" s="4" t="s">
        <v>312</v>
      </c>
      <c r="Z223" s="158">
        <v>161884.31</v>
      </c>
      <c r="AA223" s="158">
        <v>1</v>
      </c>
      <c r="AB223" s="158">
        <v>104.67</v>
      </c>
      <c r="AD223" s="158">
        <v>169.44399999999999</v>
      </c>
      <c r="AG223" s="11" t="s">
        <v>37</v>
      </c>
      <c r="AH223" s="189">
        <v>2.7900000000000001E-4</v>
      </c>
      <c r="AI223" s="189">
        <v>2.78151726674279E-3</v>
      </c>
      <c r="AJ223" s="189">
        <v>5.3127062496933803E-4</v>
      </c>
    </row>
    <row r="224" spans="1:36">
      <c r="A224" s="11" t="s">
        <v>256</v>
      </c>
      <c r="B224" s="11">
        <v>556</v>
      </c>
      <c r="C224" s="11" t="s">
        <v>1694</v>
      </c>
      <c r="D224" s="11" t="s">
        <v>1695</v>
      </c>
      <c r="E224" s="4" t="s">
        <v>1552</v>
      </c>
      <c r="F224" s="11" t="s">
        <v>2257</v>
      </c>
      <c r="G224" s="11" t="s">
        <v>2255</v>
      </c>
      <c r="H224" s="11" t="s">
        <v>511</v>
      </c>
      <c r="I224" s="11" t="s">
        <v>945</v>
      </c>
      <c r="J224" s="11" t="s">
        <v>31</v>
      </c>
      <c r="K224" s="11" t="s">
        <v>31</v>
      </c>
      <c r="L224" s="16" t="s">
        <v>519</v>
      </c>
      <c r="M224" s="11" t="s">
        <v>32</v>
      </c>
      <c r="N224" s="11" t="s">
        <v>652</v>
      </c>
      <c r="O224" s="11" t="s">
        <v>312</v>
      </c>
      <c r="P224" s="11" t="s">
        <v>2165</v>
      </c>
      <c r="Q224" s="27" t="s">
        <v>2165</v>
      </c>
      <c r="R224" s="16" t="s">
        <v>2165</v>
      </c>
      <c r="S224" s="11" t="s">
        <v>35</v>
      </c>
      <c r="T224" s="158">
        <v>2.59</v>
      </c>
      <c r="U224" s="11" t="s">
        <v>2256</v>
      </c>
      <c r="V224" s="174">
        <v>1.9E-2</v>
      </c>
      <c r="W224" s="189">
        <v>3.7190000000000001E-2</v>
      </c>
      <c r="X224" s="4" t="s">
        <v>602</v>
      </c>
      <c r="Y224" s="4" t="s">
        <v>312</v>
      </c>
      <c r="Z224" s="158">
        <v>200000</v>
      </c>
      <c r="AA224" s="158">
        <v>1</v>
      </c>
      <c r="AB224" s="158">
        <v>104.67</v>
      </c>
      <c r="AD224" s="158">
        <v>209.34</v>
      </c>
      <c r="AG224" s="11" t="s">
        <v>37</v>
      </c>
      <c r="AH224" s="189">
        <v>0</v>
      </c>
      <c r="AI224" s="189">
        <v>3.4364260090959898E-3</v>
      </c>
      <c r="AJ224" s="189">
        <v>6.5635838948115296E-4</v>
      </c>
    </row>
    <row r="225" spans="1:36">
      <c r="A225" s="11" t="s">
        <v>256</v>
      </c>
      <c r="B225" s="11">
        <v>556</v>
      </c>
      <c r="C225" s="11" t="s">
        <v>2258</v>
      </c>
      <c r="D225" s="11" t="s">
        <v>2259</v>
      </c>
      <c r="E225" s="4" t="s">
        <v>1552</v>
      </c>
      <c r="F225" s="11" t="s">
        <v>2260</v>
      </c>
      <c r="G225" s="11" t="s">
        <v>2261</v>
      </c>
      <c r="H225" s="11" t="s">
        <v>511</v>
      </c>
      <c r="I225" s="11" t="s">
        <v>945</v>
      </c>
      <c r="J225" s="11" t="s">
        <v>31</v>
      </c>
      <c r="K225" s="11" t="s">
        <v>31</v>
      </c>
      <c r="L225" s="11" t="s">
        <v>517</v>
      </c>
      <c r="M225" s="11" t="s">
        <v>32</v>
      </c>
      <c r="N225" s="11" t="s">
        <v>652</v>
      </c>
      <c r="O225" s="11" t="s">
        <v>312</v>
      </c>
      <c r="P225" s="11" t="s">
        <v>2161</v>
      </c>
      <c r="Q225" s="11" t="s">
        <v>358</v>
      </c>
      <c r="R225" s="11" t="s">
        <v>596</v>
      </c>
      <c r="S225" s="11" t="s">
        <v>35</v>
      </c>
      <c r="T225" s="158">
        <v>3.6779999999999999</v>
      </c>
      <c r="U225" s="11" t="s">
        <v>2262</v>
      </c>
      <c r="V225" s="174">
        <v>1.83E-2</v>
      </c>
      <c r="W225" s="189">
        <v>3.1600000000000003E-2</v>
      </c>
      <c r="X225" s="4" t="s">
        <v>602</v>
      </c>
      <c r="Y225" s="4" t="s">
        <v>312</v>
      </c>
      <c r="Z225" s="158">
        <v>15000</v>
      </c>
      <c r="AA225" s="158">
        <v>1</v>
      </c>
      <c r="AB225" s="158">
        <v>108.49</v>
      </c>
      <c r="AD225" s="158">
        <v>16.273</v>
      </c>
      <c r="AG225" s="11" t="s">
        <v>37</v>
      </c>
      <c r="AH225" s="189">
        <v>7.7000000000000001E-5</v>
      </c>
      <c r="AI225" s="189">
        <v>2.6713804652251603E-4</v>
      </c>
      <c r="AJ225" s="189">
        <v>5.1023446313277598E-5</v>
      </c>
    </row>
    <row r="226" spans="1:36">
      <c r="A226" s="11" t="s">
        <v>256</v>
      </c>
      <c r="B226" s="11">
        <v>556</v>
      </c>
      <c r="C226" s="11" t="s">
        <v>2258</v>
      </c>
      <c r="D226" s="11" t="s">
        <v>2259</v>
      </c>
      <c r="E226" s="4" t="s">
        <v>1552</v>
      </c>
      <c r="F226" s="11" t="s">
        <v>2263</v>
      </c>
      <c r="G226" s="11" t="s">
        <v>2264</v>
      </c>
      <c r="H226" s="11" t="s">
        <v>511</v>
      </c>
      <c r="I226" s="11" t="s">
        <v>945</v>
      </c>
      <c r="J226" s="11" t="s">
        <v>31</v>
      </c>
      <c r="K226" s="11" t="s">
        <v>31</v>
      </c>
      <c r="L226" s="11" t="s">
        <v>517</v>
      </c>
      <c r="M226" s="11" t="s">
        <v>32</v>
      </c>
      <c r="N226" s="11" t="s">
        <v>652</v>
      </c>
      <c r="O226" s="11" t="s">
        <v>312</v>
      </c>
      <c r="P226" s="11" t="s">
        <v>2161</v>
      </c>
      <c r="Q226" s="11" t="s">
        <v>358</v>
      </c>
      <c r="R226" s="11" t="s">
        <v>596</v>
      </c>
      <c r="S226" s="11" t="s">
        <v>35</v>
      </c>
      <c r="T226" s="158">
        <v>4.1399999999999997</v>
      </c>
      <c r="U226" s="11" t="s">
        <v>2170</v>
      </c>
      <c r="V226" s="174">
        <v>1.5299999999999999E-2</v>
      </c>
      <c r="W226" s="189">
        <v>3.2820000000000002E-2</v>
      </c>
      <c r="X226" s="4" t="s">
        <v>602</v>
      </c>
      <c r="Y226" s="4" t="s">
        <v>312</v>
      </c>
      <c r="Z226" s="158">
        <v>74884.62</v>
      </c>
      <c r="AA226" s="158">
        <v>1</v>
      </c>
      <c r="AB226" s="158">
        <v>105.9</v>
      </c>
      <c r="AC226" s="158">
        <v>3.073</v>
      </c>
      <c r="AD226" s="158">
        <v>82.376000000000005</v>
      </c>
      <c r="AG226" s="11" t="s">
        <v>37</v>
      </c>
      <c r="AH226" s="189">
        <v>1.95E-4</v>
      </c>
      <c r="AI226" s="189">
        <v>1.3522497641458499E-3</v>
      </c>
      <c r="AJ226" s="189">
        <v>2.5828010701284601E-4</v>
      </c>
    </row>
    <row r="227" spans="1:36">
      <c r="A227" s="11" t="s">
        <v>256</v>
      </c>
      <c r="B227" s="11">
        <v>556</v>
      </c>
      <c r="C227" s="11" t="s">
        <v>1698</v>
      </c>
      <c r="D227" s="11" t="s">
        <v>1699</v>
      </c>
      <c r="E227" s="4" t="s">
        <v>1552</v>
      </c>
      <c r="F227" s="11" t="s">
        <v>2265</v>
      </c>
      <c r="G227" s="11" t="s">
        <v>2266</v>
      </c>
      <c r="H227" s="11" t="s">
        <v>511</v>
      </c>
      <c r="I227" s="11" t="s">
        <v>364</v>
      </c>
      <c r="J227" s="11" t="s">
        <v>31</v>
      </c>
      <c r="K227" s="11" t="s">
        <v>31</v>
      </c>
      <c r="L227" s="11" t="s">
        <v>517</v>
      </c>
      <c r="M227" s="11" t="s">
        <v>32</v>
      </c>
      <c r="N227" s="11" t="s">
        <v>628</v>
      </c>
      <c r="O227" s="11" t="s">
        <v>312</v>
      </c>
      <c r="P227" s="11" t="s">
        <v>2161</v>
      </c>
      <c r="Q227" s="11" t="s">
        <v>358</v>
      </c>
      <c r="R227" s="11" t="s">
        <v>596</v>
      </c>
      <c r="S227" s="11" t="s">
        <v>35</v>
      </c>
      <c r="T227" s="158">
        <v>0.76</v>
      </c>
      <c r="U227" s="11" t="s">
        <v>2267</v>
      </c>
      <c r="V227" s="174">
        <v>4.7E-2</v>
      </c>
      <c r="W227" s="189">
        <v>7.9450000000000007E-2</v>
      </c>
      <c r="X227" s="4" t="s">
        <v>602</v>
      </c>
      <c r="Y227" s="4" t="s">
        <v>312</v>
      </c>
      <c r="Z227" s="158">
        <v>27000</v>
      </c>
      <c r="AA227" s="158">
        <v>1</v>
      </c>
      <c r="AB227" s="158">
        <v>102.06</v>
      </c>
      <c r="AD227" s="158">
        <v>27.556000000000001</v>
      </c>
      <c r="AG227" s="11" t="s">
        <v>37</v>
      </c>
      <c r="AH227" s="189">
        <v>7.2999999999999999E-5</v>
      </c>
      <c r="AI227" s="189">
        <v>4.5234949074162101E-4</v>
      </c>
      <c r="AJ227" s="189">
        <v>8.6398887227575E-5</v>
      </c>
    </row>
    <row r="228" spans="1:36">
      <c r="A228" s="11" t="s">
        <v>256</v>
      </c>
      <c r="B228" s="11">
        <v>556</v>
      </c>
      <c r="C228" s="11" t="s">
        <v>2857</v>
      </c>
      <c r="D228" s="11" t="s">
        <v>2858</v>
      </c>
      <c r="E228" s="4" t="s">
        <v>1552</v>
      </c>
      <c r="F228" s="11" t="s">
        <v>2859</v>
      </c>
      <c r="G228" s="11" t="s">
        <v>2860</v>
      </c>
      <c r="H228" s="11" t="s">
        <v>511</v>
      </c>
      <c r="I228" s="11" t="s">
        <v>1154</v>
      </c>
      <c r="J228" s="11" t="s">
        <v>31</v>
      </c>
      <c r="K228" s="11" t="s">
        <v>31</v>
      </c>
      <c r="L228" s="11" t="s">
        <v>517</v>
      </c>
      <c r="M228" s="11" t="s">
        <v>32</v>
      </c>
      <c r="N228" s="11" t="s">
        <v>673</v>
      </c>
      <c r="O228" s="11" t="s">
        <v>312</v>
      </c>
      <c r="P228" s="11" t="s">
        <v>2206</v>
      </c>
      <c r="Q228" s="11" t="s">
        <v>604</v>
      </c>
      <c r="R228" s="11" t="s">
        <v>596</v>
      </c>
      <c r="S228" s="11" t="s">
        <v>35</v>
      </c>
      <c r="T228" s="158">
        <v>2.323</v>
      </c>
      <c r="U228" s="11" t="s">
        <v>2670</v>
      </c>
      <c r="V228" s="174">
        <v>3.6499999999999998E-2</v>
      </c>
      <c r="W228" s="189">
        <v>5.7189999999999998E-2</v>
      </c>
      <c r="X228" s="4" t="s">
        <v>602</v>
      </c>
      <c r="Y228" s="4" t="s">
        <v>312</v>
      </c>
      <c r="Z228" s="158">
        <v>358184</v>
      </c>
      <c r="AA228" s="158">
        <v>1</v>
      </c>
      <c r="AB228" s="158">
        <v>95.7</v>
      </c>
      <c r="AD228" s="158">
        <v>342.78199999999998</v>
      </c>
      <c r="AG228" s="11" t="s">
        <v>37</v>
      </c>
      <c r="AH228" s="189">
        <v>1.7799999999999999E-4</v>
      </c>
      <c r="AI228" s="189">
        <v>5.6269479442793103E-3</v>
      </c>
      <c r="AJ228" s="189">
        <v>1.07474873040349E-3</v>
      </c>
    </row>
    <row r="229" spans="1:36">
      <c r="A229" s="11" t="s">
        <v>256</v>
      </c>
      <c r="B229" s="11">
        <v>556</v>
      </c>
      <c r="C229" s="11" t="s">
        <v>1706</v>
      </c>
      <c r="D229" s="11" t="s">
        <v>1707</v>
      </c>
      <c r="E229" s="4" t="s">
        <v>1552</v>
      </c>
      <c r="F229" s="11" t="s">
        <v>2268</v>
      </c>
      <c r="G229" s="11" t="s">
        <v>2269</v>
      </c>
      <c r="H229" s="11" t="s">
        <v>511</v>
      </c>
      <c r="I229" s="11" t="s">
        <v>945</v>
      </c>
      <c r="J229" s="11" t="s">
        <v>31</v>
      </c>
      <c r="K229" s="11" t="s">
        <v>31</v>
      </c>
      <c r="L229" s="11" t="s">
        <v>517</v>
      </c>
      <c r="M229" s="11" t="s">
        <v>32</v>
      </c>
      <c r="N229" s="11" t="s">
        <v>652</v>
      </c>
      <c r="O229" s="11" t="s">
        <v>312</v>
      </c>
      <c r="P229" s="11" t="s">
        <v>2225</v>
      </c>
      <c r="Q229" s="11" t="s">
        <v>604</v>
      </c>
      <c r="R229" s="11" t="s">
        <v>596</v>
      </c>
      <c r="S229" s="11" t="s">
        <v>35</v>
      </c>
      <c r="T229" s="158">
        <v>1.6759999999999999</v>
      </c>
      <c r="U229" s="11" t="s">
        <v>2270</v>
      </c>
      <c r="V229" s="174">
        <v>1.34E-2</v>
      </c>
      <c r="W229" s="189">
        <v>2.4400000000000002E-2</v>
      </c>
      <c r="X229" s="4" t="s">
        <v>602</v>
      </c>
      <c r="Y229" s="4" t="s">
        <v>312</v>
      </c>
      <c r="Z229" s="158">
        <v>234461.81</v>
      </c>
      <c r="AA229" s="158">
        <v>1</v>
      </c>
      <c r="AB229" s="158">
        <v>112.6</v>
      </c>
      <c r="AD229" s="158">
        <v>264.00400000000002</v>
      </c>
      <c r="AG229" s="11" t="s">
        <v>37</v>
      </c>
      <c r="AH229" s="189">
        <v>4.7600000000000002E-4</v>
      </c>
      <c r="AI229" s="189">
        <v>4.3337642373111303E-3</v>
      </c>
      <c r="AJ229" s="189">
        <v>8.2775025787354102E-4</v>
      </c>
    </row>
    <row r="230" spans="1:36">
      <c r="A230" s="11" t="s">
        <v>256</v>
      </c>
      <c r="B230" s="11">
        <v>556</v>
      </c>
      <c r="C230" s="11" t="s">
        <v>1706</v>
      </c>
      <c r="D230" s="11" t="s">
        <v>1707</v>
      </c>
      <c r="E230" s="4" t="s">
        <v>1552</v>
      </c>
      <c r="F230" s="11" t="s">
        <v>2271</v>
      </c>
      <c r="G230" s="11" t="s">
        <v>2272</v>
      </c>
      <c r="H230" s="11" t="s">
        <v>511</v>
      </c>
      <c r="I230" s="11" t="s">
        <v>945</v>
      </c>
      <c r="J230" s="11" t="s">
        <v>31</v>
      </c>
      <c r="K230" s="11" t="s">
        <v>31</v>
      </c>
      <c r="L230" s="11" t="s">
        <v>517</v>
      </c>
      <c r="M230" s="11" t="s">
        <v>32</v>
      </c>
      <c r="N230" s="11" t="s">
        <v>652</v>
      </c>
      <c r="O230" s="11" t="s">
        <v>312</v>
      </c>
      <c r="P230" s="11" t="s">
        <v>2169</v>
      </c>
      <c r="Q230" s="11" t="s">
        <v>358</v>
      </c>
      <c r="R230" s="11" t="s">
        <v>596</v>
      </c>
      <c r="S230" s="11" t="s">
        <v>35</v>
      </c>
      <c r="T230" s="158">
        <v>5.5919999999999996</v>
      </c>
      <c r="U230" s="11" t="s">
        <v>2273</v>
      </c>
      <c r="V230" s="174">
        <v>2.5999999999999999E-2</v>
      </c>
      <c r="W230" s="189">
        <v>3.1829999999999997E-2</v>
      </c>
      <c r="X230" s="4" t="s">
        <v>602</v>
      </c>
      <c r="Y230" s="4" t="s">
        <v>312</v>
      </c>
      <c r="Z230" s="158">
        <v>192000</v>
      </c>
      <c r="AA230" s="158">
        <v>1</v>
      </c>
      <c r="AB230" s="158">
        <v>98.8</v>
      </c>
      <c r="AC230" s="158">
        <v>2.6339999999999999</v>
      </c>
      <c r="AD230" s="158">
        <v>192.33</v>
      </c>
      <c r="AG230" s="11" t="s">
        <v>37</v>
      </c>
      <c r="AH230" s="189">
        <v>3.5799999999999997E-4</v>
      </c>
      <c r="AI230" s="189">
        <v>3.1571994057885402E-3</v>
      </c>
      <c r="AJ230" s="189">
        <v>6.03026025227692E-4</v>
      </c>
    </row>
    <row r="231" spans="1:36">
      <c r="A231" s="11" t="s">
        <v>256</v>
      </c>
      <c r="B231" s="11">
        <v>556</v>
      </c>
      <c r="C231" s="11" t="s">
        <v>1706</v>
      </c>
      <c r="D231" s="11" t="s">
        <v>1707</v>
      </c>
      <c r="E231" s="4" t="s">
        <v>1552</v>
      </c>
      <c r="F231" s="11" t="s">
        <v>2274</v>
      </c>
      <c r="G231" s="11" t="s">
        <v>2275</v>
      </c>
      <c r="H231" s="11" t="s">
        <v>511</v>
      </c>
      <c r="I231" s="11" t="s">
        <v>945</v>
      </c>
      <c r="J231" s="11" t="s">
        <v>31</v>
      </c>
      <c r="K231" s="11" t="s">
        <v>31</v>
      </c>
      <c r="L231" s="11" t="s">
        <v>517</v>
      </c>
      <c r="M231" s="11" t="s">
        <v>32</v>
      </c>
      <c r="N231" s="11" t="s">
        <v>652</v>
      </c>
      <c r="O231" s="11" t="s">
        <v>312</v>
      </c>
      <c r="P231" s="11" t="s">
        <v>2169</v>
      </c>
      <c r="Q231" s="11" t="s">
        <v>358</v>
      </c>
      <c r="R231" s="11" t="s">
        <v>596</v>
      </c>
      <c r="S231" s="11" t="s">
        <v>35</v>
      </c>
      <c r="T231" s="158">
        <v>3.1429999999999998</v>
      </c>
      <c r="U231" s="11" t="s">
        <v>2276</v>
      </c>
      <c r="V231" s="174">
        <v>1.8200000000000001E-2</v>
      </c>
      <c r="W231" s="189">
        <v>2.6210000000000001E-2</v>
      </c>
      <c r="X231" s="4" t="s">
        <v>602</v>
      </c>
      <c r="Y231" s="4" t="s">
        <v>312</v>
      </c>
      <c r="Z231" s="158">
        <v>25000</v>
      </c>
      <c r="AA231" s="158">
        <v>1</v>
      </c>
      <c r="AB231" s="158">
        <v>110.75</v>
      </c>
      <c r="AD231" s="158">
        <v>27.687999999999999</v>
      </c>
      <c r="AG231" s="11" t="s">
        <v>37</v>
      </c>
      <c r="AH231" s="189">
        <v>5.0000000000000002E-5</v>
      </c>
      <c r="AI231" s="189">
        <v>4.5450484917763099E-4</v>
      </c>
      <c r="AJ231" s="189">
        <v>8.6810561329700106E-5</v>
      </c>
    </row>
    <row r="232" spans="1:36">
      <c r="A232" s="11" t="s">
        <v>256</v>
      </c>
      <c r="B232" s="11">
        <v>556</v>
      </c>
      <c r="C232" s="11" t="s">
        <v>1706</v>
      </c>
      <c r="D232" s="11" t="s">
        <v>1707</v>
      </c>
      <c r="E232" s="4" t="s">
        <v>1552</v>
      </c>
      <c r="F232" s="11" t="s">
        <v>2277</v>
      </c>
      <c r="G232" s="11" t="s">
        <v>2278</v>
      </c>
      <c r="H232" s="11" t="s">
        <v>511</v>
      </c>
      <c r="I232" s="11" t="s">
        <v>945</v>
      </c>
      <c r="J232" s="11" t="s">
        <v>31</v>
      </c>
      <c r="K232" s="11" t="s">
        <v>31</v>
      </c>
      <c r="L232" s="11" t="s">
        <v>517</v>
      </c>
      <c r="M232" s="11" t="s">
        <v>32</v>
      </c>
      <c r="N232" s="11" t="s">
        <v>652</v>
      </c>
      <c r="O232" s="11" t="s">
        <v>312</v>
      </c>
      <c r="P232" s="11" t="s">
        <v>2169</v>
      </c>
      <c r="Q232" s="11" t="s">
        <v>358</v>
      </c>
      <c r="R232" s="11" t="s">
        <v>596</v>
      </c>
      <c r="S232" s="11" t="s">
        <v>35</v>
      </c>
      <c r="T232" s="158">
        <v>1.3640000000000001</v>
      </c>
      <c r="U232" s="11" t="s">
        <v>2279</v>
      </c>
      <c r="V232" s="174">
        <v>2E-3</v>
      </c>
      <c r="W232" s="189">
        <v>2.3019999999999999E-2</v>
      </c>
      <c r="X232" s="4" t="s">
        <v>602</v>
      </c>
      <c r="Y232" s="4" t="s">
        <v>312</v>
      </c>
      <c r="Z232" s="158">
        <v>533000.75</v>
      </c>
      <c r="AA232" s="158">
        <v>1</v>
      </c>
      <c r="AB232" s="158">
        <v>109.12</v>
      </c>
      <c r="AD232" s="158">
        <v>581.61</v>
      </c>
      <c r="AG232" s="11" t="s">
        <v>37</v>
      </c>
      <c r="AH232" s="189">
        <v>1.6919999999999999E-3</v>
      </c>
      <c r="AI232" s="189">
        <v>9.5474403790530293E-3</v>
      </c>
      <c r="AJ232" s="189">
        <v>1.82356395111533E-3</v>
      </c>
    </row>
    <row r="233" spans="1:36">
      <c r="A233" s="11" t="s">
        <v>256</v>
      </c>
      <c r="B233" s="11">
        <v>556</v>
      </c>
      <c r="C233" s="11" t="s">
        <v>2280</v>
      </c>
      <c r="D233" s="11" t="s">
        <v>2281</v>
      </c>
      <c r="E233" s="4" t="s">
        <v>1552</v>
      </c>
      <c r="F233" s="11" t="s">
        <v>2282</v>
      </c>
      <c r="G233" s="11" t="s">
        <v>2283</v>
      </c>
      <c r="H233" s="11" t="s">
        <v>511</v>
      </c>
      <c r="I233" s="11" t="s">
        <v>945</v>
      </c>
      <c r="J233" s="11" t="s">
        <v>31</v>
      </c>
      <c r="K233" s="11" t="s">
        <v>31</v>
      </c>
      <c r="L233" s="11" t="s">
        <v>517</v>
      </c>
      <c r="M233" s="11" t="s">
        <v>32</v>
      </c>
      <c r="N233" s="11" t="s">
        <v>636</v>
      </c>
      <c r="O233" s="11" t="s">
        <v>312</v>
      </c>
      <c r="P233" s="11" t="s">
        <v>157</v>
      </c>
      <c r="Q233" s="11" t="s">
        <v>604</v>
      </c>
      <c r="R233" s="11" t="s">
        <v>596</v>
      </c>
      <c r="S233" s="11" t="s">
        <v>35</v>
      </c>
      <c r="T233" s="158">
        <v>1.1910000000000001</v>
      </c>
      <c r="U233" s="11" t="s">
        <v>2284</v>
      </c>
      <c r="V233" s="174">
        <v>1E-3</v>
      </c>
      <c r="W233" s="189">
        <v>2.1839999999999998E-2</v>
      </c>
      <c r="X233" s="4" t="s">
        <v>602</v>
      </c>
      <c r="Y233" s="4" t="s">
        <v>312</v>
      </c>
      <c r="Z233" s="158">
        <v>494000</v>
      </c>
      <c r="AA233" s="158">
        <v>1</v>
      </c>
      <c r="AB233" s="158">
        <v>110.18</v>
      </c>
      <c r="AD233" s="158">
        <v>544.28899999999999</v>
      </c>
      <c r="AG233" s="11" t="s">
        <v>37</v>
      </c>
      <c r="AH233" s="189">
        <v>3.2899999999999997E-4</v>
      </c>
      <c r="AI233" s="189">
        <v>8.9347929843797101E-3</v>
      </c>
      <c r="AJ233" s="189">
        <v>1.7065481165758299E-3</v>
      </c>
    </row>
    <row r="234" spans="1:36">
      <c r="A234" s="11" t="s">
        <v>256</v>
      </c>
      <c r="B234" s="11">
        <v>556</v>
      </c>
      <c r="C234" s="11" t="s">
        <v>2280</v>
      </c>
      <c r="D234" s="11" t="s">
        <v>2281</v>
      </c>
      <c r="E234" s="4" t="s">
        <v>1552</v>
      </c>
      <c r="F234" s="11" t="s">
        <v>2285</v>
      </c>
      <c r="G234" s="11" t="s">
        <v>2286</v>
      </c>
      <c r="H234" s="11" t="s">
        <v>511</v>
      </c>
      <c r="I234" s="11" t="s">
        <v>945</v>
      </c>
      <c r="J234" s="11" t="s">
        <v>31</v>
      </c>
      <c r="K234" s="11" t="s">
        <v>31</v>
      </c>
      <c r="L234" s="11" t="s">
        <v>517</v>
      </c>
      <c r="M234" s="11" t="s">
        <v>32</v>
      </c>
      <c r="N234" s="11" t="s">
        <v>636</v>
      </c>
      <c r="O234" s="11" t="s">
        <v>312</v>
      </c>
      <c r="P234" s="11" t="s">
        <v>157</v>
      </c>
      <c r="Q234" s="11" t="s">
        <v>604</v>
      </c>
      <c r="R234" s="11" t="s">
        <v>596</v>
      </c>
      <c r="S234" s="11" t="s">
        <v>35</v>
      </c>
      <c r="T234" s="158">
        <v>2.4159999999999999</v>
      </c>
      <c r="U234" s="11" t="s">
        <v>2287</v>
      </c>
      <c r="V234" s="174">
        <v>1E-3</v>
      </c>
      <c r="W234" s="189">
        <v>2.0709999999999999E-2</v>
      </c>
      <c r="X234" s="4" t="s">
        <v>602</v>
      </c>
      <c r="Y234" s="4" t="s">
        <v>312</v>
      </c>
      <c r="Z234" s="158">
        <v>849000</v>
      </c>
      <c r="AA234" s="158">
        <v>1</v>
      </c>
      <c r="AB234" s="158">
        <v>105.49</v>
      </c>
      <c r="AD234" s="158">
        <v>895.61</v>
      </c>
      <c r="AG234" s="11" t="s">
        <v>37</v>
      </c>
      <c r="AH234" s="189">
        <v>1.8190000000000001E-3</v>
      </c>
      <c r="AI234" s="189">
        <v>1.4701910010743601E-2</v>
      </c>
      <c r="AJ234" s="189">
        <v>2.8080691833335899E-3</v>
      </c>
    </row>
    <row r="235" spans="1:36">
      <c r="A235" s="11" t="s">
        <v>256</v>
      </c>
      <c r="B235" s="11">
        <v>556</v>
      </c>
      <c r="C235" s="11" t="s">
        <v>1911</v>
      </c>
      <c r="D235" s="11" t="s">
        <v>1912</v>
      </c>
      <c r="E235" s="4" t="s">
        <v>1552</v>
      </c>
      <c r="F235" s="11" t="s">
        <v>2288</v>
      </c>
      <c r="G235" s="11" t="s">
        <v>2289</v>
      </c>
      <c r="H235" s="11" t="s">
        <v>511</v>
      </c>
      <c r="I235" s="11" t="s">
        <v>1154</v>
      </c>
      <c r="J235" s="11" t="s">
        <v>31</v>
      </c>
      <c r="K235" s="11" t="s">
        <v>31</v>
      </c>
      <c r="L235" s="11" t="s">
        <v>517</v>
      </c>
      <c r="M235" s="11" t="s">
        <v>32</v>
      </c>
      <c r="N235" s="11" t="s">
        <v>628</v>
      </c>
      <c r="O235" s="11" t="s">
        <v>312</v>
      </c>
      <c r="P235" s="11" t="s">
        <v>2206</v>
      </c>
      <c r="Q235" s="11" t="s">
        <v>604</v>
      </c>
      <c r="R235" s="11" t="s">
        <v>596</v>
      </c>
      <c r="S235" s="11" t="s">
        <v>35</v>
      </c>
      <c r="T235" s="158">
        <v>3.2530000000000001</v>
      </c>
      <c r="U235" s="11" t="s">
        <v>2290</v>
      </c>
      <c r="V235" s="174">
        <v>7.2499999999999995E-2</v>
      </c>
      <c r="W235" s="189">
        <v>6.3E-2</v>
      </c>
      <c r="X235" s="4" t="s">
        <v>602</v>
      </c>
      <c r="Y235" s="4" t="s">
        <v>312</v>
      </c>
      <c r="Z235" s="158">
        <v>190000</v>
      </c>
      <c r="AA235" s="158">
        <v>1</v>
      </c>
      <c r="AB235" s="158">
        <v>104.56</v>
      </c>
      <c r="AD235" s="158">
        <v>198.66399999999999</v>
      </c>
      <c r="AG235" s="11" t="s">
        <v>37</v>
      </c>
      <c r="AH235" s="189">
        <v>2.6400000000000002E-4</v>
      </c>
      <c r="AI235" s="189">
        <v>3.2611738639106002E-3</v>
      </c>
      <c r="AJ235" s="189">
        <v>6.2288517764346905E-4</v>
      </c>
    </row>
    <row r="236" spans="1:36">
      <c r="A236" s="11" t="s">
        <v>256</v>
      </c>
      <c r="B236" s="11">
        <v>556</v>
      </c>
      <c r="C236" s="11" t="s">
        <v>2291</v>
      </c>
      <c r="D236" s="11" t="s">
        <v>2292</v>
      </c>
      <c r="E236" s="4" t="s">
        <v>1552</v>
      </c>
      <c r="F236" s="11" t="s">
        <v>2293</v>
      </c>
      <c r="G236" s="11" t="s">
        <v>2294</v>
      </c>
      <c r="H236" s="11" t="s">
        <v>511</v>
      </c>
      <c r="I236" s="11" t="s">
        <v>1154</v>
      </c>
      <c r="J236" s="11" t="s">
        <v>31</v>
      </c>
      <c r="K236" s="11" t="s">
        <v>31</v>
      </c>
      <c r="L236" s="11" t="s">
        <v>517</v>
      </c>
      <c r="M236" s="11" t="s">
        <v>32</v>
      </c>
      <c r="N236" s="11" t="s">
        <v>651</v>
      </c>
      <c r="O236" s="11" t="s">
        <v>312</v>
      </c>
      <c r="P236" s="11" t="s">
        <v>2165</v>
      </c>
      <c r="Q236" s="27" t="s">
        <v>2165</v>
      </c>
      <c r="R236" s="16" t="s">
        <v>2165</v>
      </c>
      <c r="S236" s="11" t="s">
        <v>35</v>
      </c>
      <c r="T236" s="158">
        <v>3.8330000000000002</v>
      </c>
      <c r="U236" s="11" t="s">
        <v>2193</v>
      </c>
      <c r="V236" s="174">
        <v>7.5800000000000006E-2</v>
      </c>
      <c r="W236" s="189">
        <v>7.4499999999999997E-2</v>
      </c>
      <c r="X236" s="4" t="s">
        <v>602</v>
      </c>
      <c r="Y236" s="4" t="s">
        <v>312</v>
      </c>
      <c r="Z236" s="158">
        <v>121000</v>
      </c>
      <c r="AA236" s="158">
        <v>1</v>
      </c>
      <c r="AB236" s="158">
        <v>101.98</v>
      </c>
      <c r="AD236" s="158">
        <v>123.396</v>
      </c>
      <c r="AG236" s="11" t="s">
        <v>37</v>
      </c>
      <c r="AH236" s="189">
        <v>2.3270000000000001E-3</v>
      </c>
      <c r="AI236" s="189">
        <v>2.0256068430935599E-3</v>
      </c>
      <c r="AJ236" s="189">
        <v>3.8689150929940998E-4</v>
      </c>
    </row>
    <row r="237" spans="1:36">
      <c r="A237" s="11" t="s">
        <v>256</v>
      </c>
      <c r="B237" s="11">
        <v>556</v>
      </c>
      <c r="C237" s="11" t="s">
        <v>2300</v>
      </c>
      <c r="D237" s="11" t="s">
        <v>2301</v>
      </c>
      <c r="E237" s="4" t="s">
        <v>1552</v>
      </c>
      <c r="F237" s="11" t="s">
        <v>2302</v>
      </c>
      <c r="G237" s="11" t="s">
        <v>2303</v>
      </c>
      <c r="H237" s="11" t="s">
        <v>511</v>
      </c>
      <c r="I237" s="11" t="s">
        <v>1154</v>
      </c>
      <c r="J237" s="11" t="s">
        <v>31</v>
      </c>
      <c r="K237" s="11" t="s">
        <v>31</v>
      </c>
      <c r="L237" s="11" t="s">
        <v>517</v>
      </c>
      <c r="M237" s="11" t="s">
        <v>32</v>
      </c>
      <c r="N237" s="11" t="s">
        <v>635</v>
      </c>
      <c r="O237" s="11" t="s">
        <v>312</v>
      </c>
      <c r="P237" s="11" t="s">
        <v>2165</v>
      </c>
      <c r="Q237" s="27" t="s">
        <v>2165</v>
      </c>
      <c r="R237" s="16" t="s">
        <v>2165</v>
      </c>
      <c r="S237" s="11" t="s">
        <v>35</v>
      </c>
      <c r="T237" s="158">
        <v>1.8959999999999999</v>
      </c>
      <c r="U237" s="11" t="s">
        <v>2203</v>
      </c>
      <c r="V237" s="174">
        <v>3.8699999999999998E-2</v>
      </c>
      <c r="W237" s="189">
        <v>6.3070000000000001E-2</v>
      </c>
      <c r="X237" s="4" t="s">
        <v>602</v>
      </c>
      <c r="Y237" s="4" t="s">
        <v>312</v>
      </c>
      <c r="Z237" s="158">
        <v>134769.99</v>
      </c>
      <c r="AA237" s="158">
        <v>1</v>
      </c>
      <c r="AB237" s="158">
        <v>95.78</v>
      </c>
      <c r="AD237" s="158">
        <v>129.083</v>
      </c>
      <c r="AG237" s="11" t="s">
        <v>37</v>
      </c>
      <c r="AH237" s="189">
        <v>4.08E-4</v>
      </c>
      <c r="AI237" s="189">
        <v>2.1189602336333401E-3</v>
      </c>
      <c r="AJ237" s="189">
        <v>4.0472203464903298E-4</v>
      </c>
    </row>
    <row r="238" spans="1:36">
      <c r="A238" s="11" t="s">
        <v>256</v>
      </c>
      <c r="B238" s="11">
        <v>556</v>
      </c>
      <c r="C238" s="11" t="s">
        <v>1714</v>
      </c>
      <c r="D238" s="11" t="s">
        <v>1715</v>
      </c>
      <c r="E238" s="4" t="s">
        <v>1552</v>
      </c>
      <c r="F238" s="11" t="s">
        <v>2304</v>
      </c>
      <c r="G238" s="11" t="s">
        <v>2305</v>
      </c>
      <c r="H238" s="11" t="s">
        <v>511</v>
      </c>
      <c r="I238" s="11" t="s">
        <v>945</v>
      </c>
      <c r="J238" s="11" t="s">
        <v>31</v>
      </c>
      <c r="K238" s="11" t="s">
        <v>489</v>
      </c>
      <c r="L238" s="11" t="s">
        <v>517</v>
      </c>
      <c r="M238" s="11" t="s">
        <v>32</v>
      </c>
      <c r="N238" s="11" t="s">
        <v>653</v>
      </c>
      <c r="O238" s="11" t="s">
        <v>312</v>
      </c>
      <c r="P238" s="11" t="s">
        <v>2206</v>
      </c>
      <c r="Q238" s="11" t="s">
        <v>604</v>
      </c>
      <c r="R238" s="11" t="s">
        <v>596</v>
      </c>
      <c r="S238" s="11" t="s">
        <v>35</v>
      </c>
      <c r="T238" s="158">
        <v>3.7690000000000001</v>
      </c>
      <c r="U238" s="11" t="s">
        <v>2183</v>
      </c>
      <c r="V238" s="174">
        <v>1.7500000000000002E-2</v>
      </c>
      <c r="W238" s="189">
        <v>5.8099999999999999E-2</v>
      </c>
      <c r="X238" s="4" t="s">
        <v>602</v>
      </c>
      <c r="Y238" s="4" t="s">
        <v>312</v>
      </c>
      <c r="Z238" s="158">
        <v>128000</v>
      </c>
      <c r="AA238" s="158">
        <v>1</v>
      </c>
      <c r="AB238" s="158">
        <v>95.82</v>
      </c>
      <c r="AD238" s="158">
        <v>122.65</v>
      </c>
      <c r="AG238" s="11" t="s">
        <v>37</v>
      </c>
      <c r="AH238" s="189">
        <v>1.1E-4</v>
      </c>
      <c r="AI238" s="189">
        <v>2.0133575783186199E-3</v>
      </c>
      <c r="AJ238" s="189">
        <v>3.8455189608535198E-4</v>
      </c>
    </row>
    <row r="239" spans="1:36">
      <c r="A239" s="11" t="s">
        <v>256</v>
      </c>
      <c r="B239" s="11">
        <v>556</v>
      </c>
      <c r="C239" s="11" t="s">
        <v>1714</v>
      </c>
      <c r="D239" s="11" t="s">
        <v>1715</v>
      </c>
      <c r="E239" s="4" t="s">
        <v>1552</v>
      </c>
      <c r="F239" s="11" t="s">
        <v>2306</v>
      </c>
      <c r="G239" s="11" t="s">
        <v>2307</v>
      </c>
      <c r="H239" s="11" t="s">
        <v>511</v>
      </c>
      <c r="I239" s="11" t="s">
        <v>1155</v>
      </c>
      <c r="J239" s="11" t="s">
        <v>31</v>
      </c>
      <c r="K239" s="11" t="s">
        <v>489</v>
      </c>
      <c r="L239" s="11" t="s">
        <v>517</v>
      </c>
      <c r="M239" s="11" t="s">
        <v>32</v>
      </c>
      <c r="N239" s="11" t="s">
        <v>653</v>
      </c>
      <c r="O239" s="11" t="s">
        <v>312</v>
      </c>
      <c r="P239" s="11" t="s">
        <v>2206</v>
      </c>
      <c r="Q239" s="11" t="s">
        <v>604</v>
      </c>
      <c r="R239" s="11" t="s">
        <v>596</v>
      </c>
      <c r="S239" s="11" t="s">
        <v>35</v>
      </c>
      <c r="T239" s="158">
        <v>4.1059999999999999</v>
      </c>
      <c r="U239" s="11" t="s">
        <v>2170</v>
      </c>
      <c r="V239" s="174">
        <v>5.5E-2</v>
      </c>
      <c r="W239" s="189">
        <v>7.6819999999999999E-2</v>
      </c>
      <c r="X239" s="4" t="s">
        <v>602</v>
      </c>
      <c r="Y239" s="4" t="s">
        <v>312</v>
      </c>
      <c r="Z239" s="158">
        <v>220000</v>
      </c>
      <c r="AA239" s="158">
        <v>1</v>
      </c>
      <c r="AB239" s="158">
        <v>90.7</v>
      </c>
      <c r="AD239" s="158">
        <v>199.54</v>
      </c>
      <c r="AG239" s="11" t="s">
        <v>37</v>
      </c>
      <c r="AH239" s="189">
        <v>3.8299999999999999E-4</v>
      </c>
      <c r="AI239" s="189">
        <v>3.27555386383402E-3</v>
      </c>
      <c r="AJ239" s="189">
        <v>6.2563176190440998E-4</v>
      </c>
    </row>
    <row r="240" spans="1:36">
      <c r="A240" s="11" t="s">
        <v>256</v>
      </c>
      <c r="B240" s="11">
        <v>556</v>
      </c>
      <c r="C240" s="11" t="s">
        <v>1714</v>
      </c>
      <c r="D240" s="11" t="s">
        <v>1715</v>
      </c>
      <c r="E240" s="4" t="s">
        <v>1552</v>
      </c>
      <c r="F240" s="11" t="s">
        <v>2308</v>
      </c>
      <c r="G240" s="11" t="s">
        <v>2309</v>
      </c>
      <c r="H240" s="11" t="s">
        <v>511</v>
      </c>
      <c r="I240" s="11" t="s">
        <v>945</v>
      </c>
      <c r="J240" s="11" t="s">
        <v>31</v>
      </c>
      <c r="K240" s="11" t="s">
        <v>489</v>
      </c>
      <c r="L240" s="11" t="s">
        <v>517</v>
      </c>
      <c r="M240" s="11" t="s">
        <v>32</v>
      </c>
      <c r="N240" s="11" t="s">
        <v>653</v>
      </c>
      <c r="O240" s="11" t="s">
        <v>312</v>
      </c>
      <c r="P240" s="11" t="s">
        <v>2206</v>
      </c>
      <c r="Q240" s="11" t="s">
        <v>604</v>
      </c>
      <c r="R240" s="11" t="s">
        <v>596</v>
      </c>
      <c r="S240" s="11" t="s">
        <v>35</v>
      </c>
      <c r="T240" s="158">
        <v>2.1059999999999999</v>
      </c>
      <c r="U240" s="11" t="s">
        <v>2180</v>
      </c>
      <c r="V240" s="174">
        <v>0.04</v>
      </c>
      <c r="W240" s="189">
        <v>5.1159999999999997E-2</v>
      </c>
      <c r="X240" s="4" t="s">
        <v>602</v>
      </c>
      <c r="Y240" s="4" t="s">
        <v>312</v>
      </c>
      <c r="Z240" s="158">
        <v>107000</v>
      </c>
      <c r="AA240" s="158">
        <v>1</v>
      </c>
      <c r="AB240" s="158">
        <v>110.28</v>
      </c>
      <c r="AD240" s="158">
        <v>118</v>
      </c>
      <c r="AG240" s="11" t="s">
        <v>37</v>
      </c>
      <c r="AH240" s="189">
        <v>4.8999999999999998E-5</v>
      </c>
      <c r="AI240" s="189">
        <v>1.9370253869443201E-3</v>
      </c>
      <c r="AJ240" s="189">
        <v>3.6997242483720398E-4</v>
      </c>
    </row>
    <row r="241" spans="1:36">
      <c r="A241" s="11" t="s">
        <v>256</v>
      </c>
      <c r="B241" s="11">
        <v>556</v>
      </c>
      <c r="C241" s="11" t="s">
        <v>1714</v>
      </c>
      <c r="D241" s="11" t="s">
        <v>1715</v>
      </c>
      <c r="E241" s="4" t="s">
        <v>1552</v>
      </c>
      <c r="F241" s="11" t="s">
        <v>2310</v>
      </c>
      <c r="G241" s="11" t="s">
        <v>2311</v>
      </c>
      <c r="H241" s="11" t="s">
        <v>511</v>
      </c>
      <c r="I241" s="11" t="s">
        <v>945</v>
      </c>
      <c r="J241" s="11" t="s">
        <v>31</v>
      </c>
      <c r="K241" s="11" t="s">
        <v>489</v>
      </c>
      <c r="L241" s="11" t="s">
        <v>517</v>
      </c>
      <c r="M241" s="11" t="s">
        <v>32</v>
      </c>
      <c r="N241" s="11" t="s">
        <v>653</v>
      </c>
      <c r="O241" s="11" t="s">
        <v>312</v>
      </c>
      <c r="P241" s="11" t="s">
        <v>174</v>
      </c>
      <c r="Q241" s="11" t="s">
        <v>604</v>
      </c>
      <c r="R241" s="11" t="s">
        <v>596</v>
      </c>
      <c r="S241" s="11" t="s">
        <v>35</v>
      </c>
      <c r="T241" s="158">
        <v>4.8680000000000003</v>
      </c>
      <c r="U241" s="11" t="s">
        <v>2312</v>
      </c>
      <c r="V241" s="174">
        <v>4.8300000000000003E-2</v>
      </c>
      <c r="W241" s="189">
        <v>4.6039999999999998E-2</v>
      </c>
      <c r="X241" s="4" t="s">
        <v>602</v>
      </c>
      <c r="Y241" s="4" t="s">
        <v>312</v>
      </c>
      <c r="Z241" s="158">
        <v>174000</v>
      </c>
      <c r="AA241" s="158">
        <v>1</v>
      </c>
      <c r="AB241" s="158">
        <v>104.35</v>
      </c>
      <c r="AD241" s="158">
        <v>181.56899999999999</v>
      </c>
      <c r="AG241" s="11" t="s">
        <v>37</v>
      </c>
      <c r="AH241" s="189">
        <v>4.2400000000000001E-4</v>
      </c>
      <c r="AI241" s="189">
        <v>2.9805504635786301E-3</v>
      </c>
      <c r="AJ241" s="189">
        <v>5.6928602474301798E-4</v>
      </c>
    </row>
    <row r="242" spans="1:36">
      <c r="A242" s="11" t="s">
        <v>256</v>
      </c>
      <c r="B242" s="11">
        <v>556</v>
      </c>
      <c r="C242" s="11" t="s">
        <v>2313</v>
      </c>
      <c r="D242" s="11" t="s">
        <v>2314</v>
      </c>
      <c r="E242" s="4" t="s">
        <v>1552</v>
      </c>
      <c r="F242" s="11" t="s">
        <v>2315</v>
      </c>
      <c r="G242" s="11" t="s">
        <v>2316</v>
      </c>
      <c r="H242" s="11" t="s">
        <v>511</v>
      </c>
      <c r="I242" s="11" t="s">
        <v>945</v>
      </c>
      <c r="J242" s="11" t="s">
        <v>31</v>
      </c>
      <c r="K242" s="11" t="s">
        <v>31</v>
      </c>
      <c r="L242" s="11" t="s">
        <v>517</v>
      </c>
      <c r="M242" s="11" t="s">
        <v>32</v>
      </c>
      <c r="N242" s="11" t="s">
        <v>652</v>
      </c>
      <c r="O242" s="11" t="s">
        <v>312</v>
      </c>
      <c r="P242" s="11" t="s">
        <v>168</v>
      </c>
      <c r="Q242" s="11" t="s">
        <v>604</v>
      </c>
      <c r="R242" s="11" t="s">
        <v>596</v>
      </c>
      <c r="S242" s="11" t="s">
        <v>35</v>
      </c>
      <c r="T242" s="158">
        <v>1.405</v>
      </c>
      <c r="U242" s="11" t="s">
        <v>2317</v>
      </c>
      <c r="V242" s="174">
        <v>2.5000000000000001E-2</v>
      </c>
      <c r="W242" s="189">
        <v>2.4649999999999998E-2</v>
      </c>
      <c r="X242" s="4" t="s">
        <v>602</v>
      </c>
      <c r="Y242" s="4" t="s">
        <v>312</v>
      </c>
      <c r="Z242" s="158">
        <v>156990.63</v>
      </c>
      <c r="AA242" s="158">
        <v>1</v>
      </c>
      <c r="AB242" s="158">
        <v>114.98</v>
      </c>
      <c r="AD242" s="158">
        <v>180.50800000000001</v>
      </c>
      <c r="AG242" s="11" t="s">
        <v>37</v>
      </c>
      <c r="AH242" s="189">
        <v>4.75E-4</v>
      </c>
      <c r="AI242" s="189">
        <v>2.9631307413633201E-3</v>
      </c>
      <c r="AJ242" s="189">
        <v>5.6595885262053199E-4</v>
      </c>
    </row>
    <row r="243" spans="1:36">
      <c r="A243" s="11" t="s">
        <v>256</v>
      </c>
      <c r="B243" s="11">
        <v>556</v>
      </c>
      <c r="C243" s="11" t="s">
        <v>2318</v>
      </c>
      <c r="D243" s="11" t="s">
        <v>2319</v>
      </c>
      <c r="E243" s="4" t="s">
        <v>1552</v>
      </c>
      <c r="F243" s="11" t="s">
        <v>2320</v>
      </c>
      <c r="G243" s="11" t="s">
        <v>2321</v>
      </c>
      <c r="H243" s="11" t="s">
        <v>511</v>
      </c>
      <c r="I243" s="11" t="s">
        <v>945</v>
      </c>
      <c r="J243" s="11" t="s">
        <v>31</v>
      </c>
      <c r="K243" s="11" t="s">
        <v>31</v>
      </c>
      <c r="L243" s="11" t="s">
        <v>517</v>
      </c>
      <c r="M243" s="11" t="s">
        <v>32</v>
      </c>
      <c r="N243" s="11" t="s">
        <v>639</v>
      </c>
      <c r="O243" s="11" t="s">
        <v>312</v>
      </c>
      <c r="P243" s="11" t="s">
        <v>2161</v>
      </c>
      <c r="Q243" s="11" t="s">
        <v>358</v>
      </c>
      <c r="R243" s="11" t="s">
        <v>596</v>
      </c>
      <c r="S243" s="11" t="s">
        <v>35</v>
      </c>
      <c r="T243" s="158">
        <v>4.3819999999999997</v>
      </c>
      <c r="U243" s="11" t="s">
        <v>2322</v>
      </c>
      <c r="V243" s="174">
        <v>7.4999999999999997E-3</v>
      </c>
      <c r="W243" s="189">
        <v>3.9260000000000003E-2</v>
      </c>
      <c r="X243" s="4" t="s">
        <v>602</v>
      </c>
      <c r="Y243" s="4" t="s">
        <v>312</v>
      </c>
      <c r="Z243" s="158">
        <v>466000</v>
      </c>
      <c r="AA243" s="158">
        <v>1</v>
      </c>
      <c r="AB243" s="158">
        <v>96.11</v>
      </c>
      <c r="AD243" s="158">
        <v>447.87299999999999</v>
      </c>
      <c r="AG243" s="11" t="s">
        <v>37</v>
      </c>
      <c r="AH243" s="189">
        <v>4.4499999999999997E-4</v>
      </c>
      <c r="AI243" s="189">
        <v>7.3520638740873397E-3</v>
      </c>
      <c r="AJ243" s="189">
        <v>1.4042463859211601E-3</v>
      </c>
    </row>
    <row r="244" spans="1:36">
      <c r="A244" s="11" t="s">
        <v>256</v>
      </c>
      <c r="B244" s="11">
        <v>556</v>
      </c>
      <c r="C244" s="11" t="s">
        <v>2323</v>
      </c>
      <c r="D244" s="11" t="s">
        <v>2324</v>
      </c>
      <c r="E244" s="4" t="s">
        <v>504</v>
      </c>
      <c r="F244" s="11" t="s">
        <v>2325</v>
      </c>
      <c r="G244" s="11" t="s">
        <v>2326</v>
      </c>
      <c r="H244" s="11" t="s">
        <v>511</v>
      </c>
      <c r="I244" s="11" t="s">
        <v>1154</v>
      </c>
      <c r="J244" s="11" t="s">
        <v>154</v>
      </c>
      <c r="K244" s="11" t="s">
        <v>155</v>
      </c>
      <c r="L244" s="11" t="s">
        <v>517</v>
      </c>
      <c r="M244" s="11" t="s">
        <v>32</v>
      </c>
      <c r="N244" s="11" t="s">
        <v>653</v>
      </c>
      <c r="O244" s="11" t="s">
        <v>312</v>
      </c>
      <c r="P244" s="11" t="s">
        <v>2327</v>
      </c>
      <c r="Q244" s="11" t="s">
        <v>358</v>
      </c>
      <c r="R244" s="11" t="s">
        <v>596</v>
      </c>
      <c r="S244" s="11" t="s">
        <v>35</v>
      </c>
      <c r="T244" s="158">
        <v>2.3919999999999999</v>
      </c>
      <c r="U244" s="11" t="s">
        <v>2328</v>
      </c>
      <c r="V244" s="174">
        <v>0.08</v>
      </c>
      <c r="W244" s="189">
        <v>0.16452</v>
      </c>
      <c r="X244" s="4" t="s">
        <v>602</v>
      </c>
      <c r="Y244" s="4" t="s">
        <v>312</v>
      </c>
      <c r="Z244" s="158">
        <v>127946.92</v>
      </c>
      <c r="AA244" s="158">
        <v>1</v>
      </c>
      <c r="AB244" s="158">
        <v>83.99</v>
      </c>
      <c r="AD244" s="158">
        <v>107.46299999999999</v>
      </c>
      <c r="AG244" s="11" t="s">
        <v>37</v>
      </c>
      <c r="AH244" s="189">
        <v>1.4200000000000001E-4</v>
      </c>
      <c r="AI244" s="189">
        <v>1.76405529698997E-3</v>
      </c>
      <c r="AJ244" s="189">
        <v>3.3693508622716702E-4</v>
      </c>
    </row>
    <row r="245" spans="1:36">
      <c r="A245" s="11" t="s">
        <v>256</v>
      </c>
      <c r="B245" s="11">
        <v>556</v>
      </c>
      <c r="C245" s="11" t="s">
        <v>2329</v>
      </c>
      <c r="D245" s="11" t="s">
        <v>2330</v>
      </c>
      <c r="E245" s="4" t="s">
        <v>34</v>
      </c>
      <c r="F245" s="11" t="s">
        <v>2331</v>
      </c>
      <c r="G245" s="11" t="s">
        <v>2332</v>
      </c>
      <c r="H245" s="11" t="s">
        <v>511</v>
      </c>
      <c r="I245" s="11" t="s">
        <v>1154</v>
      </c>
      <c r="J245" s="11" t="s">
        <v>31</v>
      </c>
      <c r="K245" s="11" t="s">
        <v>155</v>
      </c>
      <c r="L245" s="11" t="s">
        <v>517</v>
      </c>
      <c r="M245" s="11" t="s">
        <v>32</v>
      </c>
      <c r="N245" s="11" t="s">
        <v>653</v>
      </c>
      <c r="O245" s="11" t="s">
        <v>312</v>
      </c>
      <c r="P245" s="11" t="s">
        <v>2234</v>
      </c>
      <c r="Q245" s="11" t="s">
        <v>358</v>
      </c>
      <c r="R245" s="11" t="s">
        <v>596</v>
      </c>
      <c r="S245" s="11" t="s">
        <v>35</v>
      </c>
      <c r="T245" s="158">
        <v>2.2709999999999999</v>
      </c>
      <c r="U245" s="11" t="s">
        <v>2333</v>
      </c>
      <c r="V245" s="174">
        <v>6.8000000000000005E-2</v>
      </c>
      <c r="W245" s="189">
        <v>6.3880000000000006E-2</v>
      </c>
      <c r="X245" s="4" t="s">
        <v>602</v>
      </c>
      <c r="Y245" s="4" t="s">
        <v>312</v>
      </c>
      <c r="Z245" s="158">
        <v>110580</v>
      </c>
      <c r="AA245" s="158">
        <v>1</v>
      </c>
      <c r="AB245" s="158">
        <v>101.14</v>
      </c>
      <c r="AD245" s="158">
        <v>111.84099999999999</v>
      </c>
      <c r="AG245" s="11" t="s">
        <v>37</v>
      </c>
      <c r="AH245" s="189">
        <v>3.1300000000000002E-4</v>
      </c>
      <c r="AI245" s="189">
        <v>1.83592236529098E-3</v>
      </c>
      <c r="AJ245" s="189">
        <v>3.5066171764071101E-4</v>
      </c>
    </row>
    <row r="246" spans="1:36">
      <c r="A246" s="11" t="s">
        <v>256</v>
      </c>
      <c r="B246" s="11">
        <v>556</v>
      </c>
      <c r="C246" s="11" t="s">
        <v>1738</v>
      </c>
      <c r="D246" s="11" t="s">
        <v>1739</v>
      </c>
      <c r="E246" s="4" t="s">
        <v>1552</v>
      </c>
      <c r="F246" s="11" t="s">
        <v>2334</v>
      </c>
      <c r="G246" s="11" t="s">
        <v>2335</v>
      </c>
      <c r="H246" s="11" t="s">
        <v>511</v>
      </c>
      <c r="I246" s="11" t="s">
        <v>945</v>
      </c>
      <c r="J246" s="11" t="s">
        <v>31</v>
      </c>
      <c r="K246" s="11" t="s">
        <v>31</v>
      </c>
      <c r="L246" s="11" t="s">
        <v>517</v>
      </c>
      <c r="M246" s="11" t="s">
        <v>50</v>
      </c>
      <c r="N246" s="11" t="s">
        <v>629</v>
      </c>
      <c r="O246" s="11" t="s">
        <v>312</v>
      </c>
      <c r="P246" s="11" t="s">
        <v>2165</v>
      </c>
      <c r="Q246" s="27" t="s">
        <v>2165</v>
      </c>
      <c r="R246" s="16" t="s">
        <v>2165</v>
      </c>
      <c r="S246" s="11" t="s">
        <v>35</v>
      </c>
      <c r="T246" s="158">
        <v>4.6539999999999999</v>
      </c>
      <c r="U246" s="11" t="s">
        <v>2336</v>
      </c>
      <c r="V246" s="174">
        <v>4.7E-2</v>
      </c>
      <c r="W246" s="189">
        <v>4.7539999999999999E-2</v>
      </c>
      <c r="X246" s="4" t="s">
        <v>602</v>
      </c>
      <c r="Y246" s="4" t="s">
        <v>312</v>
      </c>
      <c r="Z246" s="158">
        <v>532000.37</v>
      </c>
      <c r="AA246" s="158">
        <v>1</v>
      </c>
      <c r="AB246" s="158">
        <v>102.67</v>
      </c>
      <c r="AD246" s="158">
        <v>546.20500000000004</v>
      </c>
      <c r="AG246" s="11" t="s">
        <v>37</v>
      </c>
      <c r="AH246" s="189">
        <v>1.214E-3</v>
      </c>
      <c r="AI246" s="189">
        <v>8.9662382338241402E-3</v>
      </c>
      <c r="AJ246" s="189">
        <v>1.7125541685692599E-3</v>
      </c>
    </row>
    <row r="247" spans="1:36">
      <c r="A247" s="11" t="s">
        <v>256</v>
      </c>
      <c r="B247" s="11">
        <v>556</v>
      </c>
      <c r="C247" s="11" t="s">
        <v>2337</v>
      </c>
      <c r="D247" s="11" t="s">
        <v>2338</v>
      </c>
      <c r="E247" s="4" t="s">
        <v>1552</v>
      </c>
      <c r="F247" s="11" t="s">
        <v>2339</v>
      </c>
      <c r="G247" s="11" t="s">
        <v>2340</v>
      </c>
      <c r="H247" s="11" t="s">
        <v>511</v>
      </c>
      <c r="I247" s="11" t="s">
        <v>945</v>
      </c>
      <c r="J247" s="11" t="s">
        <v>31</v>
      </c>
      <c r="K247" s="11" t="s">
        <v>31</v>
      </c>
      <c r="L247" s="11" t="s">
        <v>517</v>
      </c>
      <c r="M247" s="11" t="s">
        <v>32</v>
      </c>
      <c r="N247" s="11" t="s">
        <v>636</v>
      </c>
      <c r="O247" s="11" t="s">
        <v>312</v>
      </c>
      <c r="P247" s="11" t="s">
        <v>157</v>
      </c>
      <c r="Q247" s="11" t="s">
        <v>604</v>
      </c>
      <c r="R247" s="11" t="s">
        <v>596</v>
      </c>
      <c r="S247" s="11" t="s">
        <v>35</v>
      </c>
      <c r="T247" s="158">
        <v>3.9630000000000001</v>
      </c>
      <c r="U247" s="11" t="s">
        <v>2341</v>
      </c>
      <c r="V247" s="174">
        <v>2E-3</v>
      </c>
      <c r="W247" s="189">
        <v>2.5309999999999999E-2</v>
      </c>
      <c r="X247" s="4" t="s">
        <v>602</v>
      </c>
      <c r="Y247" s="4" t="s">
        <v>312</v>
      </c>
      <c r="Z247" s="158">
        <v>792786.55</v>
      </c>
      <c r="AA247" s="158">
        <v>1</v>
      </c>
      <c r="AB247" s="158">
        <v>100.85</v>
      </c>
      <c r="AD247" s="158">
        <v>799.52499999999998</v>
      </c>
      <c r="AG247" s="11" t="s">
        <v>37</v>
      </c>
      <c r="AH247" s="189">
        <v>2.05E-4</v>
      </c>
      <c r="AI247" s="189">
        <v>1.3124626515726399E-2</v>
      </c>
      <c r="AJ247" s="189">
        <v>2.5068075668156198E-3</v>
      </c>
    </row>
    <row r="248" spans="1:36">
      <c r="A248" s="11" t="s">
        <v>256</v>
      </c>
      <c r="B248" s="11">
        <v>556</v>
      </c>
      <c r="C248" s="11" t="s">
        <v>2337</v>
      </c>
      <c r="D248" s="11" t="s">
        <v>2338</v>
      </c>
      <c r="E248" s="4" t="s">
        <v>1552</v>
      </c>
      <c r="F248" s="11" t="s">
        <v>2342</v>
      </c>
      <c r="G248" s="11" t="s">
        <v>2343</v>
      </c>
      <c r="H248" s="11" t="s">
        <v>511</v>
      </c>
      <c r="I248" s="11" t="s">
        <v>945</v>
      </c>
      <c r="J248" s="11" t="s">
        <v>31</v>
      </c>
      <c r="K248" s="11" t="s">
        <v>31</v>
      </c>
      <c r="L248" s="11" t="s">
        <v>517</v>
      </c>
      <c r="M248" s="11" t="s">
        <v>32</v>
      </c>
      <c r="N248" s="11" t="s">
        <v>636</v>
      </c>
      <c r="O248" s="11" t="s">
        <v>312</v>
      </c>
      <c r="P248" s="11" t="s">
        <v>157</v>
      </c>
      <c r="Q248" s="11" t="s">
        <v>604</v>
      </c>
      <c r="R248" s="11" t="s">
        <v>596</v>
      </c>
      <c r="S248" s="11" t="s">
        <v>35</v>
      </c>
      <c r="T248" s="158">
        <v>5.3019999999999996</v>
      </c>
      <c r="U248" s="11" t="s">
        <v>2344</v>
      </c>
      <c r="V248" s="174">
        <v>2.47E-2</v>
      </c>
      <c r="W248" s="189">
        <v>2.6040000000000001E-2</v>
      </c>
      <c r="X248" s="4" t="s">
        <v>602</v>
      </c>
      <c r="Y248" s="4" t="s">
        <v>312</v>
      </c>
      <c r="Z248" s="158">
        <v>362000</v>
      </c>
      <c r="AA248" s="158">
        <v>1</v>
      </c>
      <c r="AB248" s="158">
        <v>100.34</v>
      </c>
      <c r="AD248" s="158">
        <v>363.23099999999999</v>
      </c>
      <c r="AG248" s="11" t="s">
        <v>37</v>
      </c>
      <c r="AH248" s="189">
        <v>2.32E-4</v>
      </c>
      <c r="AI248" s="189">
        <v>5.9626242878797302E-3</v>
      </c>
      <c r="AJ248" s="189">
        <v>1.1388630118369699E-3</v>
      </c>
    </row>
    <row r="249" spans="1:36">
      <c r="A249" s="11" t="s">
        <v>256</v>
      </c>
      <c r="B249" s="11">
        <v>556</v>
      </c>
      <c r="C249" s="11" t="s">
        <v>2337</v>
      </c>
      <c r="D249" s="11" t="s">
        <v>2338</v>
      </c>
      <c r="E249" s="4" t="s">
        <v>1552</v>
      </c>
      <c r="F249" s="11" t="s">
        <v>2345</v>
      </c>
      <c r="G249" s="11" t="s">
        <v>2346</v>
      </c>
      <c r="H249" s="11" t="s">
        <v>511</v>
      </c>
      <c r="I249" s="11" t="s">
        <v>1154</v>
      </c>
      <c r="J249" s="11" t="s">
        <v>31</v>
      </c>
      <c r="K249" s="11" t="s">
        <v>31</v>
      </c>
      <c r="L249" s="11" t="s">
        <v>517</v>
      </c>
      <c r="M249" s="11" t="s">
        <v>32</v>
      </c>
      <c r="N249" s="11" t="s">
        <v>636</v>
      </c>
      <c r="O249" s="11" t="s">
        <v>312</v>
      </c>
      <c r="P249" s="11" t="s">
        <v>157</v>
      </c>
      <c r="Q249" s="11" t="s">
        <v>604</v>
      </c>
      <c r="R249" s="11" t="s">
        <v>596</v>
      </c>
      <c r="S249" s="11" t="s">
        <v>35</v>
      </c>
      <c r="T249" s="158">
        <v>0.42699999999999999</v>
      </c>
      <c r="U249" s="11" t="s">
        <v>160</v>
      </c>
      <c r="V249" s="174">
        <v>1.8700000000000001E-2</v>
      </c>
      <c r="W249" s="189">
        <v>4.6260000000000003E-2</v>
      </c>
      <c r="X249" s="4" t="s">
        <v>602</v>
      </c>
      <c r="Y249" s="4" t="s">
        <v>312</v>
      </c>
      <c r="Z249" s="158">
        <v>559000.12</v>
      </c>
      <c r="AA249" s="158">
        <v>1</v>
      </c>
      <c r="AB249" s="158">
        <v>99.98</v>
      </c>
      <c r="AD249" s="158">
        <v>558.88800000000003</v>
      </c>
      <c r="AG249" s="11" t="s">
        <v>37</v>
      </c>
      <c r="AH249" s="189">
        <v>2.0230000000000001E-3</v>
      </c>
      <c r="AI249" s="189">
        <v>9.1744452037140004E-3</v>
      </c>
      <c r="AJ249" s="189">
        <v>1.75232176172387E-3</v>
      </c>
    </row>
    <row r="250" spans="1:36">
      <c r="A250" s="11" t="s">
        <v>256</v>
      </c>
      <c r="B250" s="11">
        <v>556</v>
      </c>
      <c r="C250" s="11" t="s">
        <v>2337</v>
      </c>
      <c r="D250" s="11" t="s">
        <v>2338</v>
      </c>
      <c r="E250" s="4" t="s">
        <v>1552</v>
      </c>
      <c r="F250" s="11" t="s">
        <v>2347</v>
      </c>
      <c r="G250" s="11" t="s">
        <v>2348</v>
      </c>
      <c r="H250" s="11" t="s">
        <v>511</v>
      </c>
      <c r="I250" s="11" t="s">
        <v>1154</v>
      </c>
      <c r="J250" s="11" t="s">
        <v>31</v>
      </c>
      <c r="K250" s="11" t="s">
        <v>31</v>
      </c>
      <c r="L250" s="11" t="s">
        <v>517</v>
      </c>
      <c r="M250" s="11" t="s">
        <v>32</v>
      </c>
      <c r="N250" s="11" t="s">
        <v>636</v>
      </c>
      <c r="O250" s="11" t="s">
        <v>312</v>
      </c>
      <c r="P250" s="11" t="s">
        <v>157</v>
      </c>
      <c r="Q250" s="11" t="s">
        <v>604</v>
      </c>
      <c r="R250" s="11" t="s">
        <v>596</v>
      </c>
      <c r="S250" s="11" t="s">
        <v>35</v>
      </c>
      <c r="T250" s="158">
        <v>3.1379999999999999</v>
      </c>
      <c r="U250" s="11" t="s">
        <v>2349</v>
      </c>
      <c r="V250" s="174">
        <v>2.6800000000000001E-2</v>
      </c>
      <c r="W250" s="189">
        <v>5.0459999999999998E-2</v>
      </c>
      <c r="X250" s="4" t="s">
        <v>602</v>
      </c>
      <c r="Y250" s="4" t="s">
        <v>312</v>
      </c>
      <c r="Z250" s="158">
        <v>6000</v>
      </c>
      <c r="AA250" s="158">
        <v>1</v>
      </c>
      <c r="AB250" s="158">
        <v>94.27</v>
      </c>
      <c r="AD250" s="158">
        <v>5.6559999999999997</v>
      </c>
      <c r="AG250" s="11" t="s">
        <v>37</v>
      </c>
      <c r="AH250" s="189">
        <v>3.0000000000000001E-6</v>
      </c>
      <c r="AI250" s="189">
        <v>9.2849492656199207E-5</v>
      </c>
      <c r="AJ250" s="189">
        <v>1.7734280704037901E-5</v>
      </c>
    </row>
    <row r="251" spans="1:36">
      <c r="A251" s="11" t="s">
        <v>256</v>
      </c>
      <c r="B251" s="11">
        <v>556</v>
      </c>
      <c r="C251" s="11" t="s">
        <v>2350</v>
      </c>
      <c r="D251" s="11" t="s">
        <v>2351</v>
      </c>
      <c r="E251" s="4" t="s">
        <v>1552</v>
      </c>
      <c r="F251" s="11" t="s">
        <v>2352</v>
      </c>
      <c r="G251" s="11" t="s">
        <v>2353</v>
      </c>
      <c r="H251" s="11" t="s">
        <v>511</v>
      </c>
      <c r="I251" s="11" t="s">
        <v>1154</v>
      </c>
      <c r="J251" s="11" t="s">
        <v>31</v>
      </c>
      <c r="K251" s="11" t="s">
        <v>31</v>
      </c>
      <c r="L251" s="11" t="s">
        <v>517</v>
      </c>
      <c r="M251" s="11" t="s">
        <v>32</v>
      </c>
      <c r="N251" s="11" t="s">
        <v>639</v>
      </c>
      <c r="O251" s="11" t="s">
        <v>312</v>
      </c>
      <c r="P251" s="11" t="s">
        <v>2354</v>
      </c>
      <c r="Q251" s="11" t="s">
        <v>358</v>
      </c>
      <c r="R251" s="11" t="s">
        <v>596</v>
      </c>
      <c r="S251" s="11" t="s">
        <v>35</v>
      </c>
      <c r="T251" s="158">
        <v>1.4279999999999999</v>
      </c>
      <c r="U251" s="11" t="s">
        <v>2355</v>
      </c>
      <c r="V251" s="174">
        <v>5.8000000000000003E-2</v>
      </c>
      <c r="W251" s="189">
        <v>7.8689999999999996E-2</v>
      </c>
      <c r="X251" s="4" t="s">
        <v>602</v>
      </c>
      <c r="Y251" s="4" t="s">
        <v>312</v>
      </c>
      <c r="Z251" s="158">
        <v>199000.2</v>
      </c>
      <c r="AA251" s="158">
        <v>1</v>
      </c>
      <c r="AB251" s="158">
        <v>96.03</v>
      </c>
      <c r="AD251" s="158">
        <v>191.1</v>
      </c>
      <c r="AG251" s="11" t="s">
        <v>37</v>
      </c>
      <c r="AH251" s="189">
        <v>2.34E-4</v>
      </c>
      <c r="AI251" s="189">
        <v>3.1370050607166301E-3</v>
      </c>
      <c r="AJ251" s="189">
        <v>5.9916889931462599E-4</v>
      </c>
    </row>
    <row r="252" spans="1:36">
      <c r="A252" s="11" t="s">
        <v>256</v>
      </c>
      <c r="B252" s="11">
        <v>556</v>
      </c>
      <c r="C252" s="11" t="s">
        <v>2356</v>
      </c>
      <c r="D252" s="11" t="s">
        <v>2357</v>
      </c>
      <c r="E252" s="4" t="s">
        <v>1552</v>
      </c>
      <c r="F252" s="11" t="s">
        <v>2358</v>
      </c>
      <c r="G252" s="11" t="s">
        <v>2359</v>
      </c>
      <c r="H252" s="11" t="s">
        <v>511</v>
      </c>
      <c r="I252" s="11" t="s">
        <v>945</v>
      </c>
      <c r="J252" s="11" t="s">
        <v>31</v>
      </c>
      <c r="K252" s="11" t="s">
        <v>31</v>
      </c>
      <c r="L252" s="11" t="s">
        <v>517</v>
      </c>
      <c r="M252" s="11" t="s">
        <v>32</v>
      </c>
      <c r="N252" s="11" t="s">
        <v>628</v>
      </c>
      <c r="O252" s="11" t="s">
        <v>312</v>
      </c>
      <c r="P252" s="11" t="s">
        <v>2206</v>
      </c>
      <c r="Q252" s="11" t="s">
        <v>604</v>
      </c>
      <c r="R252" s="11" t="s">
        <v>596</v>
      </c>
      <c r="S252" s="11" t="s">
        <v>35</v>
      </c>
      <c r="T252" s="158">
        <v>5.9729999999999999</v>
      </c>
      <c r="U252" s="11" t="s">
        <v>2360</v>
      </c>
      <c r="V252" s="174">
        <v>3.3000000000000002E-2</v>
      </c>
      <c r="W252" s="189">
        <v>4.1739999999999999E-2</v>
      </c>
      <c r="X252" s="4" t="s">
        <v>602</v>
      </c>
      <c r="Y252" s="4" t="s">
        <v>312</v>
      </c>
      <c r="Z252" s="158">
        <v>28000.9</v>
      </c>
      <c r="AA252" s="158">
        <v>1</v>
      </c>
      <c r="AB252" s="158">
        <v>100.71</v>
      </c>
      <c r="AD252" s="158">
        <v>28.2</v>
      </c>
      <c r="AG252" s="11" t="s">
        <v>37</v>
      </c>
      <c r="AH252" s="189">
        <v>2.1999999999999999E-5</v>
      </c>
      <c r="AI252" s="189">
        <v>4.6291298599152698E-4</v>
      </c>
      <c r="AJ252" s="189">
        <v>8.8416517961124405E-5</v>
      </c>
    </row>
    <row r="253" spans="1:36">
      <c r="A253" s="11" t="s">
        <v>256</v>
      </c>
      <c r="B253" s="11">
        <v>556</v>
      </c>
      <c r="C253" s="11" t="s">
        <v>2361</v>
      </c>
      <c r="D253" s="11" t="s">
        <v>2362</v>
      </c>
      <c r="E253" s="4" t="s">
        <v>1552</v>
      </c>
      <c r="F253" s="11" t="s">
        <v>2861</v>
      </c>
      <c r="G253" s="11" t="s">
        <v>2862</v>
      </c>
      <c r="H253" s="11" t="s">
        <v>511</v>
      </c>
      <c r="I253" s="11" t="s">
        <v>1154</v>
      </c>
      <c r="J253" s="11" t="s">
        <v>31</v>
      </c>
      <c r="K253" s="11" t="s">
        <v>31</v>
      </c>
      <c r="L253" s="11" t="s">
        <v>517</v>
      </c>
      <c r="M253" s="11" t="s">
        <v>32</v>
      </c>
      <c r="N253" s="11" t="s">
        <v>642</v>
      </c>
      <c r="O253" s="11" t="s">
        <v>312</v>
      </c>
      <c r="P253" s="11" t="s">
        <v>2206</v>
      </c>
      <c r="Q253" s="11" t="s">
        <v>604</v>
      </c>
      <c r="R253" s="11" t="s">
        <v>596</v>
      </c>
      <c r="S253" s="11" t="s">
        <v>35</v>
      </c>
      <c r="T253" s="158">
        <v>2.8809999999999998</v>
      </c>
      <c r="U253" s="11" t="s">
        <v>2863</v>
      </c>
      <c r="V253" s="174">
        <v>6.7500000000000004E-2</v>
      </c>
      <c r="W253" s="189">
        <v>6.1519999999999998E-2</v>
      </c>
      <c r="X253" s="4" t="s">
        <v>602</v>
      </c>
      <c r="Y253" s="4" t="s">
        <v>312</v>
      </c>
      <c r="Z253" s="158">
        <v>225000.38</v>
      </c>
      <c r="AA253" s="158">
        <v>1</v>
      </c>
      <c r="AB253" s="158">
        <v>104.46</v>
      </c>
      <c r="AD253" s="158">
        <v>235.035</v>
      </c>
      <c r="AG253" s="11" t="s">
        <v>37</v>
      </c>
      <c r="AH253" s="189">
        <v>1.2899999999999999E-4</v>
      </c>
      <c r="AI253" s="189">
        <v>3.8582294407676801E-3</v>
      </c>
      <c r="AJ253" s="189">
        <v>7.3692297034418997E-4</v>
      </c>
    </row>
    <row r="254" spans="1:36">
      <c r="A254" s="11" t="s">
        <v>256</v>
      </c>
      <c r="B254" s="11">
        <v>556</v>
      </c>
      <c r="C254" s="11" t="s">
        <v>2361</v>
      </c>
      <c r="D254" s="11" t="s">
        <v>2362</v>
      </c>
      <c r="E254" s="4" t="s">
        <v>1552</v>
      </c>
      <c r="F254" s="11" t="s">
        <v>2366</v>
      </c>
      <c r="G254" s="11" t="s">
        <v>2364</v>
      </c>
      <c r="H254" s="11" t="s">
        <v>511</v>
      </c>
      <c r="I254" s="11" t="s">
        <v>1154</v>
      </c>
      <c r="J254" s="11" t="s">
        <v>31</v>
      </c>
      <c r="K254" s="11" t="s">
        <v>31</v>
      </c>
      <c r="L254" s="16" t="s">
        <v>519</v>
      </c>
      <c r="M254" s="11" t="s">
        <v>32</v>
      </c>
      <c r="N254" s="11" t="s">
        <v>642</v>
      </c>
      <c r="O254" s="11" t="s">
        <v>312</v>
      </c>
      <c r="P254" s="11" t="s">
        <v>2206</v>
      </c>
      <c r="Q254" s="11" t="s">
        <v>604</v>
      </c>
      <c r="R254" s="11" t="s">
        <v>596</v>
      </c>
      <c r="S254" s="11" t="s">
        <v>35</v>
      </c>
      <c r="T254" s="158">
        <v>4.0999999999999996</v>
      </c>
      <c r="U254" s="11" t="s">
        <v>2365</v>
      </c>
      <c r="V254" s="174">
        <v>6.5199999999999994E-2</v>
      </c>
      <c r="W254" s="189">
        <v>6.4449999999999993E-2</v>
      </c>
      <c r="X254" s="4" t="s">
        <v>602</v>
      </c>
      <c r="Y254" s="4" t="s">
        <v>312</v>
      </c>
      <c r="Z254" s="158">
        <v>235294.12</v>
      </c>
      <c r="AA254" s="158">
        <v>1</v>
      </c>
      <c r="AB254" s="158">
        <v>101.71</v>
      </c>
      <c r="AD254" s="158">
        <v>239.31800000000001</v>
      </c>
      <c r="AG254" s="11" t="s">
        <v>37</v>
      </c>
      <c r="AH254" s="189">
        <v>0</v>
      </c>
      <c r="AI254" s="189">
        <v>3.92852486391788E-3</v>
      </c>
      <c r="AJ254" s="189">
        <v>7.5034941706663696E-4</v>
      </c>
    </row>
    <row r="255" spans="1:36">
      <c r="A255" s="11" t="s">
        <v>256</v>
      </c>
      <c r="B255" s="11">
        <v>556</v>
      </c>
      <c r="C255" s="11" t="s">
        <v>2361</v>
      </c>
      <c r="D255" s="11" t="s">
        <v>2362</v>
      </c>
      <c r="E255" s="4" t="s">
        <v>1552</v>
      </c>
      <c r="F255" s="11" t="s">
        <v>2367</v>
      </c>
      <c r="G255" s="11" t="s">
        <v>2368</v>
      </c>
      <c r="H255" s="11" t="s">
        <v>511</v>
      </c>
      <c r="I255" s="11" t="s">
        <v>1154</v>
      </c>
      <c r="J255" s="11" t="s">
        <v>31</v>
      </c>
      <c r="K255" s="11" t="s">
        <v>31</v>
      </c>
      <c r="L255" s="11" t="s">
        <v>517</v>
      </c>
      <c r="M255" s="11" t="s">
        <v>50</v>
      </c>
      <c r="N255" s="11" t="s">
        <v>642</v>
      </c>
      <c r="O255" s="11" t="s">
        <v>312</v>
      </c>
      <c r="P255" s="11" t="s">
        <v>2206</v>
      </c>
      <c r="Q255" s="11" t="s">
        <v>604</v>
      </c>
      <c r="R255" s="11" t="s">
        <v>596</v>
      </c>
      <c r="S255" s="11" t="s">
        <v>35</v>
      </c>
      <c r="T255" s="158">
        <v>5.5659999999999998</v>
      </c>
      <c r="U255" s="11" t="s">
        <v>2369</v>
      </c>
      <c r="V255" s="174">
        <v>6.3799999999999996E-2</v>
      </c>
      <c r="W255" s="189">
        <v>6.7699999999999996E-2</v>
      </c>
      <c r="X255" s="4" t="s">
        <v>602</v>
      </c>
      <c r="Y255" s="4" t="s">
        <v>312</v>
      </c>
      <c r="Z255" s="158">
        <v>139000</v>
      </c>
      <c r="AA255" s="158">
        <v>1</v>
      </c>
      <c r="AB255" s="158">
        <v>98.24</v>
      </c>
      <c r="AD255" s="158">
        <v>136.554</v>
      </c>
      <c r="AG255" s="11" t="s">
        <v>37</v>
      </c>
      <c r="AH255" s="189">
        <v>1.3899999999999999E-4</v>
      </c>
      <c r="AI255" s="189">
        <v>2.2415990382902901E-3</v>
      </c>
      <c r="AJ255" s="189">
        <v>4.2814608280239598E-4</v>
      </c>
    </row>
    <row r="256" spans="1:36">
      <c r="A256" s="11" t="s">
        <v>256</v>
      </c>
      <c r="B256" s="11">
        <v>556</v>
      </c>
      <c r="C256" s="11" t="s">
        <v>1754</v>
      </c>
      <c r="D256" s="11" t="s">
        <v>1755</v>
      </c>
      <c r="E256" s="4" t="s">
        <v>1552</v>
      </c>
      <c r="F256" s="11" t="s">
        <v>2370</v>
      </c>
      <c r="G256" s="11" t="s">
        <v>2371</v>
      </c>
      <c r="H256" s="11" t="s">
        <v>511</v>
      </c>
      <c r="I256" s="11" t="s">
        <v>1154</v>
      </c>
      <c r="J256" s="11" t="s">
        <v>31</v>
      </c>
      <c r="K256" s="11" t="s">
        <v>31</v>
      </c>
      <c r="L256" s="11" t="s">
        <v>517</v>
      </c>
      <c r="M256" s="11" t="s">
        <v>32</v>
      </c>
      <c r="N256" s="11" t="s">
        <v>635</v>
      </c>
      <c r="O256" s="11" t="s">
        <v>312</v>
      </c>
      <c r="P256" s="11" t="s">
        <v>168</v>
      </c>
      <c r="Q256" s="11" t="s">
        <v>604</v>
      </c>
      <c r="R256" s="11" t="s">
        <v>596</v>
      </c>
      <c r="S256" s="11" t="s">
        <v>35</v>
      </c>
      <c r="T256" s="158">
        <v>0.98699999999999999</v>
      </c>
      <c r="U256" s="11" t="s">
        <v>2188</v>
      </c>
      <c r="V256" s="174">
        <v>3.0499999999999999E-2</v>
      </c>
      <c r="W256" s="189">
        <v>5.5820000000000002E-2</v>
      </c>
      <c r="X256" s="4" t="s">
        <v>602</v>
      </c>
      <c r="Y256" s="4" t="s">
        <v>312</v>
      </c>
      <c r="Z256" s="158">
        <v>42000</v>
      </c>
      <c r="AA256" s="158">
        <v>1</v>
      </c>
      <c r="AB256" s="158">
        <v>97.67</v>
      </c>
      <c r="AD256" s="158">
        <v>41.021000000000001</v>
      </c>
      <c r="AG256" s="11" t="s">
        <v>37</v>
      </c>
      <c r="AH256" s="189">
        <v>6.2600000000000004E-4</v>
      </c>
      <c r="AI256" s="189">
        <v>6.7338781833156702E-4</v>
      </c>
      <c r="AJ256" s="189">
        <v>1.28617273518019E-4</v>
      </c>
    </row>
    <row r="257" spans="1:36">
      <c r="A257" s="11" t="s">
        <v>256</v>
      </c>
      <c r="B257" s="11">
        <v>556</v>
      </c>
      <c r="C257" s="11" t="s">
        <v>2372</v>
      </c>
      <c r="D257" s="11" t="s">
        <v>2373</v>
      </c>
      <c r="E257" s="4" t="s">
        <v>1552</v>
      </c>
      <c r="F257" s="11" t="s">
        <v>2374</v>
      </c>
      <c r="G257" s="11" t="s">
        <v>2375</v>
      </c>
      <c r="H257" s="11" t="s">
        <v>511</v>
      </c>
      <c r="I257" s="11" t="s">
        <v>945</v>
      </c>
      <c r="J257" s="11" t="s">
        <v>31</v>
      </c>
      <c r="K257" s="11" t="s">
        <v>31</v>
      </c>
      <c r="L257" s="11" t="s">
        <v>517</v>
      </c>
      <c r="M257" s="11" t="s">
        <v>32</v>
      </c>
      <c r="N257" s="11" t="s">
        <v>652</v>
      </c>
      <c r="O257" s="11" t="s">
        <v>312</v>
      </c>
      <c r="P257" s="11" t="s">
        <v>2234</v>
      </c>
      <c r="Q257" s="11" t="s">
        <v>358</v>
      </c>
      <c r="R257" s="11" t="s">
        <v>596</v>
      </c>
      <c r="S257" s="11" t="s">
        <v>35</v>
      </c>
      <c r="T257" s="158">
        <v>3.4430000000000001</v>
      </c>
      <c r="U257" s="11" t="s">
        <v>2376</v>
      </c>
      <c r="V257" s="174">
        <v>2.7E-2</v>
      </c>
      <c r="W257" s="189">
        <v>3.4229999999999997E-2</v>
      </c>
      <c r="X257" s="4" t="s">
        <v>602</v>
      </c>
      <c r="Y257" s="4" t="s">
        <v>312</v>
      </c>
      <c r="Z257" s="158">
        <v>149000</v>
      </c>
      <c r="AA257" s="158">
        <v>1</v>
      </c>
      <c r="AB257" s="158">
        <v>102.95</v>
      </c>
      <c r="AD257" s="158">
        <v>153.39500000000001</v>
      </c>
      <c r="AG257" s="11" t="s">
        <v>37</v>
      </c>
      <c r="AH257" s="189">
        <v>3.4000000000000002E-4</v>
      </c>
      <c r="AI257" s="189">
        <v>2.5180676692379998E-3</v>
      </c>
      <c r="AJ257" s="189">
        <v>4.8095167351512401E-4</v>
      </c>
    </row>
    <row r="258" spans="1:36">
      <c r="A258" s="11" t="s">
        <v>256</v>
      </c>
      <c r="B258" s="11">
        <v>556</v>
      </c>
      <c r="C258" s="11" t="s">
        <v>2377</v>
      </c>
      <c r="D258" s="11" t="s">
        <v>2378</v>
      </c>
      <c r="E258" s="4" t="s">
        <v>504</v>
      </c>
      <c r="F258" s="11" t="s">
        <v>2379</v>
      </c>
      <c r="G258" s="11" t="s">
        <v>2380</v>
      </c>
      <c r="H258" s="11" t="s">
        <v>511</v>
      </c>
      <c r="I258" s="11" t="s">
        <v>1154</v>
      </c>
      <c r="J258" s="11" t="s">
        <v>31</v>
      </c>
      <c r="K258" s="11" t="s">
        <v>489</v>
      </c>
      <c r="L258" s="11" t="s">
        <v>517</v>
      </c>
      <c r="M258" s="11" t="s">
        <v>32</v>
      </c>
      <c r="N258" s="11" t="s">
        <v>653</v>
      </c>
      <c r="O258" s="11" t="s">
        <v>312</v>
      </c>
      <c r="P258" s="11" t="s">
        <v>2381</v>
      </c>
      <c r="Q258" s="11" t="s">
        <v>604</v>
      </c>
      <c r="R258" s="11" t="s">
        <v>596</v>
      </c>
      <c r="S258" s="11" t="s">
        <v>35</v>
      </c>
      <c r="T258" s="158">
        <v>1.5149999999999999</v>
      </c>
      <c r="U258" s="11" t="s">
        <v>2382</v>
      </c>
      <c r="V258" s="174">
        <v>8.9499999999999996E-2</v>
      </c>
      <c r="W258" s="189">
        <v>0.12482</v>
      </c>
      <c r="X258" s="4" t="s">
        <v>602</v>
      </c>
      <c r="Y258" s="4" t="s">
        <v>312</v>
      </c>
      <c r="Z258" s="158">
        <v>102504.49</v>
      </c>
      <c r="AA258" s="158">
        <v>1</v>
      </c>
      <c r="AB258" s="158">
        <v>98.4</v>
      </c>
      <c r="AD258" s="158">
        <v>100.864</v>
      </c>
      <c r="AG258" s="11" t="s">
        <v>37</v>
      </c>
      <c r="AH258" s="189">
        <v>5.0600000000000005E-4</v>
      </c>
      <c r="AI258" s="189">
        <v>1.6557423806121999E-3</v>
      </c>
      <c r="AJ258" s="189">
        <v>3.1624728699460801E-4</v>
      </c>
    </row>
    <row r="259" spans="1:36">
      <c r="A259" s="11" t="s">
        <v>256</v>
      </c>
      <c r="B259" s="11">
        <v>556</v>
      </c>
      <c r="C259" s="11" t="s">
        <v>2031</v>
      </c>
      <c r="D259" s="11" t="s">
        <v>2032</v>
      </c>
      <c r="E259" s="4" t="s">
        <v>1552</v>
      </c>
      <c r="F259" s="11" t="s">
        <v>2383</v>
      </c>
      <c r="G259" s="11" t="s">
        <v>2384</v>
      </c>
      <c r="H259" s="11" t="s">
        <v>511</v>
      </c>
      <c r="I259" s="11" t="s">
        <v>1154</v>
      </c>
      <c r="J259" s="11" t="s">
        <v>31</v>
      </c>
      <c r="K259" s="11" t="s">
        <v>31</v>
      </c>
      <c r="L259" s="11" t="s">
        <v>517</v>
      </c>
      <c r="M259" s="11" t="s">
        <v>32</v>
      </c>
      <c r="N259" s="11" t="s">
        <v>652</v>
      </c>
      <c r="O259" s="11" t="s">
        <v>312</v>
      </c>
      <c r="P259" s="11" t="s">
        <v>2169</v>
      </c>
      <c r="Q259" s="11" t="s">
        <v>358</v>
      </c>
      <c r="R259" s="11" t="s">
        <v>596</v>
      </c>
      <c r="S259" s="11" t="s">
        <v>35</v>
      </c>
      <c r="T259" s="158">
        <v>0.98</v>
      </c>
      <c r="U259" s="11" t="s">
        <v>2385</v>
      </c>
      <c r="V259" s="174">
        <v>2.5499999999999998E-2</v>
      </c>
      <c r="W259" s="189">
        <v>4.9250000000000002E-2</v>
      </c>
      <c r="X259" s="4" t="s">
        <v>602</v>
      </c>
      <c r="Y259" s="4" t="s">
        <v>312</v>
      </c>
      <c r="Z259" s="158">
        <v>79333.33</v>
      </c>
      <c r="AA259" s="158">
        <v>1</v>
      </c>
      <c r="AB259" s="158">
        <v>97.83</v>
      </c>
      <c r="AD259" s="158">
        <v>77.611999999999995</v>
      </c>
      <c r="AG259" s="11" t="s">
        <v>37</v>
      </c>
      <c r="AH259" s="189">
        <v>3.9399999999999998E-4</v>
      </c>
      <c r="AI259" s="189">
        <v>1.2740383917386601E-3</v>
      </c>
      <c r="AJ259" s="189">
        <v>2.4334171162868401E-4</v>
      </c>
    </row>
    <row r="260" spans="1:36">
      <c r="A260" s="11" t="s">
        <v>256</v>
      </c>
      <c r="B260" s="11">
        <v>556</v>
      </c>
      <c r="C260" s="11" t="s">
        <v>2864</v>
      </c>
      <c r="D260" s="11" t="s">
        <v>2865</v>
      </c>
      <c r="E260" s="4" t="s">
        <v>1552</v>
      </c>
      <c r="F260" s="11" t="s">
        <v>2866</v>
      </c>
      <c r="G260" s="11" t="s">
        <v>2867</v>
      </c>
      <c r="H260" s="11" t="s">
        <v>511</v>
      </c>
      <c r="I260" s="11" t="s">
        <v>945</v>
      </c>
      <c r="J260" s="11" t="s">
        <v>31</v>
      </c>
      <c r="K260" s="11" t="s">
        <v>31</v>
      </c>
      <c r="L260" s="11" t="s">
        <v>517</v>
      </c>
      <c r="M260" s="11" t="s">
        <v>32</v>
      </c>
      <c r="N260" s="11" t="s">
        <v>635</v>
      </c>
      <c r="O260" s="11" t="s">
        <v>312</v>
      </c>
      <c r="P260" s="11" t="s">
        <v>2165</v>
      </c>
      <c r="Q260" s="27" t="s">
        <v>2165</v>
      </c>
      <c r="R260" s="16" t="s">
        <v>2165</v>
      </c>
      <c r="S260" s="11" t="s">
        <v>35</v>
      </c>
      <c r="T260" s="158">
        <v>1.8859999999999999</v>
      </c>
      <c r="U260" s="11" t="s">
        <v>2333</v>
      </c>
      <c r="V260" s="174">
        <v>3.5000000000000003E-2</v>
      </c>
      <c r="W260" s="189">
        <v>3.9109999999999999E-2</v>
      </c>
      <c r="X260" s="4" t="s">
        <v>602</v>
      </c>
      <c r="Y260" s="4" t="s">
        <v>312</v>
      </c>
      <c r="Z260" s="158">
        <v>41000</v>
      </c>
      <c r="AA260" s="158">
        <v>1</v>
      </c>
      <c r="AB260" s="158">
        <v>106.77</v>
      </c>
      <c r="AD260" s="158">
        <v>43.776000000000003</v>
      </c>
      <c r="AG260" s="11" t="s">
        <v>37</v>
      </c>
      <c r="AH260" s="189">
        <v>2.4000000000000001E-4</v>
      </c>
      <c r="AI260" s="189">
        <v>7.1860109891269403E-4</v>
      </c>
      <c r="AJ260" s="189">
        <v>1.3725302355216401E-4</v>
      </c>
    </row>
    <row r="261" spans="1:36">
      <c r="A261" s="11" t="s">
        <v>256</v>
      </c>
      <c r="B261" s="11">
        <v>556</v>
      </c>
      <c r="C261" s="11" t="s">
        <v>2837</v>
      </c>
      <c r="D261" s="11" t="s">
        <v>2838</v>
      </c>
      <c r="E261" s="4" t="s">
        <v>1552</v>
      </c>
      <c r="F261" s="11" t="s">
        <v>2868</v>
      </c>
      <c r="G261" s="11" t="s">
        <v>2869</v>
      </c>
      <c r="H261" s="11" t="s">
        <v>511</v>
      </c>
      <c r="I261" s="11" t="s">
        <v>1154</v>
      </c>
      <c r="J261" s="11" t="s">
        <v>31</v>
      </c>
      <c r="K261" s="11" t="s">
        <v>31</v>
      </c>
      <c r="L261" s="11" t="s">
        <v>517</v>
      </c>
      <c r="M261" s="11" t="s">
        <v>32</v>
      </c>
      <c r="N261" s="11" t="s">
        <v>635</v>
      </c>
      <c r="O261" s="11" t="s">
        <v>312</v>
      </c>
      <c r="P261" s="11" t="s">
        <v>2165</v>
      </c>
      <c r="Q261" s="27" t="s">
        <v>2165</v>
      </c>
      <c r="R261" s="16" t="s">
        <v>2165</v>
      </c>
      <c r="S261" s="11" t="s">
        <v>35</v>
      </c>
      <c r="T261" s="158">
        <v>1.1040000000000001</v>
      </c>
      <c r="U261" s="11" t="s">
        <v>2203</v>
      </c>
      <c r="V261" s="174">
        <v>4.65E-2</v>
      </c>
      <c r="W261" s="189">
        <v>2.5765500000000001</v>
      </c>
      <c r="X261" s="4" t="s">
        <v>602</v>
      </c>
      <c r="Y261" s="4" t="s">
        <v>312</v>
      </c>
      <c r="Z261" s="158">
        <v>120000</v>
      </c>
      <c r="AA261" s="158">
        <v>1</v>
      </c>
      <c r="AB261" s="158">
        <v>19.86</v>
      </c>
      <c r="AD261" s="158">
        <v>23.832000000000001</v>
      </c>
      <c r="AG261" s="11" t="s">
        <v>37</v>
      </c>
      <c r="AH261" s="189">
        <v>7.0699999999999995E-4</v>
      </c>
      <c r="AI261" s="189">
        <v>3.91214792437067E-4</v>
      </c>
      <c r="AJ261" s="189">
        <v>7.4722141674380595E-5</v>
      </c>
    </row>
    <row r="262" spans="1:36">
      <c r="A262" s="11" t="s">
        <v>256</v>
      </c>
      <c r="B262" s="11">
        <v>556</v>
      </c>
      <c r="C262" s="11" t="s">
        <v>2386</v>
      </c>
      <c r="D262" s="11" t="s">
        <v>2387</v>
      </c>
      <c r="E262" s="4" t="s">
        <v>1552</v>
      </c>
      <c r="F262" s="11" t="s">
        <v>2388</v>
      </c>
      <c r="G262" s="11" t="s">
        <v>2389</v>
      </c>
      <c r="H262" s="11" t="s">
        <v>511</v>
      </c>
      <c r="I262" s="11" t="s">
        <v>1154</v>
      </c>
      <c r="J262" s="11" t="s">
        <v>31</v>
      </c>
      <c r="K262" s="11" t="s">
        <v>31</v>
      </c>
      <c r="L262" s="11" t="s">
        <v>517</v>
      </c>
      <c r="M262" s="11" t="s">
        <v>32</v>
      </c>
      <c r="N262" s="11" t="s">
        <v>647</v>
      </c>
      <c r="O262" s="11" t="s">
        <v>312</v>
      </c>
      <c r="P262" s="11" t="s">
        <v>168</v>
      </c>
      <c r="Q262" s="11" t="s">
        <v>604</v>
      </c>
      <c r="R262" s="11" t="s">
        <v>596</v>
      </c>
      <c r="S262" s="11" t="s">
        <v>35</v>
      </c>
      <c r="T262" s="158">
        <v>0.499</v>
      </c>
      <c r="U262" s="11" t="s">
        <v>2162</v>
      </c>
      <c r="V262" s="174">
        <v>3.2000000000000001E-2</v>
      </c>
      <c r="W262" s="189">
        <v>5.2510000000000001E-2</v>
      </c>
      <c r="X262" s="4" t="s">
        <v>602</v>
      </c>
      <c r="Y262" s="4" t="s">
        <v>312</v>
      </c>
      <c r="Z262" s="158">
        <v>53000</v>
      </c>
      <c r="AA262" s="158">
        <v>1</v>
      </c>
      <c r="AB262" s="158">
        <v>99.04</v>
      </c>
      <c r="AD262" s="158">
        <v>52.491</v>
      </c>
      <c r="AG262" s="11" t="s">
        <v>37</v>
      </c>
      <c r="AH262" s="189">
        <v>2.715E-3</v>
      </c>
      <c r="AI262" s="189">
        <v>8.61670607283173E-4</v>
      </c>
      <c r="AJ262" s="189">
        <v>1.6457934218942001E-4</v>
      </c>
    </row>
    <row r="263" spans="1:36">
      <c r="A263" s="11" t="s">
        <v>256</v>
      </c>
      <c r="B263" s="11">
        <v>556</v>
      </c>
      <c r="C263" s="11" t="s">
        <v>2390</v>
      </c>
      <c r="D263" s="11" t="s">
        <v>2391</v>
      </c>
      <c r="E263" s="4" t="s">
        <v>1552</v>
      </c>
      <c r="F263" s="11" t="s">
        <v>2392</v>
      </c>
      <c r="G263" s="11" t="s">
        <v>2393</v>
      </c>
      <c r="H263" s="11" t="s">
        <v>511</v>
      </c>
      <c r="I263" s="11" t="s">
        <v>945</v>
      </c>
      <c r="J263" s="11" t="s">
        <v>31</v>
      </c>
      <c r="K263" s="11" t="s">
        <v>31</v>
      </c>
      <c r="L263" s="11" t="s">
        <v>517</v>
      </c>
      <c r="M263" s="11" t="s">
        <v>32</v>
      </c>
      <c r="N263" s="11" t="s">
        <v>650</v>
      </c>
      <c r="O263" s="11" t="s">
        <v>312</v>
      </c>
      <c r="P263" s="11" t="s">
        <v>2394</v>
      </c>
      <c r="Q263" s="11" t="s">
        <v>358</v>
      </c>
      <c r="R263" s="11" t="s">
        <v>596</v>
      </c>
      <c r="S263" s="11" t="s">
        <v>35</v>
      </c>
      <c r="T263" s="158">
        <v>1.5760000000000001</v>
      </c>
      <c r="U263" s="11" t="s">
        <v>2395</v>
      </c>
      <c r="V263" s="174">
        <v>1.0500000000000001E-2</v>
      </c>
      <c r="W263" s="189">
        <v>2.7009999999999999E-2</v>
      </c>
      <c r="X263" s="4" t="s">
        <v>602</v>
      </c>
      <c r="Y263" s="4" t="s">
        <v>312</v>
      </c>
      <c r="Z263" s="158">
        <v>95970.63</v>
      </c>
      <c r="AA263" s="158">
        <v>1</v>
      </c>
      <c r="AB263" s="158">
        <v>109.95</v>
      </c>
      <c r="AD263" s="158">
        <v>105.52</v>
      </c>
      <c r="AG263" s="11" t="s">
        <v>37</v>
      </c>
      <c r="AH263" s="189">
        <v>4.06E-4</v>
      </c>
      <c r="AI263" s="189">
        <v>1.73216140231652E-3</v>
      </c>
      <c r="AJ263" s="189">
        <v>3.3084334286160601E-4</v>
      </c>
    </row>
    <row r="264" spans="1:36">
      <c r="A264" s="11" t="s">
        <v>256</v>
      </c>
      <c r="B264" s="11">
        <v>556</v>
      </c>
      <c r="C264" s="11" t="s">
        <v>2390</v>
      </c>
      <c r="D264" s="11" t="s">
        <v>2391</v>
      </c>
      <c r="E264" s="4" t="s">
        <v>1552</v>
      </c>
      <c r="F264" s="11" t="s">
        <v>2396</v>
      </c>
      <c r="G264" s="11" t="s">
        <v>2397</v>
      </c>
      <c r="H264" s="11" t="s">
        <v>511</v>
      </c>
      <c r="I264" s="11" t="s">
        <v>1154</v>
      </c>
      <c r="J264" s="11" t="s">
        <v>31</v>
      </c>
      <c r="K264" s="11" t="s">
        <v>31</v>
      </c>
      <c r="L264" s="11" t="s">
        <v>517</v>
      </c>
      <c r="M264" s="11" t="s">
        <v>32</v>
      </c>
      <c r="N264" s="11" t="s">
        <v>650</v>
      </c>
      <c r="O264" s="11" t="s">
        <v>312</v>
      </c>
      <c r="P264" s="11" t="s">
        <v>2394</v>
      </c>
      <c r="Q264" s="11" t="s">
        <v>358</v>
      </c>
      <c r="R264" s="11" t="s">
        <v>596</v>
      </c>
      <c r="S264" s="11" t="s">
        <v>35</v>
      </c>
      <c r="T264" s="158">
        <v>2.2210000000000001</v>
      </c>
      <c r="U264" s="11" t="s">
        <v>2398</v>
      </c>
      <c r="V264" s="174">
        <v>2.18E-2</v>
      </c>
      <c r="W264" s="189">
        <v>5.4399999999999997E-2</v>
      </c>
      <c r="X264" s="4" t="s">
        <v>602</v>
      </c>
      <c r="Y264" s="4" t="s">
        <v>312</v>
      </c>
      <c r="Z264" s="158">
        <v>154459.85</v>
      </c>
      <c r="AA264" s="158">
        <v>1</v>
      </c>
      <c r="AB264" s="158">
        <v>93.46</v>
      </c>
      <c r="AD264" s="158">
        <v>144.358</v>
      </c>
      <c r="AG264" s="11" t="s">
        <v>37</v>
      </c>
      <c r="AH264" s="189">
        <v>4.2700000000000002E-4</v>
      </c>
      <c r="AI264" s="189">
        <v>2.3697152478223699E-3</v>
      </c>
      <c r="AJ264" s="189">
        <v>4.5261631691548998E-4</v>
      </c>
    </row>
    <row r="265" spans="1:36">
      <c r="A265" s="11" t="s">
        <v>256</v>
      </c>
      <c r="B265" s="11">
        <v>556</v>
      </c>
      <c r="C265" s="11" t="s">
        <v>2390</v>
      </c>
      <c r="D265" s="11" t="s">
        <v>2391</v>
      </c>
      <c r="E265" s="4" t="s">
        <v>1552</v>
      </c>
      <c r="F265" s="11" t="s">
        <v>2399</v>
      </c>
      <c r="G265" s="11" t="s">
        <v>2400</v>
      </c>
      <c r="H265" s="11" t="s">
        <v>511</v>
      </c>
      <c r="I265" s="11" t="s">
        <v>945</v>
      </c>
      <c r="J265" s="11" t="s">
        <v>31</v>
      </c>
      <c r="K265" s="11" t="s">
        <v>31</v>
      </c>
      <c r="L265" s="11" t="s">
        <v>517</v>
      </c>
      <c r="M265" s="11" t="s">
        <v>32</v>
      </c>
      <c r="N265" s="11" t="s">
        <v>650</v>
      </c>
      <c r="O265" s="11" t="s">
        <v>312</v>
      </c>
      <c r="P265" s="11" t="s">
        <v>2394</v>
      </c>
      <c r="Q265" s="11" t="s">
        <v>358</v>
      </c>
      <c r="R265" s="11" t="s">
        <v>596</v>
      </c>
      <c r="S265" s="11" t="s">
        <v>35</v>
      </c>
      <c r="T265" s="158">
        <v>3.1659999999999999</v>
      </c>
      <c r="U265" s="11" t="s">
        <v>2401</v>
      </c>
      <c r="V265" s="174">
        <v>2.1999999999999999E-2</v>
      </c>
      <c r="W265" s="189">
        <v>3.108E-2</v>
      </c>
      <c r="X265" s="4" t="s">
        <v>602</v>
      </c>
      <c r="Y265" s="4" t="s">
        <v>312</v>
      </c>
      <c r="Z265" s="158">
        <v>124875</v>
      </c>
      <c r="AA265" s="158">
        <v>1</v>
      </c>
      <c r="AB265" s="158">
        <v>102.76</v>
      </c>
      <c r="AD265" s="158">
        <v>128.322</v>
      </c>
      <c r="AG265" s="11" t="s">
        <v>37</v>
      </c>
      <c r="AH265" s="189">
        <v>3.5599999999999998E-4</v>
      </c>
      <c r="AI265" s="189">
        <v>2.10646561549399E-3</v>
      </c>
      <c r="AJ265" s="189">
        <v>4.0233555886942402E-4</v>
      </c>
    </row>
    <row r="266" spans="1:36">
      <c r="A266" s="11" t="s">
        <v>256</v>
      </c>
      <c r="B266" s="11">
        <v>556</v>
      </c>
      <c r="C266" s="11" t="s">
        <v>1794</v>
      </c>
      <c r="D266" s="11" t="s">
        <v>1795</v>
      </c>
      <c r="E266" s="4" t="s">
        <v>1552</v>
      </c>
      <c r="F266" s="11" t="s">
        <v>2402</v>
      </c>
      <c r="G266" s="11" t="s">
        <v>2403</v>
      </c>
      <c r="H266" s="11" t="s">
        <v>511</v>
      </c>
      <c r="I266" s="11" t="s">
        <v>364</v>
      </c>
      <c r="J266" s="11" t="s">
        <v>31</v>
      </c>
      <c r="K266" s="11" t="s">
        <v>31</v>
      </c>
      <c r="L266" s="11" t="s">
        <v>517</v>
      </c>
      <c r="M266" s="11" t="s">
        <v>32</v>
      </c>
      <c r="N266" s="11" t="s">
        <v>642</v>
      </c>
      <c r="O266" s="11" t="s">
        <v>312</v>
      </c>
      <c r="P266" s="11" t="s">
        <v>2169</v>
      </c>
      <c r="Q266" s="11" t="s">
        <v>358</v>
      </c>
      <c r="R266" s="11" t="s">
        <v>596</v>
      </c>
      <c r="S266" s="11" t="s">
        <v>35</v>
      </c>
      <c r="T266" s="158">
        <v>3.46</v>
      </c>
      <c r="U266" s="11" t="s">
        <v>2404</v>
      </c>
      <c r="V266" s="174">
        <v>3.7699999999999997E-2</v>
      </c>
      <c r="W266" s="189">
        <v>6.2239999999999997E-2</v>
      </c>
      <c r="X266" s="4" t="s">
        <v>602</v>
      </c>
      <c r="Y266" s="4" t="s">
        <v>312</v>
      </c>
      <c r="Z266" s="158">
        <v>158901.75</v>
      </c>
      <c r="AA266" s="158">
        <v>1</v>
      </c>
      <c r="AB266" s="158">
        <v>102.78</v>
      </c>
      <c r="AD266" s="158">
        <v>163.31899999999999</v>
      </c>
      <c r="AG266" s="11" t="s">
        <v>37</v>
      </c>
      <c r="AH266" s="189">
        <v>9.0899999999999998E-4</v>
      </c>
      <c r="AI266" s="189">
        <v>2.6809707210953201E-3</v>
      </c>
      <c r="AJ266" s="189">
        <v>5.1206620485542303E-4</v>
      </c>
    </row>
    <row r="267" spans="1:36">
      <c r="A267" s="11" t="s">
        <v>256</v>
      </c>
      <c r="B267" s="11">
        <v>556</v>
      </c>
      <c r="C267" s="11" t="s">
        <v>1794</v>
      </c>
      <c r="D267" s="11" t="s">
        <v>1795</v>
      </c>
      <c r="E267" s="4" t="s">
        <v>1552</v>
      </c>
      <c r="F267" s="11" t="s">
        <v>2405</v>
      </c>
      <c r="G267" s="11" t="s">
        <v>2406</v>
      </c>
      <c r="H267" s="11" t="s">
        <v>511</v>
      </c>
      <c r="I267" s="11" t="s">
        <v>364</v>
      </c>
      <c r="J267" s="11" t="s">
        <v>31</v>
      </c>
      <c r="K267" s="11" t="s">
        <v>31</v>
      </c>
      <c r="L267" s="11" t="s">
        <v>517</v>
      </c>
      <c r="M267" s="11" t="s">
        <v>32</v>
      </c>
      <c r="N267" s="11" t="s">
        <v>642</v>
      </c>
      <c r="O267" s="11" t="s">
        <v>312</v>
      </c>
      <c r="P267" s="11" t="s">
        <v>2169</v>
      </c>
      <c r="Q267" s="11" t="s">
        <v>358</v>
      </c>
      <c r="R267" s="11" t="s">
        <v>596</v>
      </c>
      <c r="S267" s="11" t="s">
        <v>35</v>
      </c>
      <c r="T267" s="158">
        <v>0.79</v>
      </c>
      <c r="U267" s="11" t="s">
        <v>2407</v>
      </c>
      <c r="V267" s="174">
        <v>3.49E-2</v>
      </c>
      <c r="W267" s="189">
        <v>7.4029999999999999E-2</v>
      </c>
      <c r="X267" s="4" t="s">
        <v>602</v>
      </c>
      <c r="Y267" s="4" t="s">
        <v>312</v>
      </c>
      <c r="Z267" s="158">
        <v>203250.04</v>
      </c>
      <c r="AA267" s="158">
        <v>1</v>
      </c>
      <c r="AB267" s="158">
        <v>102.13</v>
      </c>
      <c r="AD267" s="158">
        <v>207.57900000000001</v>
      </c>
      <c r="AG267" s="11" t="s">
        <v>37</v>
      </c>
      <c r="AH267" s="189">
        <v>4.0299999999999998E-4</v>
      </c>
      <c r="AI267" s="189">
        <v>3.4075226336240699E-3</v>
      </c>
      <c r="AJ267" s="189">
        <v>6.5083783617224996E-4</v>
      </c>
    </row>
    <row r="268" spans="1:36">
      <c r="A268" s="11" t="s">
        <v>256</v>
      </c>
      <c r="B268" s="11">
        <v>556</v>
      </c>
      <c r="C268" s="11" t="s">
        <v>2039</v>
      </c>
      <c r="D268" s="11" t="s">
        <v>2040</v>
      </c>
      <c r="E268" s="4" t="s">
        <v>1552</v>
      </c>
      <c r="F268" s="11" t="s">
        <v>2408</v>
      </c>
      <c r="G268" s="11" t="s">
        <v>2409</v>
      </c>
      <c r="H268" s="11" t="s">
        <v>511</v>
      </c>
      <c r="I268" s="11" t="s">
        <v>945</v>
      </c>
      <c r="J268" s="11" t="s">
        <v>31</v>
      </c>
      <c r="K268" s="11" t="s">
        <v>31</v>
      </c>
      <c r="L268" s="11" t="s">
        <v>517</v>
      </c>
      <c r="M268" s="11" t="s">
        <v>32</v>
      </c>
      <c r="N268" s="11" t="s">
        <v>652</v>
      </c>
      <c r="O268" s="11" t="s">
        <v>312</v>
      </c>
      <c r="P268" s="11" t="s">
        <v>2225</v>
      </c>
      <c r="Q268" s="11" t="s">
        <v>604</v>
      </c>
      <c r="R268" s="11" t="s">
        <v>596</v>
      </c>
      <c r="S268" s="11" t="s">
        <v>35</v>
      </c>
      <c r="T268" s="158">
        <v>4.9880000000000004</v>
      </c>
      <c r="U268" s="11" t="s">
        <v>2410</v>
      </c>
      <c r="V268" s="174">
        <v>8.3999999999999995E-3</v>
      </c>
      <c r="W268" s="189">
        <v>3.1829999999999997E-2</v>
      </c>
      <c r="X268" s="4" t="s">
        <v>602</v>
      </c>
      <c r="Y268" s="4" t="s">
        <v>312</v>
      </c>
      <c r="Z268" s="158">
        <v>214000.32</v>
      </c>
      <c r="AA268" s="158">
        <v>1</v>
      </c>
      <c r="AB268" s="158">
        <v>100.43</v>
      </c>
      <c r="AD268" s="158">
        <v>214.92099999999999</v>
      </c>
      <c r="AG268" s="11" t="s">
        <v>37</v>
      </c>
      <c r="AH268" s="189">
        <v>2.7E-4</v>
      </c>
      <c r="AI268" s="189">
        <v>3.52803319740593E-3</v>
      </c>
      <c r="AJ268" s="189">
        <v>6.7385538968568401E-4</v>
      </c>
    </row>
    <row r="269" spans="1:36">
      <c r="A269" s="11" t="s">
        <v>256</v>
      </c>
      <c r="B269" s="11">
        <v>556</v>
      </c>
      <c r="C269" s="11" t="s">
        <v>1798</v>
      </c>
      <c r="D269" s="11" t="s">
        <v>1799</v>
      </c>
      <c r="E269" s="4" t="s">
        <v>1552</v>
      </c>
      <c r="F269" s="11" t="s">
        <v>2411</v>
      </c>
      <c r="G269" s="11" t="s">
        <v>2412</v>
      </c>
      <c r="H269" s="11" t="s">
        <v>511</v>
      </c>
      <c r="I269" s="11" t="s">
        <v>1155</v>
      </c>
      <c r="J269" s="11" t="s">
        <v>31</v>
      </c>
      <c r="K269" s="11" t="s">
        <v>31</v>
      </c>
      <c r="L269" s="11" t="s">
        <v>517</v>
      </c>
      <c r="M269" s="11" t="s">
        <v>32</v>
      </c>
      <c r="N269" s="11" t="s">
        <v>633</v>
      </c>
      <c r="O269" s="11" t="s">
        <v>312</v>
      </c>
      <c r="P269" s="11" t="s">
        <v>2394</v>
      </c>
      <c r="Q269" s="11" t="s">
        <v>358</v>
      </c>
      <c r="R269" s="11" t="s">
        <v>596</v>
      </c>
      <c r="S269" s="11" t="s">
        <v>35</v>
      </c>
      <c r="T269" s="158">
        <v>3.4940000000000002</v>
      </c>
      <c r="U269" s="11" t="s">
        <v>2413</v>
      </c>
      <c r="V269" s="174">
        <v>2.8000000000000001E-2</v>
      </c>
      <c r="W269" s="189">
        <v>4.4420000000000001E-2</v>
      </c>
      <c r="X269" s="4" t="s">
        <v>602</v>
      </c>
      <c r="Y269" s="4" t="s">
        <v>312</v>
      </c>
      <c r="Z269" s="158">
        <v>49000</v>
      </c>
      <c r="AA269" s="158">
        <v>1</v>
      </c>
      <c r="AB269" s="158">
        <v>95.5</v>
      </c>
      <c r="AD269" s="158">
        <v>46.795000000000002</v>
      </c>
      <c r="AG269" s="11" t="s">
        <v>37</v>
      </c>
      <c r="AH269" s="189">
        <v>3.2699999999999998E-4</v>
      </c>
      <c r="AI269" s="189">
        <v>7.6816449362590404E-4</v>
      </c>
      <c r="AJ269" s="189">
        <v>1.46719646678946E-4</v>
      </c>
    </row>
    <row r="270" spans="1:36">
      <c r="A270" s="11" t="s">
        <v>256</v>
      </c>
      <c r="B270" s="11">
        <v>556</v>
      </c>
      <c r="C270" s="11" t="s">
        <v>2414</v>
      </c>
      <c r="D270" s="11" t="s">
        <v>2415</v>
      </c>
      <c r="E270" s="4" t="s">
        <v>1552</v>
      </c>
      <c r="F270" s="11" t="s">
        <v>2416</v>
      </c>
      <c r="G270" s="11" t="s">
        <v>2417</v>
      </c>
      <c r="H270" s="11" t="s">
        <v>511</v>
      </c>
      <c r="I270" s="11" t="s">
        <v>1154</v>
      </c>
      <c r="J270" s="11" t="s">
        <v>31</v>
      </c>
      <c r="K270" s="11" t="s">
        <v>31</v>
      </c>
      <c r="L270" s="11" t="s">
        <v>517</v>
      </c>
      <c r="M270" s="11" t="s">
        <v>32</v>
      </c>
      <c r="N270" s="11" t="s">
        <v>633</v>
      </c>
      <c r="O270" s="11" t="s">
        <v>312</v>
      </c>
      <c r="P270" s="11" t="s">
        <v>2418</v>
      </c>
      <c r="Q270" s="11" t="s">
        <v>604</v>
      </c>
      <c r="R270" s="11" t="s">
        <v>596</v>
      </c>
      <c r="S270" s="11" t="s">
        <v>35</v>
      </c>
      <c r="T270" s="158">
        <v>7.9000000000000001E-2</v>
      </c>
      <c r="U270" s="11" t="s">
        <v>45</v>
      </c>
      <c r="V270" s="174">
        <v>3.9199999999999999E-2</v>
      </c>
      <c r="W270" s="189">
        <v>5.9880000000000003E-2</v>
      </c>
      <c r="X270" s="4" t="s">
        <v>602</v>
      </c>
      <c r="Y270" s="4" t="s">
        <v>312</v>
      </c>
      <c r="Z270" s="158">
        <v>241000</v>
      </c>
      <c r="AA270" s="158">
        <v>1</v>
      </c>
      <c r="AB270" s="158">
        <v>101.47</v>
      </c>
      <c r="AD270" s="158">
        <v>244.54300000000001</v>
      </c>
      <c r="AG270" s="11" t="s">
        <v>37</v>
      </c>
      <c r="AH270" s="189">
        <v>5.2800000000000004E-4</v>
      </c>
      <c r="AI270" s="189">
        <v>4.0142968119545102E-3</v>
      </c>
      <c r="AJ270" s="189">
        <v>7.6673188464398902E-4</v>
      </c>
    </row>
    <row r="271" spans="1:36">
      <c r="A271" s="11" t="s">
        <v>256</v>
      </c>
      <c r="B271" s="11">
        <v>556</v>
      </c>
      <c r="C271" s="11" t="s">
        <v>362</v>
      </c>
      <c r="D271" s="11" t="s">
        <v>1802</v>
      </c>
      <c r="E271" s="4" t="s">
        <v>1552</v>
      </c>
      <c r="F271" s="11" t="s">
        <v>2419</v>
      </c>
      <c r="G271" s="11" t="s">
        <v>2420</v>
      </c>
      <c r="H271" s="11" t="s">
        <v>511</v>
      </c>
      <c r="I271" s="11" t="s">
        <v>945</v>
      </c>
      <c r="J271" s="11" t="s">
        <v>31</v>
      </c>
      <c r="K271" s="11" t="s">
        <v>31</v>
      </c>
      <c r="L271" s="11" t="s">
        <v>517</v>
      </c>
      <c r="M271" s="11" t="s">
        <v>32</v>
      </c>
      <c r="N271" s="11" t="s">
        <v>636</v>
      </c>
      <c r="O271" s="11" t="s">
        <v>312</v>
      </c>
      <c r="P271" s="11" t="s">
        <v>157</v>
      </c>
      <c r="Q271" s="11" t="s">
        <v>604</v>
      </c>
      <c r="R271" s="11" t="s">
        <v>596</v>
      </c>
      <c r="S271" s="11" t="s">
        <v>35</v>
      </c>
      <c r="T271" s="158">
        <v>1.986</v>
      </c>
      <c r="U271" s="11" t="s">
        <v>2203</v>
      </c>
      <c r="V271" s="174">
        <v>8.3000000000000001E-3</v>
      </c>
      <c r="W271" s="189">
        <v>2.0129999999999999E-2</v>
      </c>
      <c r="X271" s="4" t="s">
        <v>602</v>
      </c>
      <c r="Y271" s="4" t="s">
        <v>312</v>
      </c>
      <c r="Z271" s="158">
        <v>645000</v>
      </c>
      <c r="AA271" s="158">
        <v>1</v>
      </c>
      <c r="AB271" s="158">
        <v>110.75</v>
      </c>
      <c r="AD271" s="158">
        <v>714.33699999999999</v>
      </c>
      <c r="AG271" s="11" t="s">
        <v>37</v>
      </c>
      <c r="AH271" s="189">
        <v>2.12E-4</v>
      </c>
      <c r="AI271" s="189">
        <v>1.1726225108782899E-2</v>
      </c>
      <c r="AJ271" s="189">
        <v>2.2397124823062601E-3</v>
      </c>
    </row>
    <row r="272" spans="1:36">
      <c r="A272" s="11" t="s">
        <v>256</v>
      </c>
      <c r="B272" s="11">
        <v>556</v>
      </c>
      <c r="C272" s="11" t="s">
        <v>362</v>
      </c>
      <c r="D272" s="11" t="s">
        <v>1802</v>
      </c>
      <c r="E272" s="4" t="s">
        <v>1552</v>
      </c>
      <c r="F272" s="11" t="s">
        <v>2421</v>
      </c>
      <c r="G272" s="11" t="s">
        <v>2422</v>
      </c>
      <c r="H272" s="11" t="s">
        <v>511</v>
      </c>
      <c r="I272" s="11" t="s">
        <v>1154</v>
      </c>
      <c r="J272" s="11" t="s">
        <v>31</v>
      </c>
      <c r="K272" s="11" t="s">
        <v>31</v>
      </c>
      <c r="L272" s="11" t="s">
        <v>517</v>
      </c>
      <c r="M272" s="11" t="s">
        <v>32</v>
      </c>
      <c r="N272" s="11" t="s">
        <v>636</v>
      </c>
      <c r="O272" s="11" t="s">
        <v>312</v>
      </c>
      <c r="P272" s="11" t="s">
        <v>357</v>
      </c>
      <c r="Q272" s="11" t="s">
        <v>358</v>
      </c>
      <c r="R272" s="11" t="s">
        <v>596</v>
      </c>
      <c r="S272" s="11" t="s">
        <v>35</v>
      </c>
      <c r="T272" s="158">
        <v>0.66</v>
      </c>
      <c r="U272" s="11" t="s">
        <v>140</v>
      </c>
      <c r="V272" s="174">
        <v>2.0199999999999999E-2</v>
      </c>
      <c r="W272" s="189">
        <v>4.7199999999999999E-2</v>
      </c>
      <c r="X272" s="4" t="s">
        <v>602</v>
      </c>
      <c r="Y272" s="4" t="s">
        <v>312</v>
      </c>
      <c r="Z272" s="158">
        <v>224000</v>
      </c>
      <c r="AA272" s="158">
        <v>1</v>
      </c>
      <c r="AB272" s="158">
        <v>99.11</v>
      </c>
      <c r="AD272" s="158">
        <v>222.006</v>
      </c>
      <c r="AG272" s="11" t="s">
        <v>37</v>
      </c>
      <c r="AH272" s="189">
        <v>2.6499999999999999E-4</v>
      </c>
      <c r="AI272" s="189">
        <v>3.6443516152945801E-3</v>
      </c>
      <c r="AJ272" s="189">
        <v>6.9607224208707603E-4</v>
      </c>
    </row>
    <row r="273" spans="1:36">
      <c r="A273" s="11" t="s">
        <v>256</v>
      </c>
      <c r="B273" s="11">
        <v>556</v>
      </c>
      <c r="C273" s="11" t="s">
        <v>362</v>
      </c>
      <c r="D273" s="11" t="s">
        <v>1802</v>
      </c>
      <c r="E273" s="4" t="s">
        <v>1552</v>
      </c>
      <c r="F273" s="11" t="s">
        <v>2423</v>
      </c>
      <c r="G273" s="11" t="s">
        <v>2424</v>
      </c>
      <c r="H273" s="11" t="s">
        <v>511</v>
      </c>
      <c r="I273" s="11" t="s">
        <v>945</v>
      </c>
      <c r="J273" s="11" t="s">
        <v>31</v>
      </c>
      <c r="K273" s="11" t="s">
        <v>31</v>
      </c>
      <c r="L273" s="11" t="s">
        <v>517</v>
      </c>
      <c r="M273" s="11" t="s">
        <v>32</v>
      </c>
      <c r="N273" s="11" t="s">
        <v>636</v>
      </c>
      <c r="O273" s="11" t="s">
        <v>312</v>
      </c>
      <c r="P273" s="11" t="s">
        <v>357</v>
      </c>
      <c r="Q273" s="11" t="s">
        <v>358</v>
      </c>
      <c r="R273" s="11" t="s">
        <v>596</v>
      </c>
      <c r="S273" s="11" t="s">
        <v>35</v>
      </c>
      <c r="T273" s="158">
        <v>2.806</v>
      </c>
      <c r="U273" s="11" t="s">
        <v>2425</v>
      </c>
      <c r="V273" s="174">
        <v>1.8599999999999998E-2</v>
      </c>
      <c r="W273" s="189">
        <v>2.2460000000000001E-2</v>
      </c>
      <c r="X273" s="4" t="s">
        <v>602</v>
      </c>
      <c r="Y273" s="4" t="s">
        <v>312</v>
      </c>
      <c r="Z273" s="158">
        <v>293000</v>
      </c>
      <c r="AA273" s="158">
        <v>1</v>
      </c>
      <c r="AB273" s="158">
        <v>101.33</v>
      </c>
      <c r="AD273" s="158">
        <v>296.89699999999999</v>
      </c>
      <c r="AG273" s="11" t="s">
        <v>37</v>
      </c>
      <c r="AH273" s="189">
        <v>2.3900000000000001E-4</v>
      </c>
      <c r="AI273" s="189">
        <v>4.8737184923090199E-3</v>
      </c>
      <c r="AJ273" s="189">
        <v>9.3088168112136595E-4</v>
      </c>
    </row>
    <row r="274" spans="1:36">
      <c r="A274" s="11" t="s">
        <v>256</v>
      </c>
      <c r="B274" s="11">
        <v>556</v>
      </c>
      <c r="C274" s="11" t="s">
        <v>362</v>
      </c>
      <c r="D274" s="11" t="s">
        <v>1802</v>
      </c>
      <c r="E274" s="4" t="s">
        <v>1552</v>
      </c>
      <c r="F274" s="11" t="s">
        <v>2870</v>
      </c>
      <c r="G274" s="11" t="s">
        <v>2871</v>
      </c>
      <c r="H274" s="11" t="s">
        <v>511</v>
      </c>
      <c r="I274" s="11" t="s">
        <v>945</v>
      </c>
      <c r="J274" s="11" t="s">
        <v>31</v>
      </c>
      <c r="K274" s="11" t="s">
        <v>31</v>
      </c>
      <c r="L274" s="11" t="s">
        <v>517</v>
      </c>
      <c r="M274" s="11" t="s">
        <v>32</v>
      </c>
      <c r="N274" s="11" t="s">
        <v>636</v>
      </c>
      <c r="O274" s="11" t="s">
        <v>312</v>
      </c>
      <c r="P274" s="11" t="s">
        <v>357</v>
      </c>
      <c r="Q274" s="11" t="s">
        <v>358</v>
      </c>
      <c r="R274" s="11" t="s">
        <v>596</v>
      </c>
      <c r="S274" s="11" t="s">
        <v>35</v>
      </c>
      <c r="T274" s="158">
        <v>3.3940000000000001</v>
      </c>
      <c r="U274" s="11" t="s">
        <v>2872</v>
      </c>
      <c r="V274" s="174">
        <v>1E-3</v>
      </c>
      <c r="W274" s="189">
        <v>2.298E-2</v>
      </c>
      <c r="X274" s="4" t="s">
        <v>602</v>
      </c>
      <c r="Y274" s="4" t="s">
        <v>312</v>
      </c>
      <c r="Z274" s="158">
        <v>470000</v>
      </c>
      <c r="AA274" s="158">
        <v>1</v>
      </c>
      <c r="AB274" s="158">
        <v>102.72</v>
      </c>
      <c r="AD274" s="158">
        <v>482.78399999999999</v>
      </c>
      <c r="AG274" s="11" t="s">
        <v>37</v>
      </c>
      <c r="AH274" s="189">
        <v>1.4999999999999999E-4</v>
      </c>
      <c r="AI274" s="189">
        <v>7.9251528345055805E-3</v>
      </c>
      <c r="AJ274" s="189">
        <v>1.51370654775613E-3</v>
      </c>
    </row>
    <row r="275" spans="1:36">
      <c r="A275" s="11" t="s">
        <v>256</v>
      </c>
      <c r="B275" s="11">
        <v>556</v>
      </c>
      <c r="C275" s="11" t="s">
        <v>2426</v>
      </c>
      <c r="D275" s="11" t="s">
        <v>2427</v>
      </c>
      <c r="E275" s="4" t="s">
        <v>1552</v>
      </c>
      <c r="F275" s="11" t="s">
        <v>2428</v>
      </c>
      <c r="G275" s="11" t="s">
        <v>2429</v>
      </c>
      <c r="H275" s="11" t="s">
        <v>511</v>
      </c>
      <c r="I275" s="11" t="s">
        <v>1154</v>
      </c>
      <c r="J275" s="11" t="s">
        <v>31</v>
      </c>
      <c r="K275" s="11" t="s">
        <v>31</v>
      </c>
      <c r="L275" s="11" t="s">
        <v>517</v>
      </c>
      <c r="M275" s="11" t="s">
        <v>32</v>
      </c>
      <c r="N275" s="11" t="s">
        <v>635</v>
      </c>
      <c r="O275" s="11" t="s">
        <v>312</v>
      </c>
      <c r="P275" s="11" t="s">
        <v>2165</v>
      </c>
      <c r="Q275" s="27" t="s">
        <v>2165</v>
      </c>
      <c r="R275" s="16" t="s">
        <v>2165</v>
      </c>
      <c r="S275" s="11" t="s">
        <v>35</v>
      </c>
      <c r="T275" s="158">
        <v>4.2640000000000002</v>
      </c>
      <c r="U275" s="11" t="s">
        <v>2430</v>
      </c>
      <c r="V275" s="174">
        <v>6.7299999999999999E-2</v>
      </c>
      <c r="W275" s="189">
        <v>6.8379999999999996E-2</v>
      </c>
      <c r="X275" s="4" t="s">
        <v>602</v>
      </c>
      <c r="Y275" s="4" t="s">
        <v>312</v>
      </c>
      <c r="Z275" s="158">
        <v>157000</v>
      </c>
      <c r="AA275" s="158">
        <v>1</v>
      </c>
      <c r="AB275" s="158">
        <v>100.7</v>
      </c>
      <c r="AD275" s="158">
        <v>158.09899999999999</v>
      </c>
      <c r="AG275" s="11" t="s">
        <v>37</v>
      </c>
      <c r="AH275" s="189">
        <v>5.71E-4</v>
      </c>
      <c r="AI275" s="189">
        <v>2.59527809120124E-3</v>
      </c>
      <c r="AJ275" s="189">
        <v>4.9569888706687995E-4</v>
      </c>
    </row>
    <row r="276" spans="1:36">
      <c r="A276" s="11" t="s">
        <v>256</v>
      </c>
      <c r="B276" s="11">
        <v>556</v>
      </c>
      <c r="C276" s="11" t="s">
        <v>2431</v>
      </c>
      <c r="D276" s="11" t="s">
        <v>2432</v>
      </c>
      <c r="E276" s="4" t="s">
        <v>1552</v>
      </c>
      <c r="F276" s="11" t="s">
        <v>2433</v>
      </c>
      <c r="G276" s="11" t="s">
        <v>2434</v>
      </c>
      <c r="H276" s="11" t="s">
        <v>511</v>
      </c>
      <c r="I276" s="11" t="s">
        <v>1154</v>
      </c>
      <c r="J276" s="11" t="s">
        <v>31</v>
      </c>
      <c r="K276" s="11" t="s">
        <v>31</v>
      </c>
      <c r="L276" s="11" t="s">
        <v>517</v>
      </c>
      <c r="M276" s="11" t="s">
        <v>32</v>
      </c>
      <c r="N276" s="11" t="s">
        <v>635</v>
      </c>
      <c r="O276" s="11" t="s">
        <v>312</v>
      </c>
      <c r="P276" s="11" t="s">
        <v>2165</v>
      </c>
      <c r="Q276" s="27" t="s">
        <v>2165</v>
      </c>
      <c r="R276" s="16" t="s">
        <v>2165</v>
      </c>
      <c r="S276" s="11" t="s">
        <v>35</v>
      </c>
      <c r="T276" s="158">
        <v>1.776</v>
      </c>
      <c r="U276" s="11" t="s">
        <v>110</v>
      </c>
      <c r="V276" s="174">
        <v>7.0000000000000007E-2</v>
      </c>
      <c r="W276" s="189">
        <v>9.6860000000000002E-2</v>
      </c>
      <c r="X276" s="4" t="s">
        <v>602</v>
      </c>
      <c r="Y276" s="4" t="s">
        <v>312</v>
      </c>
      <c r="Z276" s="158">
        <v>104995.6</v>
      </c>
      <c r="AA276" s="158">
        <v>1</v>
      </c>
      <c r="AB276" s="158">
        <v>99.94</v>
      </c>
      <c r="AD276" s="158">
        <v>104.93300000000001</v>
      </c>
      <c r="AG276" s="11" t="s">
        <v>37</v>
      </c>
      <c r="AH276" s="189">
        <v>1.5410000000000001E-3</v>
      </c>
      <c r="AI276" s="189">
        <v>1.722523764757E-3</v>
      </c>
      <c r="AJ276" s="189">
        <v>3.2900255122220401E-4</v>
      </c>
    </row>
    <row r="277" spans="1:36">
      <c r="A277" s="11" t="s">
        <v>256</v>
      </c>
      <c r="B277" s="11">
        <v>556</v>
      </c>
      <c r="C277" s="11" t="s">
        <v>1808</v>
      </c>
      <c r="D277" s="11" t="s">
        <v>1809</v>
      </c>
      <c r="E277" s="4" t="s">
        <v>1552</v>
      </c>
      <c r="F277" s="11" t="s">
        <v>2435</v>
      </c>
      <c r="G277" s="11" t="s">
        <v>2436</v>
      </c>
      <c r="H277" s="11" t="s">
        <v>511</v>
      </c>
      <c r="I277" s="11" t="s">
        <v>1154</v>
      </c>
      <c r="J277" s="11" t="s">
        <v>31</v>
      </c>
      <c r="K277" s="11" t="s">
        <v>31</v>
      </c>
      <c r="L277" s="11" t="s">
        <v>517</v>
      </c>
      <c r="M277" s="11" t="s">
        <v>32</v>
      </c>
      <c r="N277" s="11" t="s">
        <v>639</v>
      </c>
      <c r="O277" s="11" t="s">
        <v>312</v>
      </c>
      <c r="P277" s="11" t="s">
        <v>2165</v>
      </c>
      <c r="Q277" s="27" t="s">
        <v>2165</v>
      </c>
      <c r="R277" s="16" t="s">
        <v>2165</v>
      </c>
      <c r="S277" s="11" t="s">
        <v>35</v>
      </c>
      <c r="T277" s="158">
        <v>0.98299999999999998</v>
      </c>
      <c r="U277" s="11" t="s">
        <v>2317</v>
      </c>
      <c r="V277" s="174">
        <v>3.5000000000000003E-2</v>
      </c>
      <c r="W277" s="189">
        <v>4.6519999999999999E-2</v>
      </c>
      <c r="X277" s="4" t="s">
        <v>602</v>
      </c>
      <c r="Y277" s="4" t="s">
        <v>312</v>
      </c>
      <c r="Z277" s="158">
        <v>19666.669999999998</v>
      </c>
      <c r="AA277" s="158">
        <v>1</v>
      </c>
      <c r="AB277" s="158">
        <v>97.64</v>
      </c>
      <c r="AD277" s="158">
        <v>19.202999999999999</v>
      </c>
      <c r="AG277" s="11" t="s">
        <v>37</v>
      </c>
      <c r="AH277" s="189">
        <v>2.4600000000000002E-4</v>
      </c>
      <c r="AI277" s="189">
        <v>3.1521971993704302E-4</v>
      </c>
      <c r="AJ277" s="189">
        <v>6.0207060231454001E-5</v>
      </c>
    </row>
    <row r="278" spans="1:36">
      <c r="A278" s="11" t="s">
        <v>256</v>
      </c>
      <c r="B278" s="11">
        <v>556</v>
      </c>
      <c r="C278" s="11" t="s">
        <v>2437</v>
      </c>
      <c r="D278" s="11" t="s">
        <v>2438</v>
      </c>
      <c r="E278" s="4" t="s">
        <v>1552</v>
      </c>
      <c r="F278" s="11" t="s">
        <v>2439</v>
      </c>
      <c r="G278" s="11" t="s">
        <v>2440</v>
      </c>
      <c r="H278" s="11" t="s">
        <v>511</v>
      </c>
      <c r="I278" s="11" t="s">
        <v>945</v>
      </c>
      <c r="J278" s="11" t="s">
        <v>31</v>
      </c>
      <c r="K278" s="11" t="s">
        <v>31</v>
      </c>
      <c r="L278" s="11" t="s">
        <v>517</v>
      </c>
      <c r="M278" s="11" t="s">
        <v>32</v>
      </c>
      <c r="N278" s="11" t="s">
        <v>652</v>
      </c>
      <c r="O278" s="11" t="s">
        <v>312</v>
      </c>
      <c r="P278" s="11" t="s">
        <v>2165</v>
      </c>
      <c r="Q278" s="27" t="s">
        <v>2165</v>
      </c>
      <c r="R278" s="16" t="s">
        <v>2165</v>
      </c>
      <c r="S278" s="11" t="s">
        <v>35</v>
      </c>
      <c r="T278" s="158">
        <v>3.08</v>
      </c>
      <c r="U278" s="11" t="s">
        <v>2441</v>
      </c>
      <c r="V278" s="174">
        <v>6.0999999999999999E-2</v>
      </c>
      <c r="W278" s="189">
        <v>5.0319999999999997E-2</v>
      </c>
      <c r="X278" s="4" t="s">
        <v>602</v>
      </c>
      <c r="Y278" s="4" t="s">
        <v>312</v>
      </c>
      <c r="Z278" s="158">
        <v>122000</v>
      </c>
      <c r="AA278" s="158">
        <v>1</v>
      </c>
      <c r="AB278" s="158">
        <v>105.52</v>
      </c>
      <c r="AD278" s="158">
        <v>128.73400000000001</v>
      </c>
      <c r="AG278" s="11" t="s">
        <v>37</v>
      </c>
      <c r="AH278" s="189">
        <v>1.439E-3</v>
      </c>
      <c r="AI278" s="189">
        <v>2.1132427650012702E-3</v>
      </c>
      <c r="AJ278" s="189">
        <v>4.0362999644034801E-4</v>
      </c>
    </row>
    <row r="279" spans="1:36">
      <c r="A279" s="11" t="s">
        <v>256</v>
      </c>
      <c r="B279" s="11">
        <v>556</v>
      </c>
      <c r="C279" s="11" t="s">
        <v>2437</v>
      </c>
      <c r="D279" s="11" t="s">
        <v>2438</v>
      </c>
      <c r="E279" s="4" t="s">
        <v>1552</v>
      </c>
      <c r="F279" s="11" t="s">
        <v>2442</v>
      </c>
      <c r="G279" s="11" t="s">
        <v>2443</v>
      </c>
      <c r="H279" s="11" t="s">
        <v>511</v>
      </c>
      <c r="I279" s="11" t="s">
        <v>945</v>
      </c>
      <c r="J279" s="11" t="s">
        <v>31</v>
      </c>
      <c r="K279" s="11" t="s">
        <v>31</v>
      </c>
      <c r="L279" s="11" t="s">
        <v>517</v>
      </c>
      <c r="M279" s="11" t="s">
        <v>32</v>
      </c>
      <c r="N279" s="11" t="s">
        <v>652</v>
      </c>
      <c r="O279" s="11" t="s">
        <v>312</v>
      </c>
      <c r="P279" s="11" t="s">
        <v>2165</v>
      </c>
      <c r="Q279" s="27" t="s">
        <v>2165</v>
      </c>
      <c r="R279" s="16" t="s">
        <v>2165</v>
      </c>
      <c r="S279" s="11" t="s">
        <v>35</v>
      </c>
      <c r="T279" s="158">
        <v>3.113</v>
      </c>
      <c r="U279" s="11" t="s">
        <v>2166</v>
      </c>
      <c r="V279" s="174">
        <v>0.06</v>
      </c>
      <c r="W279" s="189">
        <v>4.795E-2</v>
      </c>
      <c r="X279" s="4" t="s">
        <v>602</v>
      </c>
      <c r="Y279" s="4" t="s">
        <v>312</v>
      </c>
      <c r="Z279" s="158">
        <v>91000</v>
      </c>
      <c r="AA279" s="158">
        <v>1</v>
      </c>
      <c r="AB279" s="158">
        <v>106.8</v>
      </c>
      <c r="AD279" s="158">
        <v>97.188000000000002</v>
      </c>
      <c r="AG279" s="11" t="s">
        <v>37</v>
      </c>
      <c r="AH279" s="189">
        <v>1.1850000000000001E-3</v>
      </c>
      <c r="AI279" s="189">
        <v>1.5953920462979899E-3</v>
      </c>
      <c r="AJ279" s="189">
        <v>3.04720355196782E-4</v>
      </c>
    </row>
    <row r="280" spans="1:36">
      <c r="A280" s="11" t="s">
        <v>256</v>
      </c>
      <c r="B280" s="11">
        <v>556</v>
      </c>
      <c r="C280" s="11" t="s">
        <v>1820</v>
      </c>
      <c r="D280" s="11" t="s">
        <v>1821</v>
      </c>
      <c r="E280" s="4" t="s">
        <v>1552</v>
      </c>
      <c r="F280" s="11" t="s">
        <v>2446</v>
      </c>
      <c r="G280" s="11" t="s">
        <v>2447</v>
      </c>
      <c r="H280" s="11" t="s">
        <v>511</v>
      </c>
      <c r="I280" s="11" t="s">
        <v>945</v>
      </c>
      <c r="J280" s="11" t="s">
        <v>31</v>
      </c>
      <c r="K280" s="11" t="s">
        <v>31</v>
      </c>
      <c r="L280" s="11" t="s">
        <v>517</v>
      </c>
      <c r="M280" s="11" t="s">
        <v>32</v>
      </c>
      <c r="N280" s="11" t="s">
        <v>652</v>
      </c>
      <c r="O280" s="11" t="s">
        <v>312</v>
      </c>
      <c r="P280" s="11" t="s">
        <v>2169</v>
      </c>
      <c r="Q280" s="11" t="s">
        <v>604</v>
      </c>
      <c r="R280" s="11" t="s">
        <v>596</v>
      </c>
      <c r="S280" s="11" t="s">
        <v>35</v>
      </c>
      <c r="T280" s="158">
        <v>1.988</v>
      </c>
      <c r="U280" s="11" t="s">
        <v>2198</v>
      </c>
      <c r="V280" s="174">
        <v>2.4E-2</v>
      </c>
      <c r="W280" s="189">
        <v>2.647E-2</v>
      </c>
      <c r="X280" s="4" t="s">
        <v>602</v>
      </c>
      <c r="Y280" s="4" t="s">
        <v>312</v>
      </c>
      <c r="Z280" s="158">
        <v>244000.41</v>
      </c>
      <c r="AA280" s="158">
        <v>1</v>
      </c>
      <c r="AB280" s="158">
        <v>114.25</v>
      </c>
      <c r="AD280" s="158">
        <v>278.77</v>
      </c>
      <c r="AG280" s="11" t="s">
        <v>37</v>
      </c>
      <c r="AH280" s="189">
        <v>4.2299999999999998E-4</v>
      </c>
      <c r="AI280" s="189">
        <v>4.5761636011442701E-3</v>
      </c>
      <c r="AJ280" s="189">
        <v>8.7404860843765897E-4</v>
      </c>
    </row>
    <row r="281" spans="1:36">
      <c r="A281" s="11" t="s">
        <v>256</v>
      </c>
      <c r="B281" s="11">
        <v>556</v>
      </c>
      <c r="C281" s="11" t="s">
        <v>1828</v>
      </c>
      <c r="D281" s="11" t="s">
        <v>1829</v>
      </c>
      <c r="E281" s="4" t="s">
        <v>1552</v>
      </c>
      <c r="F281" s="11" t="s">
        <v>2448</v>
      </c>
      <c r="G281" s="11" t="s">
        <v>2449</v>
      </c>
      <c r="H281" s="11" t="s">
        <v>511</v>
      </c>
      <c r="I281" s="11" t="s">
        <v>945</v>
      </c>
      <c r="J281" s="11" t="s">
        <v>31</v>
      </c>
      <c r="K281" s="11" t="s">
        <v>31</v>
      </c>
      <c r="L281" s="11" t="s">
        <v>517</v>
      </c>
      <c r="M281" s="11" t="s">
        <v>32</v>
      </c>
      <c r="N281" s="11" t="s">
        <v>652</v>
      </c>
      <c r="O281" s="11" t="s">
        <v>312</v>
      </c>
      <c r="P281" s="11" t="s">
        <v>2394</v>
      </c>
      <c r="Q281" s="11" t="s">
        <v>358</v>
      </c>
      <c r="R281" s="11" t="s">
        <v>596</v>
      </c>
      <c r="S281" s="11" t="s">
        <v>35</v>
      </c>
      <c r="T281" s="158">
        <v>1.956</v>
      </c>
      <c r="U281" s="11" t="s">
        <v>110</v>
      </c>
      <c r="V281" s="174">
        <v>1.4E-2</v>
      </c>
      <c r="W281" s="189">
        <v>2.5319999999999999E-2</v>
      </c>
      <c r="X281" s="4" t="s">
        <v>602</v>
      </c>
      <c r="Y281" s="4" t="s">
        <v>312</v>
      </c>
      <c r="Z281" s="158">
        <v>695600</v>
      </c>
      <c r="AA281" s="158">
        <v>1</v>
      </c>
      <c r="AB281" s="158">
        <v>111.84</v>
      </c>
      <c r="AD281" s="158">
        <v>777.95899999999995</v>
      </c>
      <c r="AG281" s="11" t="s">
        <v>37</v>
      </c>
      <c r="AH281" s="189">
        <v>8.6200000000000003E-4</v>
      </c>
      <c r="AI281" s="189">
        <v>1.27706060908921E-2</v>
      </c>
      <c r="AJ281" s="189">
        <v>2.43918956041227E-3</v>
      </c>
    </row>
    <row r="282" spans="1:36">
      <c r="A282" s="11" t="s">
        <v>256</v>
      </c>
      <c r="B282" s="11">
        <v>556</v>
      </c>
      <c r="C282" s="11" t="s">
        <v>2450</v>
      </c>
      <c r="D282" s="11" t="s">
        <v>2451</v>
      </c>
      <c r="E282" s="4" t="s">
        <v>1552</v>
      </c>
      <c r="F282" s="11" t="s">
        <v>2452</v>
      </c>
      <c r="G282" s="11" t="s">
        <v>2453</v>
      </c>
      <c r="H282" s="11" t="s">
        <v>511</v>
      </c>
      <c r="I282" s="11" t="s">
        <v>945</v>
      </c>
      <c r="J282" s="11" t="s">
        <v>31</v>
      </c>
      <c r="K282" s="11" t="s">
        <v>31</v>
      </c>
      <c r="L282" s="11" t="s">
        <v>517</v>
      </c>
      <c r="M282" s="11" t="s">
        <v>32</v>
      </c>
      <c r="N282" s="11" t="s">
        <v>652</v>
      </c>
      <c r="O282" s="11" t="s">
        <v>312</v>
      </c>
      <c r="P282" s="11" t="s">
        <v>2327</v>
      </c>
      <c r="Q282" s="11" t="s">
        <v>358</v>
      </c>
      <c r="R282" s="11" t="s">
        <v>596</v>
      </c>
      <c r="S282" s="11" t="s">
        <v>35</v>
      </c>
      <c r="T282" s="158">
        <v>1.498</v>
      </c>
      <c r="U282" s="11" t="s">
        <v>2317</v>
      </c>
      <c r="V282" s="174">
        <v>1E-3</v>
      </c>
      <c r="W282" s="189">
        <v>2.086E-2</v>
      </c>
      <c r="X282" s="4" t="s">
        <v>602</v>
      </c>
      <c r="Y282" s="4" t="s">
        <v>312</v>
      </c>
      <c r="Z282" s="158">
        <v>391000</v>
      </c>
      <c r="AA282" s="158">
        <v>1</v>
      </c>
      <c r="AB282" s="158">
        <v>110.23</v>
      </c>
      <c r="AD282" s="158">
        <v>430.99900000000002</v>
      </c>
      <c r="AG282" s="11" t="s">
        <v>37</v>
      </c>
      <c r="AH282" s="189">
        <v>6.7900000000000002E-4</v>
      </c>
      <c r="AI282" s="189">
        <v>7.07507979565379E-3</v>
      </c>
      <c r="AJ282" s="189">
        <v>1.3513423445853799E-3</v>
      </c>
    </row>
    <row r="283" spans="1:36">
      <c r="A283" s="11" t="s">
        <v>256</v>
      </c>
      <c r="B283" s="11">
        <v>556</v>
      </c>
      <c r="C283" s="11" t="s">
        <v>2450</v>
      </c>
      <c r="D283" s="11" t="s">
        <v>2451</v>
      </c>
      <c r="E283" s="4" t="s">
        <v>1552</v>
      </c>
      <c r="F283" s="11" t="s">
        <v>2454</v>
      </c>
      <c r="G283" s="11" t="s">
        <v>2455</v>
      </c>
      <c r="H283" s="11" t="s">
        <v>511</v>
      </c>
      <c r="I283" s="11" t="s">
        <v>945</v>
      </c>
      <c r="J283" s="11" t="s">
        <v>31</v>
      </c>
      <c r="K283" s="11" t="s">
        <v>31</v>
      </c>
      <c r="L283" s="11" t="s">
        <v>517</v>
      </c>
      <c r="M283" s="11" t="s">
        <v>32</v>
      </c>
      <c r="N283" s="11" t="s">
        <v>652</v>
      </c>
      <c r="O283" s="11" t="s">
        <v>312</v>
      </c>
      <c r="P283" s="11" t="s">
        <v>2327</v>
      </c>
      <c r="Q283" s="11" t="s">
        <v>358</v>
      </c>
      <c r="R283" s="11" t="s">
        <v>596</v>
      </c>
      <c r="S283" s="11" t="s">
        <v>35</v>
      </c>
      <c r="T283" s="158">
        <v>2.7330000000000001</v>
      </c>
      <c r="U283" s="11" t="s">
        <v>110</v>
      </c>
      <c r="V283" s="174">
        <v>3.0000000000000001E-3</v>
      </c>
      <c r="W283" s="189">
        <v>3.356E-2</v>
      </c>
      <c r="X283" s="4" t="s">
        <v>602</v>
      </c>
      <c r="Y283" s="4" t="s">
        <v>312</v>
      </c>
      <c r="Z283" s="158">
        <v>453000</v>
      </c>
      <c r="AA283" s="158">
        <v>1</v>
      </c>
      <c r="AB283" s="158">
        <v>101.03</v>
      </c>
      <c r="AD283" s="158">
        <v>457.666</v>
      </c>
      <c r="AG283" s="11" t="s">
        <v>37</v>
      </c>
      <c r="AH283" s="189">
        <v>8.9099999999999997E-4</v>
      </c>
      <c r="AI283" s="189">
        <v>7.5128260353316302E-3</v>
      </c>
      <c r="AJ283" s="189">
        <v>1.4349520065178301E-3</v>
      </c>
    </row>
    <row r="284" spans="1:36">
      <c r="A284" s="11" t="s">
        <v>256</v>
      </c>
      <c r="B284" s="11">
        <v>556</v>
      </c>
      <c r="C284" s="11" t="s">
        <v>2450</v>
      </c>
      <c r="D284" s="11" t="s">
        <v>2451</v>
      </c>
      <c r="E284" s="4" t="s">
        <v>1552</v>
      </c>
      <c r="F284" s="11" t="s">
        <v>2456</v>
      </c>
      <c r="G284" s="11" t="s">
        <v>2457</v>
      </c>
      <c r="H284" s="11" t="s">
        <v>511</v>
      </c>
      <c r="I284" s="11" t="s">
        <v>945</v>
      </c>
      <c r="J284" s="11" t="s">
        <v>31</v>
      </c>
      <c r="K284" s="11" t="s">
        <v>31</v>
      </c>
      <c r="L284" s="11" t="s">
        <v>517</v>
      </c>
      <c r="M284" s="11" t="s">
        <v>32</v>
      </c>
      <c r="N284" s="11" t="s">
        <v>652</v>
      </c>
      <c r="O284" s="11" t="s">
        <v>312</v>
      </c>
      <c r="P284" s="11" t="s">
        <v>2327</v>
      </c>
      <c r="Q284" s="11" t="s">
        <v>358</v>
      </c>
      <c r="R284" s="11" t="s">
        <v>596</v>
      </c>
      <c r="S284" s="11" t="s">
        <v>35</v>
      </c>
      <c r="T284" s="158">
        <v>2.2389999999999999</v>
      </c>
      <c r="U284" s="11" t="s">
        <v>2198</v>
      </c>
      <c r="V284" s="174">
        <v>3.0000000000000001E-3</v>
      </c>
      <c r="W284" s="189">
        <v>3.2349999999999997E-2</v>
      </c>
      <c r="X284" s="4" t="s">
        <v>602</v>
      </c>
      <c r="Y284" s="4" t="s">
        <v>312</v>
      </c>
      <c r="Z284" s="158">
        <v>140000</v>
      </c>
      <c r="AA284" s="158">
        <v>1</v>
      </c>
      <c r="AB284" s="158">
        <v>98.78</v>
      </c>
      <c r="AD284" s="158">
        <v>138.292</v>
      </c>
      <c r="AG284" s="11" t="s">
        <v>37</v>
      </c>
      <c r="AH284" s="189">
        <v>3.4000000000000002E-4</v>
      </c>
      <c r="AI284" s="189">
        <v>2.2701357869967598E-3</v>
      </c>
      <c r="AJ284" s="189">
        <v>4.3359661029009099E-4</v>
      </c>
    </row>
    <row r="285" spans="1:36">
      <c r="A285" s="11" t="s">
        <v>256</v>
      </c>
      <c r="B285" s="11">
        <v>556</v>
      </c>
      <c r="C285" s="11" t="s">
        <v>2450</v>
      </c>
      <c r="D285" s="11" t="s">
        <v>2451</v>
      </c>
      <c r="E285" s="4" t="s">
        <v>1552</v>
      </c>
      <c r="F285" s="11" t="s">
        <v>2458</v>
      </c>
      <c r="G285" s="11" t="s">
        <v>2459</v>
      </c>
      <c r="H285" s="11" t="s">
        <v>511</v>
      </c>
      <c r="I285" s="11" t="s">
        <v>945</v>
      </c>
      <c r="J285" s="11" t="s">
        <v>31</v>
      </c>
      <c r="K285" s="11" t="s">
        <v>31</v>
      </c>
      <c r="L285" s="11" t="s">
        <v>517</v>
      </c>
      <c r="M285" s="11" t="s">
        <v>32</v>
      </c>
      <c r="N285" s="11" t="s">
        <v>652</v>
      </c>
      <c r="O285" s="11" t="s">
        <v>312</v>
      </c>
      <c r="P285" s="11" t="s">
        <v>2327</v>
      </c>
      <c r="Q285" s="11" t="s">
        <v>358</v>
      </c>
      <c r="R285" s="11" t="s">
        <v>596</v>
      </c>
      <c r="S285" s="11" t="s">
        <v>35</v>
      </c>
      <c r="T285" s="158">
        <v>2.4910000000000001</v>
      </c>
      <c r="U285" s="11" t="s">
        <v>2333</v>
      </c>
      <c r="V285" s="174">
        <v>3.0000000000000001E-3</v>
      </c>
      <c r="W285" s="189">
        <v>3.322E-2</v>
      </c>
      <c r="X285" s="4" t="s">
        <v>602</v>
      </c>
      <c r="Y285" s="4" t="s">
        <v>312</v>
      </c>
      <c r="Z285" s="158">
        <v>50000</v>
      </c>
      <c r="AA285" s="158">
        <v>1</v>
      </c>
      <c r="AB285" s="158">
        <v>94.71</v>
      </c>
      <c r="AD285" s="158">
        <v>47.354999999999997</v>
      </c>
      <c r="AG285" s="11" t="s">
        <v>37</v>
      </c>
      <c r="AH285" s="189">
        <v>1.65E-4</v>
      </c>
      <c r="AI285" s="189">
        <v>7.7735718764087398E-4</v>
      </c>
      <c r="AJ285" s="189">
        <v>1.4847545396904599E-4</v>
      </c>
    </row>
    <row r="286" spans="1:36">
      <c r="A286" s="11" t="s">
        <v>256</v>
      </c>
      <c r="B286" s="11">
        <v>556</v>
      </c>
      <c r="C286" s="11" t="s">
        <v>2460</v>
      </c>
      <c r="D286" s="11" t="s">
        <v>2461</v>
      </c>
      <c r="E286" s="4" t="s">
        <v>1552</v>
      </c>
      <c r="F286" s="11" t="s">
        <v>2462</v>
      </c>
      <c r="G286" s="11" t="s">
        <v>2463</v>
      </c>
      <c r="H286" s="11" t="s">
        <v>511</v>
      </c>
      <c r="I286" s="11" t="s">
        <v>945</v>
      </c>
      <c r="J286" s="11" t="s">
        <v>31</v>
      </c>
      <c r="K286" s="11" t="s">
        <v>31</v>
      </c>
      <c r="L286" s="11" t="s">
        <v>517</v>
      </c>
      <c r="M286" s="11" t="s">
        <v>32</v>
      </c>
      <c r="N286" s="11" t="s">
        <v>636</v>
      </c>
      <c r="O286" s="11" t="s">
        <v>312</v>
      </c>
      <c r="P286" s="11" t="s">
        <v>157</v>
      </c>
      <c r="Q286" s="11" t="s">
        <v>604</v>
      </c>
      <c r="R286" s="11" t="s">
        <v>596</v>
      </c>
      <c r="S286" s="11" t="s">
        <v>35</v>
      </c>
      <c r="T286" s="158">
        <v>3.1680000000000001</v>
      </c>
      <c r="U286" s="11" t="s">
        <v>2464</v>
      </c>
      <c r="V286" s="174">
        <v>1.2200000000000001E-2</v>
      </c>
      <c r="W286" s="189">
        <v>2.3429999999999999E-2</v>
      </c>
      <c r="X286" s="4" t="s">
        <v>602</v>
      </c>
      <c r="Y286" s="4" t="s">
        <v>312</v>
      </c>
      <c r="Z286" s="158">
        <v>452000</v>
      </c>
      <c r="AA286" s="158">
        <v>1</v>
      </c>
      <c r="AB286" s="158">
        <v>111.52</v>
      </c>
      <c r="AD286" s="158">
        <v>504.07</v>
      </c>
      <c r="AG286" s="11" t="s">
        <v>37</v>
      </c>
      <c r="AH286" s="189">
        <v>1.4999999999999999E-4</v>
      </c>
      <c r="AI286" s="189">
        <v>8.2745802664346002E-3</v>
      </c>
      <c r="AJ286" s="189">
        <v>1.58044729114895E-3</v>
      </c>
    </row>
    <row r="287" spans="1:36">
      <c r="A287" s="11" t="s">
        <v>256</v>
      </c>
      <c r="B287" s="11">
        <v>556</v>
      </c>
      <c r="C287" s="11" t="s">
        <v>2460</v>
      </c>
      <c r="D287" s="11" t="s">
        <v>2461</v>
      </c>
      <c r="E287" s="4" t="s">
        <v>1552</v>
      </c>
      <c r="F287" s="11" t="s">
        <v>2465</v>
      </c>
      <c r="G287" s="11" t="s">
        <v>2466</v>
      </c>
      <c r="H287" s="11" t="s">
        <v>511</v>
      </c>
      <c r="I287" s="11" t="s">
        <v>945</v>
      </c>
      <c r="J287" s="11" t="s">
        <v>31</v>
      </c>
      <c r="K287" s="11" t="s">
        <v>31</v>
      </c>
      <c r="L287" s="11" t="s">
        <v>517</v>
      </c>
      <c r="M287" s="11" t="s">
        <v>32</v>
      </c>
      <c r="N287" s="11" t="s">
        <v>636</v>
      </c>
      <c r="O287" s="11" t="s">
        <v>312</v>
      </c>
      <c r="P287" s="11" t="s">
        <v>157</v>
      </c>
      <c r="Q287" s="11" t="s">
        <v>604</v>
      </c>
      <c r="R287" s="11" t="s">
        <v>596</v>
      </c>
      <c r="S287" s="11" t="s">
        <v>35</v>
      </c>
      <c r="T287" s="158">
        <v>4.2990000000000004</v>
      </c>
      <c r="U287" s="11" t="s">
        <v>2467</v>
      </c>
      <c r="V287" s="174">
        <v>1E-3</v>
      </c>
      <c r="W287" s="189">
        <v>2.529E-2</v>
      </c>
      <c r="X287" s="4" t="s">
        <v>602</v>
      </c>
      <c r="Y287" s="4" t="s">
        <v>312</v>
      </c>
      <c r="Z287" s="158">
        <v>1038000</v>
      </c>
      <c r="AA287" s="158">
        <v>1</v>
      </c>
      <c r="AB287" s="158">
        <v>99.99</v>
      </c>
      <c r="AD287" s="158">
        <v>1037.896</v>
      </c>
      <c r="AG287" s="11" t="s">
        <v>37</v>
      </c>
      <c r="AH287" s="189">
        <v>3.0699999999999998E-4</v>
      </c>
      <c r="AI287" s="189">
        <v>1.7037611046249599E-2</v>
      </c>
      <c r="AJ287" s="189">
        <v>3.2541887755833001E-3</v>
      </c>
    </row>
    <row r="288" spans="1:36">
      <c r="A288" s="11" t="s">
        <v>256</v>
      </c>
      <c r="B288" s="11">
        <v>556</v>
      </c>
      <c r="C288" s="11" t="s">
        <v>2460</v>
      </c>
      <c r="D288" s="11" t="s">
        <v>2461</v>
      </c>
      <c r="E288" s="4" t="s">
        <v>1552</v>
      </c>
      <c r="F288" s="11" t="s">
        <v>2468</v>
      </c>
      <c r="G288" s="11" t="s">
        <v>2469</v>
      </c>
      <c r="H288" s="11" t="s">
        <v>511</v>
      </c>
      <c r="I288" s="11" t="s">
        <v>945</v>
      </c>
      <c r="J288" s="11" t="s">
        <v>31</v>
      </c>
      <c r="K288" s="11" t="s">
        <v>31</v>
      </c>
      <c r="L288" s="11" t="s">
        <v>517</v>
      </c>
      <c r="M288" s="11" t="s">
        <v>32</v>
      </c>
      <c r="N288" s="11" t="s">
        <v>636</v>
      </c>
      <c r="O288" s="11" t="s">
        <v>312</v>
      </c>
      <c r="P288" s="11" t="s">
        <v>157</v>
      </c>
      <c r="Q288" s="11" t="s">
        <v>604</v>
      </c>
      <c r="R288" s="11" t="s">
        <v>596</v>
      </c>
      <c r="S288" s="11" t="s">
        <v>35</v>
      </c>
      <c r="T288" s="158">
        <v>4.6559999999999997</v>
      </c>
      <c r="U288" s="11" t="s">
        <v>2470</v>
      </c>
      <c r="V288" s="174">
        <v>2.06E-2</v>
      </c>
      <c r="W288" s="189">
        <v>2.554E-2</v>
      </c>
      <c r="X288" s="4" t="s">
        <v>602</v>
      </c>
      <c r="Y288" s="4" t="s">
        <v>312</v>
      </c>
      <c r="Z288" s="158">
        <v>265500</v>
      </c>
      <c r="AA288" s="158">
        <v>1</v>
      </c>
      <c r="AB288" s="158">
        <v>100.67</v>
      </c>
      <c r="AD288" s="158">
        <v>267.279</v>
      </c>
      <c r="AG288" s="11" t="s">
        <v>37</v>
      </c>
      <c r="AH288" s="189">
        <v>1.47E-4</v>
      </c>
      <c r="AI288" s="189">
        <v>4.3875226512910398E-3</v>
      </c>
      <c r="AJ288" s="189">
        <v>8.3801813092755596E-4</v>
      </c>
    </row>
    <row r="289" spans="1:36">
      <c r="A289" s="11" t="s">
        <v>256</v>
      </c>
      <c r="B289" s="11">
        <v>556</v>
      </c>
      <c r="C289" s="11" t="s">
        <v>2460</v>
      </c>
      <c r="D289" s="11" t="s">
        <v>2461</v>
      </c>
      <c r="E289" s="4" t="s">
        <v>1552</v>
      </c>
      <c r="F289" s="11" t="s">
        <v>2471</v>
      </c>
      <c r="G289" s="11" t="s">
        <v>2472</v>
      </c>
      <c r="H289" s="11" t="s">
        <v>511</v>
      </c>
      <c r="I289" s="11" t="s">
        <v>945</v>
      </c>
      <c r="J289" s="11" t="s">
        <v>31</v>
      </c>
      <c r="K289" s="11" t="s">
        <v>31</v>
      </c>
      <c r="L289" s="11" t="s">
        <v>517</v>
      </c>
      <c r="M289" s="11" t="s">
        <v>32</v>
      </c>
      <c r="N289" s="11" t="s">
        <v>636</v>
      </c>
      <c r="O289" s="11" t="s">
        <v>312</v>
      </c>
      <c r="P289" s="11" t="s">
        <v>357</v>
      </c>
      <c r="Q289" s="11" t="s">
        <v>358</v>
      </c>
      <c r="R289" s="11" t="s">
        <v>596</v>
      </c>
      <c r="S289" s="11" t="s">
        <v>35</v>
      </c>
      <c r="T289" s="158">
        <v>4.6280000000000001</v>
      </c>
      <c r="U289" s="11" t="s">
        <v>2473</v>
      </c>
      <c r="V289" s="174">
        <v>1.9900000000000001E-2</v>
      </c>
      <c r="W289" s="189">
        <v>2.571E-2</v>
      </c>
      <c r="X289" s="4" t="s">
        <v>602</v>
      </c>
      <c r="Y289" s="4" t="s">
        <v>312</v>
      </c>
      <c r="Z289" s="158">
        <v>630000</v>
      </c>
      <c r="AA289" s="158">
        <v>1</v>
      </c>
      <c r="AB289" s="158">
        <v>100.23</v>
      </c>
      <c r="AD289" s="158">
        <v>631.44899999999996</v>
      </c>
      <c r="AG289" s="11" t="s">
        <v>37</v>
      </c>
      <c r="AH289" s="189">
        <v>2.33E-4</v>
      </c>
      <c r="AI289" s="189">
        <v>1.03655668626046E-2</v>
      </c>
      <c r="AJ289" s="189">
        <v>1.9798263527251599E-3</v>
      </c>
    </row>
    <row r="290" spans="1:36">
      <c r="A290" s="11" t="s">
        <v>256</v>
      </c>
      <c r="B290" s="11">
        <v>556</v>
      </c>
      <c r="C290" s="11" t="s">
        <v>2460</v>
      </c>
      <c r="D290" s="11" t="s">
        <v>2461</v>
      </c>
      <c r="E290" s="4" t="s">
        <v>1552</v>
      </c>
      <c r="F290" s="11" t="s">
        <v>2474</v>
      </c>
      <c r="G290" s="11" t="s">
        <v>2475</v>
      </c>
      <c r="H290" s="11" t="s">
        <v>511</v>
      </c>
      <c r="I290" s="11" t="s">
        <v>1154</v>
      </c>
      <c r="J290" s="11" t="s">
        <v>31</v>
      </c>
      <c r="K290" s="11" t="s">
        <v>31</v>
      </c>
      <c r="L290" s="11" t="s">
        <v>517</v>
      </c>
      <c r="M290" s="11" t="s">
        <v>32</v>
      </c>
      <c r="N290" s="11" t="s">
        <v>636</v>
      </c>
      <c r="O290" s="11" t="s">
        <v>312</v>
      </c>
      <c r="P290" s="11" t="s">
        <v>157</v>
      </c>
      <c r="Q290" s="11" t="s">
        <v>604</v>
      </c>
      <c r="R290" s="11" t="s">
        <v>596</v>
      </c>
      <c r="S290" s="11" t="s">
        <v>35</v>
      </c>
      <c r="T290" s="158">
        <v>0.17799999999999999</v>
      </c>
      <c r="U290" s="11" t="s">
        <v>243</v>
      </c>
      <c r="V290" s="174">
        <v>1.09E-2</v>
      </c>
      <c r="W290" s="189">
        <v>4.7379999999999999E-2</v>
      </c>
      <c r="X290" s="4" t="s">
        <v>602</v>
      </c>
      <c r="Y290" s="4" t="s">
        <v>312</v>
      </c>
      <c r="Z290" s="158">
        <v>140000</v>
      </c>
      <c r="AA290" s="158">
        <v>1</v>
      </c>
      <c r="AB290" s="158">
        <v>100.26</v>
      </c>
      <c r="AD290" s="158">
        <v>140.364</v>
      </c>
      <c r="AG290" s="11" t="s">
        <v>37</v>
      </c>
      <c r="AH290" s="189">
        <v>1.83E-4</v>
      </c>
      <c r="AI290" s="189">
        <v>2.3041487548521502E-3</v>
      </c>
      <c r="AJ290" s="189">
        <v>4.4009309726345902E-4</v>
      </c>
    </row>
    <row r="291" spans="1:36">
      <c r="A291" s="11" t="s">
        <v>256</v>
      </c>
      <c r="B291" s="11">
        <v>556</v>
      </c>
      <c r="C291" s="11" t="s">
        <v>2460</v>
      </c>
      <c r="D291" s="11" t="s">
        <v>2461</v>
      </c>
      <c r="E291" s="4" t="s">
        <v>1552</v>
      </c>
      <c r="F291" s="11" t="s">
        <v>2476</v>
      </c>
      <c r="G291" s="11" t="s">
        <v>2477</v>
      </c>
      <c r="H291" s="11" t="s">
        <v>511</v>
      </c>
      <c r="I291" s="11" t="s">
        <v>945</v>
      </c>
      <c r="J291" s="11" t="s">
        <v>31</v>
      </c>
      <c r="K291" s="11" t="s">
        <v>31</v>
      </c>
      <c r="L291" s="11" t="s">
        <v>517</v>
      </c>
      <c r="M291" s="11" t="s">
        <v>32</v>
      </c>
      <c r="N291" s="11" t="s">
        <v>636</v>
      </c>
      <c r="O291" s="11" t="s">
        <v>312</v>
      </c>
      <c r="P291" s="11" t="s">
        <v>157</v>
      </c>
      <c r="Q291" s="11" t="s">
        <v>604</v>
      </c>
      <c r="R291" s="11" t="s">
        <v>596</v>
      </c>
      <c r="S291" s="11" t="s">
        <v>35</v>
      </c>
      <c r="T291" s="158">
        <v>2.4089999999999998</v>
      </c>
      <c r="U291" s="11" t="s">
        <v>2478</v>
      </c>
      <c r="V291" s="174">
        <v>5.0000000000000001E-3</v>
      </c>
      <c r="W291" s="189">
        <v>2.0039999999999999E-2</v>
      </c>
      <c r="X291" s="4" t="s">
        <v>602</v>
      </c>
      <c r="Y291" s="4" t="s">
        <v>312</v>
      </c>
      <c r="Z291" s="158">
        <v>606000</v>
      </c>
      <c r="AA291" s="158">
        <v>1</v>
      </c>
      <c r="AB291" s="158">
        <v>108.28</v>
      </c>
      <c r="AD291" s="158">
        <v>656.17700000000002</v>
      </c>
      <c r="AG291" s="11" t="s">
        <v>37</v>
      </c>
      <c r="AH291" s="189">
        <v>7.94E-4</v>
      </c>
      <c r="AI291" s="189">
        <v>1.0771486682360601E-2</v>
      </c>
      <c r="AJ291" s="189">
        <v>2.0573571589896701E-3</v>
      </c>
    </row>
    <row r="292" spans="1:36">
      <c r="A292" s="11" t="s">
        <v>256</v>
      </c>
      <c r="B292" s="11">
        <v>556</v>
      </c>
      <c r="C292" s="11" t="s">
        <v>2460</v>
      </c>
      <c r="D292" s="11" t="s">
        <v>2461</v>
      </c>
      <c r="E292" s="4" t="s">
        <v>1552</v>
      </c>
      <c r="F292" s="11" t="s">
        <v>2479</v>
      </c>
      <c r="G292" s="11" t="s">
        <v>2480</v>
      </c>
      <c r="H292" s="11" t="s">
        <v>511</v>
      </c>
      <c r="I292" s="11" t="s">
        <v>945</v>
      </c>
      <c r="J292" s="11" t="s">
        <v>31</v>
      </c>
      <c r="K292" s="11" t="s">
        <v>31</v>
      </c>
      <c r="L292" s="11" t="s">
        <v>517</v>
      </c>
      <c r="M292" s="11" t="s">
        <v>32</v>
      </c>
      <c r="N292" s="11" t="s">
        <v>636</v>
      </c>
      <c r="O292" s="11" t="s">
        <v>312</v>
      </c>
      <c r="P292" s="11" t="s">
        <v>157</v>
      </c>
      <c r="Q292" s="11" t="s">
        <v>604</v>
      </c>
      <c r="R292" s="11" t="s">
        <v>596</v>
      </c>
      <c r="S292" s="11" t="s">
        <v>35</v>
      </c>
      <c r="T292" s="158">
        <v>0.66600000000000004</v>
      </c>
      <c r="U292" s="11" t="s">
        <v>2481</v>
      </c>
      <c r="V292" s="174">
        <v>9.4999999999999998E-3</v>
      </c>
      <c r="W292" s="189">
        <v>2.8910000000000002E-2</v>
      </c>
      <c r="X292" s="4" t="s">
        <v>602</v>
      </c>
      <c r="Y292" s="4" t="s">
        <v>312</v>
      </c>
      <c r="Z292" s="158">
        <v>268000.34000000003</v>
      </c>
      <c r="AA292" s="158">
        <v>1</v>
      </c>
      <c r="AB292" s="158">
        <v>113.35</v>
      </c>
      <c r="AD292" s="158">
        <v>303.77800000000002</v>
      </c>
      <c r="AG292" s="11" t="s">
        <v>37</v>
      </c>
      <c r="AH292" s="189">
        <v>1.668E-3</v>
      </c>
      <c r="AI292" s="189">
        <v>4.9866816879496597E-3</v>
      </c>
      <c r="AJ292" s="189">
        <v>9.5245768507578698E-4</v>
      </c>
    </row>
    <row r="293" spans="1:36">
      <c r="A293" s="11" t="s">
        <v>256</v>
      </c>
      <c r="B293" s="11">
        <v>556</v>
      </c>
      <c r="C293" s="11" t="s">
        <v>2460</v>
      </c>
      <c r="D293" s="11" t="s">
        <v>2461</v>
      </c>
      <c r="E293" s="4" t="s">
        <v>1552</v>
      </c>
      <c r="F293" s="11" t="s">
        <v>2482</v>
      </c>
      <c r="G293" s="11" t="s">
        <v>2483</v>
      </c>
      <c r="H293" s="11" t="s">
        <v>511</v>
      </c>
      <c r="I293" s="11" t="s">
        <v>1154</v>
      </c>
      <c r="J293" s="11" t="s">
        <v>31</v>
      </c>
      <c r="K293" s="11" t="s">
        <v>31</v>
      </c>
      <c r="L293" s="11" t="s">
        <v>517</v>
      </c>
      <c r="M293" s="11" t="s">
        <v>32</v>
      </c>
      <c r="N293" s="11" t="s">
        <v>636</v>
      </c>
      <c r="O293" s="11" t="s">
        <v>312</v>
      </c>
      <c r="P293" s="11" t="s">
        <v>157</v>
      </c>
      <c r="Q293" s="11" t="s">
        <v>604</v>
      </c>
      <c r="R293" s="11" t="s">
        <v>596</v>
      </c>
      <c r="S293" s="11" t="s">
        <v>35</v>
      </c>
      <c r="T293" s="158">
        <v>0.93400000000000005</v>
      </c>
      <c r="U293" s="11" t="s">
        <v>2484</v>
      </c>
      <c r="V293" s="174">
        <v>2.98E-2</v>
      </c>
      <c r="W293" s="189">
        <v>4.4900000000000002E-2</v>
      </c>
      <c r="X293" s="4" t="s">
        <v>602</v>
      </c>
      <c r="Y293" s="4" t="s">
        <v>312</v>
      </c>
      <c r="Z293" s="158">
        <v>359000</v>
      </c>
      <c r="AA293" s="158">
        <v>1</v>
      </c>
      <c r="AB293" s="158">
        <v>98.82</v>
      </c>
      <c r="AD293" s="158">
        <v>354.76400000000001</v>
      </c>
      <c r="AG293" s="11" t="s">
        <v>37</v>
      </c>
      <c r="AH293" s="189">
        <v>1.4100000000000001E-4</v>
      </c>
      <c r="AI293" s="189">
        <v>5.8236340374784E-3</v>
      </c>
      <c r="AJ293" s="189">
        <v>1.1123158326846901E-3</v>
      </c>
    </row>
    <row r="294" spans="1:36">
      <c r="A294" s="11" t="s">
        <v>256</v>
      </c>
      <c r="B294" s="11">
        <v>556</v>
      </c>
      <c r="C294" s="11" t="s">
        <v>2460</v>
      </c>
      <c r="D294" s="11" t="s">
        <v>2461</v>
      </c>
      <c r="E294" s="4" t="s">
        <v>1552</v>
      </c>
      <c r="F294" s="11" t="s">
        <v>2485</v>
      </c>
      <c r="G294" s="11" t="s">
        <v>2486</v>
      </c>
      <c r="H294" s="11" t="s">
        <v>511</v>
      </c>
      <c r="I294" s="11" t="s">
        <v>945</v>
      </c>
      <c r="J294" s="11" t="s">
        <v>31</v>
      </c>
      <c r="K294" s="11" t="s">
        <v>31</v>
      </c>
      <c r="L294" s="11" t="s">
        <v>517</v>
      </c>
      <c r="M294" s="11" t="s">
        <v>32</v>
      </c>
      <c r="N294" s="11" t="s">
        <v>636</v>
      </c>
      <c r="O294" s="11" t="s">
        <v>312</v>
      </c>
      <c r="P294" s="11" t="s">
        <v>157</v>
      </c>
      <c r="Q294" s="11" t="s">
        <v>604</v>
      </c>
      <c r="R294" s="11" t="s">
        <v>596</v>
      </c>
      <c r="S294" s="11" t="s">
        <v>35</v>
      </c>
      <c r="T294" s="158">
        <v>3.73</v>
      </c>
      <c r="U294" s="11" t="s">
        <v>2487</v>
      </c>
      <c r="V294" s="174">
        <v>1.6400000000000001E-2</v>
      </c>
      <c r="W294" s="189">
        <v>2.4680000000000001E-2</v>
      </c>
      <c r="X294" s="4" t="s">
        <v>602</v>
      </c>
      <c r="Y294" s="4" t="s">
        <v>312</v>
      </c>
      <c r="Z294" s="158">
        <v>135112.79999999999</v>
      </c>
      <c r="AA294" s="158">
        <v>1</v>
      </c>
      <c r="AB294" s="158">
        <v>102.97</v>
      </c>
      <c r="AD294" s="158">
        <v>139.126</v>
      </c>
      <c r="AG294" s="11" t="s">
        <v>37</v>
      </c>
      <c r="AH294" s="189">
        <v>1.26E-4</v>
      </c>
      <c r="AI294" s="189">
        <v>2.28382059206178E-3</v>
      </c>
      <c r="AJ294" s="189">
        <v>4.3621041212637803E-4</v>
      </c>
    </row>
    <row r="295" spans="1:36">
      <c r="A295" s="11" t="s">
        <v>256</v>
      </c>
      <c r="B295" s="11">
        <v>556</v>
      </c>
      <c r="C295" s="11" t="s">
        <v>2460</v>
      </c>
      <c r="D295" s="11" t="s">
        <v>2461</v>
      </c>
      <c r="E295" s="4" t="s">
        <v>1552</v>
      </c>
      <c r="F295" s="11" t="s">
        <v>2488</v>
      </c>
      <c r="G295" s="11" t="s">
        <v>2489</v>
      </c>
      <c r="H295" s="11" t="s">
        <v>511</v>
      </c>
      <c r="I295" s="11" t="s">
        <v>945</v>
      </c>
      <c r="J295" s="11" t="s">
        <v>31</v>
      </c>
      <c r="K295" s="11" t="s">
        <v>31</v>
      </c>
      <c r="L295" s="11" t="s">
        <v>517</v>
      </c>
      <c r="M295" s="11" t="s">
        <v>32</v>
      </c>
      <c r="N295" s="11" t="s">
        <v>636</v>
      </c>
      <c r="O295" s="11" t="s">
        <v>312</v>
      </c>
      <c r="P295" s="11" t="s">
        <v>157</v>
      </c>
      <c r="Q295" s="11" t="s">
        <v>604</v>
      </c>
      <c r="R295" s="11" t="s">
        <v>596</v>
      </c>
      <c r="S295" s="11" t="s">
        <v>35</v>
      </c>
      <c r="T295" s="158">
        <v>0.24399999999999999</v>
      </c>
      <c r="U295" s="11" t="s">
        <v>2490</v>
      </c>
      <c r="V295" s="174">
        <v>8.6E-3</v>
      </c>
      <c r="W295" s="189">
        <v>2.4969999999999999E-2</v>
      </c>
      <c r="X295" s="4" t="s">
        <v>602</v>
      </c>
      <c r="Y295" s="4" t="s">
        <v>312</v>
      </c>
      <c r="Z295" s="158">
        <v>1288000</v>
      </c>
      <c r="AA295" s="158">
        <v>1</v>
      </c>
      <c r="AB295" s="158">
        <v>114.94</v>
      </c>
      <c r="AD295" s="158">
        <v>1480.4269999999999</v>
      </c>
      <c r="AG295" s="11" t="s">
        <v>37</v>
      </c>
      <c r="AH295" s="189">
        <v>5.1500000000000005E-4</v>
      </c>
      <c r="AI295" s="189">
        <v>2.43019897518542E-2</v>
      </c>
      <c r="AJ295" s="189">
        <v>4.6416872682530398E-3</v>
      </c>
    </row>
    <row r="296" spans="1:36">
      <c r="A296" s="11" t="s">
        <v>256</v>
      </c>
      <c r="B296" s="11">
        <v>556</v>
      </c>
      <c r="C296" s="11" t="s">
        <v>2460</v>
      </c>
      <c r="D296" s="11" t="s">
        <v>2461</v>
      </c>
      <c r="E296" s="4" t="s">
        <v>1552</v>
      </c>
      <c r="F296" s="11" t="s">
        <v>2491</v>
      </c>
      <c r="G296" s="11" t="s">
        <v>2492</v>
      </c>
      <c r="H296" s="11" t="s">
        <v>511</v>
      </c>
      <c r="I296" s="11" t="s">
        <v>945</v>
      </c>
      <c r="J296" s="11" t="s">
        <v>31</v>
      </c>
      <c r="K296" s="11" t="s">
        <v>31</v>
      </c>
      <c r="L296" s="11" t="s">
        <v>517</v>
      </c>
      <c r="M296" s="11" t="s">
        <v>32</v>
      </c>
      <c r="N296" s="11" t="s">
        <v>636</v>
      </c>
      <c r="O296" s="11" t="s">
        <v>312</v>
      </c>
      <c r="P296" s="11" t="s">
        <v>157</v>
      </c>
      <c r="Q296" s="11" t="s">
        <v>604</v>
      </c>
      <c r="R296" s="11" t="s">
        <v>596</v>
      </c>
      <c r="S296" s="11" t="s">
        <v>35</v>
      </c>
      <c r="T296" s="158">
        <v>1.9710000000000001</v>
      </c>
      <c r="U296" s="11" t="s">
        <v>2493</v>
      </c>
      <c r="V296" s="174">
        <v>3.8E-3</v>
      </c>
      <c r="W296" s="189">
        <v>2.087E-2</v>
      </c>
      <c r="X296" s="4" t="s">
        <v>602</v>
      </c>
      <c r="Y296" s="4" t="s">
        <v>312</v>
      </c>
      <c r="Z296" s="158">
        <v>818000</v>
      </c>
      <c r="AA296" s="158">
        <v>1</v>
      </c>
      <c r="AB296" s="158">
        <v>107.97</v>
      </c>
      <c r="AD296" s="158">
        <v>883.19500000000005</v>
      </c>
      <c r="AG296" s="11" t="s">
        <v>37</v>
      </c>
      <c r="AH296" s="189">
        <v>2.7300000000000002E-4</v>
      </c>
      <c r="AI296" s="189">
        <v>1.44981030597742E-2</v>
      </c>
      <c r="AJ296" s="189">
        <v>2.7691419951010399E-3</v>
      </c>
    </row>
    <row r="297" spans="1:36">
      <c r="A297" s="11" t="s">
        <v>256</v>
      </c>
      <c r="B297" s="11">
        <v>556</v>
      </c>
      <c r="C297" s="11" t="s">
        <v>2460</v>
      </c>
      <c r="D297" s="11" t="s">
        <v>2461</v>
      </c>
      <c r="E297" s="4" t="s">
        <v>1552</v>
      </c>
      <c r="F297" s="11" t="s">
        <v>2494</v>
      </c>
      <c r="G297" s="11" t="s">
        <v>2495</v>
      </c>
      <c r="H297" s="11" t="s">
        <v>511</v>
      </c>
      <c r="I297" s="11" t="s">
        <v>945</v>
      </c>
      <c r="J297" s="11" t="s">
        <v>31</v>
      </c>
      <c r="K297" s="11" t="s">
        <v>31</v>
      </c>
      <c r="L297" s="11" t="s">
        <v>517</v>
      </c>
      <c r="M297" s="11" t="s">
        <v>32</v>
      </c>
      <c r="N297" s="11" t="s">
        <v>636</v>
      </c>
      <c r="O297" s="11" t="s">
        <v>312</v>
      </c>
      <c r="P297" s="11" t="s">
        <v>157</v>
      </c>
      <c r="Q297" s="11" t="s">
        <v>604</v>
      </c>
      <c r="R297" s="11" t="s">
        <v>596</v>
      </c>
      <c r="S297" s="11" t="s">
        <v>35</v>
      </c>
      <c r="T297" s="158">
        <v>3.6779999999999999</v>
      </c>
      <c r="U297" s="11" t="s">
        <v>2496</v>
      </c>
      <c r="V297" s="174">
        <v>1E-3</v>
      </c>
      <c r="W297" s="189">
        <v>2.5350000000000001E-2</v>
      </c>
      <c r="X297" s="4" t="s">
        <v>602</v>
      </c>
      <c r="Y297" s="4" t="s">
        <v>312</v>
      </c>
      <c r="Z297" s="158">
        <v>514255.93</v>
      </c>
      <c r="AA297" s="158">
        <v>1</v>
      </c>
      <c r="AB297" s="158">
        <v>100.22</v>
      </c>
      <c r="AD297" s="158">
        <v>515.38699999999994</v>
      </c>
      <c r="AG297" s="11" t="s">
        <v>37</v>
      </c>
      <c r="AH297" s="189">
        <v>1.9799999999999999E-4</v>
      </c>
      <c r="AI297" s="189">
        <v>8.4603530074560604E-3</v>
      </c>
      <c r="AJ297" s="189">
        <v>1.6159299399193801E-3</v>
      </c>
    </row>
    <row r="298" spans="1:36">
      <c r="A298" s="11" t="s">
        <v>256</v>
      </c>
      <c r="B298" s="11">
        <v>556</v>
      </c>
      <c r="C298" s="11" t="s">
        <v>2873</v>
      </c>
      <c r="D298" s="11" t="s">
        <v>2874</v>
      </c>
      <c r="E298" s="4" t="s">
        <v>1552</v>
      </c>
      <c r="F298" s="11" t="s">
        <v>2875</v>
      </c>
      <c r="G298" s="11" t="s">
        <v>2876</v>
      </c>
      <c r="H298" s="11" t="s">
        <v>511</v>
      </c>
      <c r="I298" s="11" t="s">
        <v>945</v>
      </c>
      <c r="J298" s="11" t="s">
        <v>31</v>
      </c>
      <c r="K298" s="11" t="s">
        <v>31</v>
      </c>
      <c r="L298" s="11" t="s">
        <v>517</v>
      </c>
      <c r="M298" s="11" t="s">
        <v>32</v>
      </c>
      <c r="N298" s="11" t="s">
        <v>667</v>
      </c>
      <c r="O298" s="11" t="s">
        <v>312</v>
      </c>
      <c r="P298" s="11" t="s">
        <v>168</v>
      </c>
      <c r="Q298" s="11" t="s">
        <v>604</v>
      </c>
      <c r="R298" s="11" t="s">
        <v>596</v>
      </c>
      <c r="S298" s="11" t="s">
        <v>35</v>
      </c>
      <c r="T298" s="158">
        <v>0.93100000000000005</v>
      </c>
      <c r="U298" s="11" t="s">
        <v>2877</v>
      </c>
      <c r="V298" s="174">
        <v>3.95E-2</v>
      </c>
      <c r="W298" s="189">
        <v>2.2610000000000002E-2</v>
      </c>
      <c r="X298" s="4" t="s">
        <v>602</v>
      </c>
      <c r="Y298" s="4" t="s">
        <v>312</v>
      </c>
      <c r="Z298" s="158">
        <v>56666.63</v>
      </c>
      <c r="AA298" s="158">
        <v>1</v>
      </c>
      <c r="AB298" s="158">
        <v>122.17</v>
      </c>
      <c r="AD298" s="158">
        <v>69.23</v>
      </c>
      <c r="AG298" s="11" t="s">
        <v>37</v>
      </c>
      <c r="AH298" s="189">
        <v>3.48E-4</v>
      </c>
      <c r="AI298" s="189">
        <v>1.13644059041456E-3</v>
      </c>
      <c r="AJ298" s="189">
        <v>2.17060490664177E-4</v>
      </c>
    </row>
    <row r="299" spans="1:36">
      <c r="A299" s="11" t="s">
        <v>256</v>
      </c>
      <c r="B299" s="11">
        <v>556</v>
      </c>
      <c r="C299" s="11" t="s">
        <v>2497</v>
      </c>
      <c r="D299" s="11" t="s">
        <v>2498</v>
      </c>
      <c r="E299" s="4" t="s">
        <v>1552</v>
      </c>
      <c r="F299" s="11" t="s">
        <v>2499</v>
      </c>
      <c r="G299" s="11" t="s">
        <v>2500</v>
      </c>
      <c r="H299" s="11" t="s">
        <v>511</v>
      </c>
      <c r="I299" s="11" t="s">
        <v>945</v>
      </c>
      <c r="J299" s="11" t="s">
        <v>31</v>
      </c>
      <c r="K299" s="11" t="s">
        <v>31</v>
      </c>
      <c r="L299" s="11" t="s">
        <v>517</v>
      </c>
      <c r="M299" s="11" t="s">
        <v>32</v>
      </c>
      <c r="N299" s="11" t="s">
        <v>631</v>
      </c>
      <c r="O299" s="11" t="s">
        <v>312</v>
      </c>
      <c r="P299" s="11" t="s">
        <v>168</v>
      </c>
      <c r="Q299" s="11" t="s">
        <v>604</v>
      </c>
      <c r="R299" s="11" t="s">
        <v>596</v>
      </c>
      <c r="S299" s="11" t="s">
        <v>35</v>
      </c>
      <c r="T299" s="158">
        <v>1.0389999999999999</v>
      </c>
      <c r="U299" s="11" t="s">
        <v>2317</v>
      </c>
      <c r="V299" s="174">
        <v>1.8499999999999999E-2</v>
      </c>
      <c r="W299" s="189">
        <v>2.92E-2</v>
      </c>
      <c r="X299" s="4" t="s">
        <v>602</v>
      </c>
      <c r="Y299" s="4" t="s">
        <v>312</v>
      </c>
      <c r="Z299" s="158">
        <v>186375</v>
      </c>
      <c r="AA299" s="158">
        <v>1</v>
      </c>
      <c r="AB299" s="158">
        <v>112.32</v>
      </c>
      <c r="AD299" s="158">
        <v>209.33600000000001</v>
      </c>
      <c r="AG299" s="11" t="s">
        <v>37</v>
      </c>
      <c r="AH299" s="189">
        <v>3.8900000000000002E-4</v>
      </c>
      <c r="AI299" s="189">
        <v>3.43636691320589E-3</v>
      </c>
      <c r="AJ299" s="189">
        <v>6.5634710214857405E-4</v>
      </c>
    </row>
    <row r="300" spans="1:36">
      <c r="A300" s="11" t="s">
        <v>256</v>
      </c>
      <c r="B300" s="11">
        <v>556</v>
      </c>
      <c r="C300" s="11" t="s">
        <v>2497</v>
      </c>
      <c r="D300" s="11" t="s">
        <v>2498</v>
      </c>
      <c r="E300" s="4" t="s">
        <v>1552</v>
      </c>
      <c r="F300" s="11" t="s">
        <v>2501</v>
      </c>
      <c r="G300" s="11" t="s">
        <v>2502</v>
      </c>
      <c r="H300" s="11" t="s">
        <v>511</v>
      </c>
      <c r="I300" s="11" t="s">
        <v>945</v>
      </c>
      <c r="J300" s="11" t="s">
        <v>31</v>
      </c>
      <c r="K300" s="11" t="s">
        <v>31</v>
      </c>
      <c r="L300" s="11" t="s">
        <v>517</v>
      </c>
      <c r="M300" s="11" t="s">
        <v>32</v>
      </c>
      <c r="N300" s="11" t="s">
        <v>631</v>
      </c>
      <c r="O300" s="11" t="s">
        <v>312</v>
      </c>
      <c r="P300" s="11" t="s">
        <v>168</v>
      </c>
      <c r="Q300" s="11" t="s">
        <v>604</v>
      </c>
      <c r="R300" s="11" t="s">
        <v>596</v>
      </c>
      <c r="S300" s="11" t="s">
        <v>35</v>
      </c>
      <c r="T300" s="158">
        <v>0.64900000000000002</v>
      </c>
      <c r="U300" s="11" t="s">
        <v>2503</v>
      </c>
      <c r="V300" s="174">
        <v>0.01</v>
      </c>
      <c r="W300" s="189">
        <v>3.1940000000000003E-2</v>
      </c>
      <c r="X300" s="4" t="s">
        <v>602</v>
      </c>
      <c r="Y300" s="4" t="s">
        <v>312</v>
      </c>
      <c r="Z300" s="158">
        <v>136176.47</v>
      </c>
      <c r="AA300" s="158">
        <v>1</v>
      </c>
      <c r="AB300" s="158">
        <v>111.26</v>
      </c>
      <c r="AD300" s="158">
        <v>151.51</v>
      </c>
      <c r="AG300" s="11" t="s">
        <v>37</v>
      </c>
      <c r="AH300" s="189">
        <v>3.1E-4</v>
      </c>
      <c r="AI300" s="189">
        <v>2.4871152204375001E-3</v>
      </c>
      <c r="AJ300" s="189">
        <v>4.75039746591216E-4</v>
      </c>
    </row>
    <row r="301" spans="1:36">
      <c r="A301" s="11" t="s">
        <v>256</v>
      </c>
      <c r="B301" s="11">
        <v>556</v>
      </c>
      <c r="C301" s="11" t="s">
        <v>1852</v>
      </c>
      <c r="D301" s="11" t="s">
        <v>1853</v>
      </c>
      <c r="E301" s="4" t="s">
        <v>1552</v>
      </c>
      <c r="F301" s="11" t="s">
        <v>2504</v>
      </c>
      <c r="G301" s="11" t="s">
        <v>2505</v>
      </c>
      <c r="H301" s="11" t="s">
        <v>511</v>
      </c>
      <c r="I301" s="11" t="s">
        <v>945</v>
      </c>
      <c r="J301" s="11" t="s">
        <v>31</v>
      </c>
      <c r="K301" s="11" t="s">
        <v>31</v>
      </c>
      <c r="L301" s="11" t="s">
        <v>517</v>
      </c>
      <c r="M301" s="11" t="s">
        <v>32</v>
      </c>
      <c r="N301" s="11" t="s">
        <v>652</v>
      </c>
      <c r="O301" s="11" t="s">
        <v>312</v>
      </c>
      <c r="P301" s="11" t="s">
        <v>2169</v>
      </c>
      <c r="Q301" s="11" t="s">
        <v>358</v>
      </c>
      <c r="R301" s="11" t="s">
        <v>596</v>
      </c>
      <c r="S301" s="11" t="s">
        <v>35</v>
      </c>
      <c r="T301" s="158">
        <v>4.59</v>
      </c>
      <c r="U301" s="11" t="s">
        <v>2170</v>
      </c>
      <c r="V301" s="174">
        <v>1.43E-2</v>
      </c>
      <c r="W301" s="189">
        <v>3.1870000000000002E-2</v>
      </c>
      <c r="X301" s="4" t="s">
        <v>602</v>
      </c>
      <c r="Y301" s="4" t="s">
        <v>312</v>
      </c>
      <c r="Z301" s="158">
        <v>213361.94</v>
      </c>
      <c r="AA301" s="158">
        <v>1</v>
      </c>
      <c r="AB301" s="158">
        <v>104.95</v>
      </c>
      <c r="AC301" s="158">
        <v>4.3840000000000003</v>
      </c>
      <c r="AD301" s="158">
        <v>228.30699999999999</v>
      </c>
      <c r="AG301" s="11" t="s">
        <v>37</v>
      </c>
      <c r="AH301" s="189">
        <v>1.8799999999999999E-4</v>
      </c>
      <c r="AI301" s="189">
        <v>3.7477815052818801E-3</v>
      </c>
      <c r="AJ301" s="189">
        <v>7.1582738182719599E-4</v>
      </c>
    </row>
    <row r="302" spans="1:36">
      <c r="A302" s="11" t="s">
        <v>256</v>
      </c>
      <c r="B302" s="11">
        <v>556</v>
      </c>
      <c r="C302" s="11" t="s">
        <v>1852</v>
      </c>
      <c r="D302" s="11" t="s">
        <v>1853</v>
      </c>
      <c r="E302" s="4" t="s">
        <v>1552</v>
      </c>
      <c r="F302" s="11" t="s">
        <v>2506</v>
      </c>
      <c r="G302" s="11" t="s">
        <v>2507</v>
      </c>
      <c r="H302" s="11" t="s">
        <v>511</v>
      </c>
      <c r="I302" s="11" t="s">
        <v>945</v>
      </c>
      <c r="J302" s="11" t="s">
        <v>31</v>
      </c>
      <c r="K302" s="11" t="s">
        <v>31</v>
      </c>
      <c r="L302" s="11" t="s">
        <v>517</v>
      </c>
      <c r="M302" s="11" t="s">
        <v>32</v>
      </c>
      <c r="N302" s="11" t="s">
        <v>652</v>
      </c>
      <c r="O302" s="11" t="s">
        <v>312</v>
      </c>
      <c r="P302" s="11" t="s">
        <v>2169</v>
      </c>
      <c r="Q302" s="11" t="s">
        <v>358</v>
      </c>
      <c r="R302" s="11" t="s">
        <v>596</v>
      </c>
      <c r="S302" s="11" t="s">
        <v>35</v>
      </c>
      <c r="T302" s="158">
        <v>1.012</v>
      </c>
      <c r="U302" s="11" t="s">
        <v>2508</v>
      </c>
      <c r="V302" s="174">
        <v>1.7600000000000001E-2</v>
      </c>
      <c r="W302" s="189">
        <v>2.5399999999999999E-2</v>
      </c>
      <c r="X302" s="4" t="s">
        <v>602</v>
      </c>
      <c r="Y302" s="4" t="s">
        <v>312</v>
      </c>
      <c r="Z302" s="158">
        <v>389937.33</v>
      </c>
      <c r="AA302" s="158">
        <v>1</v>
      </c>
      <c r="AB302" s="158">
        <v>114.44</v>
      </c>
      <c r="AC302" s="158">
        <v>9.4930000000000003</v>
      </c>
      <c r="AD302" s="158">
        <v>455.73700000000002</v>
      </c>
      <c r="AG302" s="11" t="s">
        <v>37</v>
      </c>
      <c r="AH302" s="189">
        <v>5.0100000000000003E-4</v>
      </c>
      <c r="AI302" s="189">
        <v>7.4811644347008901E-3</v>
      </c>
      <c r="AJ302" s="189">
        <v>1.4289046313834899E-3</v>
      </c>
    </row>
    <row r="303" spans="1:36">
      <c r="A303" s="11" t="s">
        <v>256</v>
      </c>
      <c r="B303" s="11">
        <v>556</v>
      </c>
      <c r="C303" s="11" t="s">
        <v>1852</v>
      </c>
      <c r="D303" s="11" t="s">
        <v>1853</v>
      </c>
      <c r="E303" s="4" t="s">
        <v>1552</v>
      </c>
      <c r="F303" s="11" t="s">
        <v>2509</v>
      </c>
      <c r="G303" s="11" t="s">
        <v>2510</v>
      </c>
      <c r="H303" s="11" t="s">
        <v>511</v>
      </c>
      <c r="I303" s="11" t="s">
        <v>945</v>
      </c>
      <c r="J303" s="11" t="s">
        <v>31</v>
      </c>
      <c r="K303" s="11" t="s">
        <v>31</v>
      </c>
      <c r="L303" s="11" t="s">
        <v>517</v>
      </c>
      <c r="M303" s="11" t="s">
        <v>32</v>
      </c>
      <c r="N303" s="11" t="s">
        <v>652</v>
      </c>
      <c r="O303" s="11" t="s">
        <v>312</v>
      </c>
      <c r="P303" s="11" t="s">
        <v>2169</v>
      </c>
      <c r="Q303" s="11" t="s">
        <v>358</v>
      </c>
      <c r="R303" s="11" t="s">
        <v>596</v>
      </c>
      <c r="S303" s="11" t="s">
        <v>35</v>
      </c>
      <c r="T303" s="158">
        <v>1.752</v>
      </c>
      <c r="U303" s="11" t="s">
        <v>2511</v>
      </c>
      <c r="V303" s="174">
        <v>2.1499999999999998E-2</v>
      </c>
      <c r="W303" s="189">
        <v>2.5180000000000001E-2</v>
      </c>
      <c r="X303" s="4" t="s">
        <v>602</v>
      </c>
      <c r="Y303" s="4" t="s">
        <v>312</v>
      </c>
      <c r="Z303" s="158">
        <v>266823.81</v>
      </c>
      <c r="AA303" s="158">
        <v>1</v>
      </c>
      <c r="AB303" s="158">
        <v>115.16</v>
      </c>
      <c r="AD303" s="158">
        <v>307.274</v>
      </c>
      <c r="AG303" s="11" t="s">
        <v>37</v>
      </c>
      <c r="AH303" s="189">
        <v>2.24E-4</v>
      </c>
      <c r="AI303" s="189">
        <v>5.04406895508956E-3</v>
      </c>
      <c r="AJ303" s="189">
        <v>9.6341867016231904E-4</v>
      </c>
    </row>
    <row r="304" spans="1:36">
      <c r="A304" s="11" t="s">
        <v>256</v>
      </c>
      <c r="B304" s="11">
        <v>556</v>
      </c>
      <c r="C304" s="11" t="s">
        <v>1852</v>
      </c>
      <c r="D304" s="11" t="s">
        <v>1853</v>
      </c>
      <c r="E304" s="4" t="s">
        <v>1552</v>
      </c>
      <c r="F304" s="11" t="s">
        <v>2512</v>
      </c>
      <c r="G304" s="11" t="s">
        <v>2513</v>
      </c>
      <c r="H304" s="11" t="s">
        <v>511</v>
      </c>
      <c r="I304" s="11" t="s">
        <v>945</v>
      </c>
      <c r="J304" s="11" t="s">
        <v>31</v>
      </c>
      <c r="K304" s="11" t="s">
        <v>31</v>
      </c>
      <c r="L304" s="11" t="s">
        <v>517</v>
      </c>
      <c r="M304" s="11" t="s">
        <v>32</v>
      </c>
      <c r="N304" s="11" t="s">
        <v>652</v>
      </c>
      <c r="O304" s="11" t="s">
        <v>312</v>
      </c>
      <c r="P304" s="11" t="s">
        <v>2169</v>
      </c>
      <c r="Q304" s="11" t="s">
        <v>358</v>
      </c>
      <c r="R304" s="11" t="s">
        <v>596</v>
      </c>
      <c r="S304" s="11" t="s">
        <v>35</v>
      </c>
      <c r="T304" s="158">
        <v>2.577</v>
      </c>
      <c r="U304" s="11" t="s">
        <v>2256</v>
      </c>
      <c r="V304" s="174">
        <v>2.35E-2</v>
      </c>
      <c r="W304" s="189">
        <v>2.5690000000000001E-2</v>
      </c>
      <c r="X304" s="4" t="s">
        <v>602</v>
      </c>
      <c r="Y304" s="4" t="s">
        <v>312</v>
      </c>
      <c r="Z304" s="158">
        <v>325000.88</v>
      </c>
      <c r="AA304" s="158">
        <v>1</v>
      </c>
      <c r="AB304" s="158">
        <v>114.98</v>
      </c>
      <c r="AD304" s="158">
        <v>373.68599999999998</v>
      </c>
      <c r="AG304" s="11" t="s">
        <v>37</v>
      </c>
      <c r="AH304" s="189">
        <v>3.4600000000000001E-4</v>
      </c>
      <c r="AI304" s="189">
        <v>6.1342520792363898E-3</v>
      </c>
      <c r="AJ304" s="189">
        <v>1.17164397101574E-3</v>
      </c>
    </row>
    <row r="305" spans="1:36">
      <c r="A305" s="11" t="s">
        <v>256</v>
      </c>
      <c r="B305" s="11">
        <v>556</v>
      </c>
      <c r="C305" s="11" t="s">
        <v>2514</v>
      </c>
      <c r="D305" s="11" t="s">
        <v>2515</v>
      </c>
      <c r="E305" s="4" t="s">
        <v>1552</v>
      </c>
      <c r="F305" s="11" t="s">
        <v>2516</v>
      </c>
      <c r="G305" s="11" t="s">
        <v>2517</v>
      </c>
      <c r="H305" s="11" t="s">
        <v>511</v>
      </c>
      <c r="I305" s="11" t="s">
        <v>1154</v>
      </c>
      <c r="J305" s="11" t="s">
        <v>31</v>
      </c>
      <c r="K305" s="11" t="s">
        <v>31</v>
      </c>
      <c r="L305" s="11" t="s">
        <v>517</v>
      </c>
      <c r="M305" s="11" t="s">
        <v>32</v>
      </c>
      <c r="N305" s="11" t="s">
        <v>666</v>
      </c>
      <c r="O305" s="11" t="s">
        <v>312</v>
      </c>
      <c r="P305" s="11" t="s">
        <v>2161</v>
      </c>
      <c r="Q305" s="11" t="s">
        <v>358</v>
      </c>
      <c r="R305" s="11" t="s">
        <v>596</v>
      </c>
      <c r="S305" s="11" t="s">
        <v>35</v>
      </c>
      <c r="T305" s="158">
        <v>0.499</v>
      </c>
      <c r="U305" s="11" t="s">
        <v>2162</v>
      </c>
      <c r="V305" s="174">
        <v>2.9499999999999998E-2</v>
      </c>
      <c r="W305" s="189">
        <v>5.7180000000000002E-2</v>
      </c>
      <c r="X305" s="4" t="s">
        <v>602</v>
      </c>
      <c r="Y305" s="4" t="s">
        <v>312</v>
      </c>
      <c r="Z305" s="158">
        <v>33125.03</v>
      </c>
      <c r="AA305" s="158">
        <v>1</v>
      </c>
      <c r="AB305" s="158">
        <v>98.7</v>
      </c>
      <c r="AD305" s="158">
        <v>32.694000000000003</v>
      </c>
      <c r="AG305" s="11" t="s">
        <v>37</v>
      </c>
      <c r="AH305" s="189">
        <v>1.853E-3</v>
      </c>
      <c r="AI305" s="189">
        <v>5.3669581710954302E-4</v>
      </c>
      <c r="AJ305" s="189">
        <v>1.0250906064232701E-4</v>
      </c>
    </row>
    <row r="306" spans="1:36">
      <c r="A306" s="11" t="s">
        <v>256</v>
      </c>
      <c r="B306" s="11">
        <v>556</v>
      </c>
      <c r="C306" s="11" t="s">
        <v>1860</v>
      </c>
      <c r="D306" s="11" t="s">
        <v>1861</v>
      </c>
      <c r="E306" s="4" t="s">
        <v>1552</v>
      </c>
      <c r="F306" s="11" t="s">
        <v>2518</v>
      </c>
      <c r="G306" s="11" t="s">
        <v>2519</v>
      </c>
      <c r="H306" s="11" t="s">
        <v>511</v>
      </c>
      <c r="I306" s="11" t="s">
        <v>945</v>
      </c>
      <c r="J306" s="11" t="s">
        <v>31</v>
      </c>
      <c r="K306" s="11" t="s">
        <v>31</v>
      </c>
      <c r="L306" s="11" t="s">
        <v>517</v>
      </c>
      <c r="M306" s="11" t="s">
        <v>32</v>
      </c>
      <c r="N306" s="11" t="s">
        <v>652</v>
      </c>
      <c r="O306" s="11" t="s">
        <v>312</v>
      </c>
      <c r="P306" s="11" t="s">
        <v>2418</v>
      </c>
      <c r="Q306" s="11" t="s">
        <v>604</v>
      </c>
      <c r="R306" s="11" t="s">
        <v>596</v>
      </c>
      <c r="S306" s="11" t="s">
        <v>35</v>
      </c>
      <c r="T306" s="158">
        <v>3.0230000000000001</v>
      </c>
      <c r="U306" s="11" t="s">
        <v>2441</v>
      </c>
      <c r="V306" s="174">
        <v>2.75E-2</v>
      </c>
      <c r="W306" s="189">
        <v>3.124E-2</v>
      </c>
      <c r="X306" s="4" t="s">
        <v>602</v>
      </c>
      <c r="Y306" s="4" t="s">
        <v>312</v>
      </c>
      <c r="Z306" s="158">
        <v>539000.39</v>
      </c>
      <c r="AA306" s="158">
        <v>1</v>
      </c>
      <c r="AB306" s="158">
        <v>111.38</v>
      </c>
      <c r="AD306" s="158">
        <v>600.33900000000006</v>
      </c>
      <c r="AG306" s="11" t="s">
        <v>37</v>
      </c>
      <c r="AH306" s="189">
        <v>9.9599999999999992E-4</v>
      </c>
      <c r="AI306" s="189">
        <v>9.8548738772115795E-3</v>
      </c>
      <c r="AJ306" s="189">
        <v>1.88228384067204E-3</v>
      </c>
    </row>
    <row r="307" spans="1:36">
      <c r="A307" s="11" t="s">
        <v>256</v>
      </c>
      <c r="B307" s="11">
        <v>556</v>
      </c>
      <c r="C307" s="11" t="s">
        <v>1860</v>
      </c>
      <c r="D307" s="11" t="s">
        <v>1861</v>
      </c>
      <c r="E307" s="4" t="s">
        <v>1552</v>
      </c>
      <c r="F307" s="11" t="s">
        <v>2520</v>
      </c>
      <c r="G307" s="11" t="s">
        <v>2521</v>
      </c>
      <c r="H307" s="11" t="s">
        <v>511</v>
      </c>
      <c r="I307" s="11" t="s">
        <v>945</v>
      </c>
      <c r="J307" s="11" t="s">
        <v>31</v>
      </c>
      <c r="K307" s="11" t="s">
        <v>31</v>
      </c>
      <c r="L307" s="11" t="s">
        <v>517</v>
      </c>
      <c r="M307" s="11" t="s">
        <v>32</v>
      </c>
      <c r="N307" s="11" t="s">
        <v>652</v>
      </c>
      <c r="O307" s="11" t="s">
        <v>312</v>
      </c>
      <c r="P307" s="11" t="s">
        <v>2418</v>
      </c>
      <c r="Q307" s="11" t="s">
        <v>604</v>
      </c>
      <c r="R307" s="11" t="s">
        <v>596</v>
      </c>
      <c r="S307" s="11" t="s">
        <v>35</v>
      </c>
      <c r="T307" s="158">
        <v>4.4390000000000001</v>
      </c>
      <c r="U307" s="11" t="s">
        <v>2376</v>
      </c>
      <c r="V307" s="174">
        <v>8.5000000000000006E-3</v>
      </c>
      <c r="W307" s="189">
        <v>3.5560000000000001E-2</v>
      </c>
      <c r="X307" s="4" t="s">
        <v>602</v>
      </c>
      <c r="Y307" s="4" t="s">
        <v>312</v>
      </c>
      <c r="Z307" s="158">
        <v>602000</v>
      </c>
      <c r="AA307" s="158">
        <v>1</v>
      </c>
      <c r="AB307" s="158">
        <v>99.88</v>
      </c>
      <c r="AD307" s="158">
        <v>601.27800000000002</v>
      </c>
      <c r="AG307" s="11" t="s">
        <v>37</v>
      </c>
      <c r="AH307" s="189">
        <v>9.1399999999999999E-4</v>
      </c>
      <c r="AI307" s="189">
        <v>9.8702874908131004E-3</v>
      </c>
      <c r="AJ307" s="189">
        <v>1.8852278454528199E-3</v>
      </c>
    </row>
    <row r="308" spans="1:36">
      <c r="A308" s="11" t="s">
        <v>256</v>
      </c>
      <c r="B308" s="11">
        <v>556</v>
      </c>
      <c r="C308" s="11" t="s">
        <v>1860</v>
      </c>
      <c r="D308" s="11" t="s">
        <v>1861</v>
      </c>
      <c r="E308" s="4" t="s">
        <v>1552</v>
      </c>
      <c r="F308" s="11" t="s">
        <v>2522</v>
      </c>
      <c r="G308" s="11" t="s">
        <v>2523</v>
      </c>
      <c r="H308" s="11" t="s">
        <v>511</v>
      </c>
      <c r="I308" s="11" t="s">
        <v>945</v>
      </c>
      <c r="J308" s="11" t="s">
        <v>31</v>
      </c>
      <c r="K308" s="11" t="s">
        <v>31</v>
      </c>
      <c r="L308" s="11" t="s">
        <v>517</v>
      </c>
      <c r="M308" s="11" t="s">
        <v>32</v>
      </c>
      <c r="N308" s="11" t="s">
        <v>652</v>
      </c>
      <c r="O308" s="11" t="s">
        <v>312</v>
      </c>
      <c r="P308" s="11" t="s">
        <v>2418</v>
      </c>
      <c r="Q308" s="11" t="s">
        <v>604</v>
      </c>
      <c r="R308" s="11" t="s">
        <v>596</v>
      </c>
      <c r="S308" s="11" t="s">
        <v>35</v>
      </c>
      <c r="T308" s="158">
        <v>5.8849999999999998</v>
      </c>
      <c r="U308" s="11" t="s">
        <v>2524</v>
      </c>
      <c r="V308" s="174">
        <v>3.1800000000000002E-2</v>
      </c>
      <c r="W308" s="189">
        <v>3.8390000000000001E-2</v>
      </c>
      <c r="X308" s="4" t="s">
        <v>602</v>
      </c>
      <c r="Y308" s="4" t="s">
        <v>312</v>
      </c>
      <c r="Z308" s="158">
        <v>337000</v>
      </c>
      <c r="AA308" s="158">
        <v>1</v>
      </c>
      <c r="AB308" s="158">
        <v>102.42</v>
      </c>
      <c r="AD308" s="158">
        <v>345.15499999999997</v>
      </c>
      <c r="AG308" s="11" t="s">
        <v>37</v>
      </c>
      <c r="AH308" s="189">
        <v>7.8799999999999996E-4</v>
      </c>
      <c r="AI308" s="189">
        <v>5.6659071068115496E-3</v>
      </c>
      <c r="AJ308" s="189">
        <v>1.0821899420307801E-3</v>
      </c>
    </row>
    <row r="309" spans="1:36">
      <c r="A309" s="11" t="s">
        <v>256</v>
      </c>
      <c r="B309" s="11">
        <v>556</v>
      </c>
      <c r="C309" s="11" t="s">
        <v>2525</v>
      </c>
      <c r="D309" s="11" t="s">
        <v>2526</v>
      </c>
      <c r="E309" s="4" t="s">
        <v>1552</v>
      </c>
      <c r="F309" s="11" t="s">
        <v>2527</v>
      </c>
      <c r="G309" s="11" t="s">
        <v>2528</v>
      </c>
      <c r="H309" s="11" t="s">
        <v>511</v>
      </c>
      <c r="I309" s="11" t="s">
        <v>1154</v>
      </c>
      <c r="J309" s="11" t="s">
        <v>31</v>
      </c>
      <c r="K309" s="11" t="s">
        <v>31</v>
      </c>
      <c r="L309" s="11" t="s">
        <v>517</v>
      </c>
      <c r="M309" s="11" t="s">
        <v>32</v>
      </c>
      <c r="N309" s="11" t="s">
        <v>631</v>
      </c>
      <c r="O309" s="11" t="s">
        <v>312</v>
      </c>
      <c r="P309" s="11" t="s">
        <v>2206</v>
      </c>
      <c r="Q309" s="11" t="s">
        <v>604</v>
      </c>
      <c r="R309" s="11" t="s">
        <v>596</v>
      </c>
      <c r="S309" s="11" t="s">
        <v>35</v>
      </c>
      <c r="T309" s="158">
        <v>1.1870000000000001</v>
      </c>
      <c r="U309" s="11" t="s">
        <v>2198</v>
      </c>
      <c r="V309" s="174">
        <v>0.114</v>
      </c>
      <c r="W309" s="189">
        <v>6.7919999999999994E-2</v>
      </c>
      <c r="X309" s="4" t="s">
        <v>602</v>
      </c>
      <c r="Y309" s="4" t="s">
        <v>312</v>
      </c>
      <c r="Z309" s="158">
        <v>140000</v>
      </c>
      <c r="AA309" s="158">
        <v>1</v>
      </c>
      <c r="AB309" s="158">
        <v>101.87</v>
      </c>
      <c r="AD309" s="158">
        <v>142.61799999999999</v>
      </c>
      <c r="AG309" s="11" t="s">
        <v>37</v>
      </c>
      <c r="AH309" s="189">
        <v>3.88E-4</v>
      </c>
      <c r="AI309" s="189">
        <v>2.3411493482624001E-3</v>
      </c>
      <c r="AJ309" s="189">
        <v>4.4716022160610998E-4</v>
      </c>
    </row>
    <row r="310" spans="1:36">
      <c r="A310" s="11" t="s">
        <v>256</v>
      </c>
      <c r="B310" s="11">
        <v>556</v>
      </c>
      <c r="C310" s="11" t="s">
        <v>2529</v>
      </c>
      <c r="D310" s="11" t="s">
        <v>2530</v>
      </c>
      <c r="E310" s="4" t="s">
        <v>1552</v>
      </c>
      <c r="F310" s="11" t="s">
        <v>2531</v>
      </c>
      <c r="G310" s="11" t="s">
        <v>2532</v>
      </c>
      <c r="H310" s="11" t="s">
        <v>511</v>
      </c>
      <c r="I310" s="11" t="s">
        <v>945</v>
      </c>
      <c r="J310" s="11" t="s">
        <v>31</v>
      </c>
      <c r="K310" s="11" t="s">
        <v>31</v>
      </c>
      <c r="L310" s="11" t="s">
        <v>517</v>
      </c>
      <c r="M310" s="11" t="s">
        <v>32</v>
      </c>
      <c r="N310" s="11" t="s">
        <v>666</v>
      </c>
      <c r="O310" s="11" t="s">
        <v>312</v>
      </c>
      <c r="P310" s="11" t="s">
        <v>357</v>
      </c>
      <c r="Q310" s="11" t="s">
        <v>358</v>
      </c>
      <c r="R310" s="11" t="s">
        <v>596</v>
      </c>
      <c r="S310" s="11" t="s">
        <v>35</v>
      </c>
      <c r="T310" s="158">
        <v>1.972</v>
      </c>
      <c r="U310" s="11" t="s">
        <v>2441</v>
      </c>
      <c r="V310" s="174">
        <v>1E-3</v>
      </c>
      <c r="W310" s="189">
        <v>2.1149999999999999E-2</v>
      </c>
      <c r="X310" s="4" t="s">
        <v>602</v>
      </c>
      <c r="Y310" s="4" t="s">
        <v>312</v>
      </c>
      <c r="Z310" s="158">
        <v>1182000</v>
      </c>
      <c r="AA310" s="158">
        <v>1</v>
      </c>
      <c r="AB310" s="158">
        <v>107.52</v>
      </c>
      <c r="AD310" s="158">
        <v>1270.886</v>
      </c>
      <c r="AG310" s="11" t="s">
        <v>37</v>
      </c>
      <c r="AH310" s="189">
        <v>1.3799999999999999E-3</v>
      </c>
      <c r="AI310" s="189">
        <v>2.08622675053328E-2</v>
      </c>
      <c r="AJ310" s="189">
        <v>3.9846992964435802E-3</v>
      </c>
    </row>
    <row r="311" spans="1:36">
      <c r="A311" s="11" t="s">
        <v>256</v>
      </c>
      <c r="B311" s="11">
        <v>556</v>
      </c>
      <c r="C311" s="11" t="s">
        <v>2529</v>
      </c>
      <c r="D311" s="11" t="s">
        <v>2530</v>
      </c>
      <c r="E311" s="4" t="s">
        <v>1552</v>
      </c>
      <c r="F311" s="11" t="s">
        <v>2533</v>
      </c>
      <c r="G311" s="11" t="s">
        <v>2534</v>
      </c>
      <c r="H311" s="11" t="s">
        <v>511</v>
      </c>
      <c r="I311" s="11" t="s">
        <v>945</v>
      </c>
      <c r="J311" s="11" t="s">
        <v>31</v>
      </c>
      <c r="K311" s="11" t="s">
        <v>31</v>
      </c>
      <c r="L311" s="11" t="s">
        <v>517</v>
      </c>
      <c r="M311" s="11" t="s">
        <v>32</v>
      </c>
      <c r="N311" s="11" t="s">
        <v>666</v>
      </c>
      <c r="O311" s="11" t="s">
        <v>312</v>
      </c>
      <c r="P311" s="11" t="s">
        <v>357</v>
      </c>
      <c r="Q311" s="11" t="s">
        <v>358</v>
      </c>
      <c r="R311" s="11" t="s">
        <v>596</v>
      </c>
      <c r="S311" s="11" t="s">
        <v>35</v>
      </c>
      <c r="T311" s="158">
        <v>11.7</v>
      </c>
      <c r="U311" s="11" t="s">
        <v>2535</v>
      </c>
      <c r="V311" s="174">
        <v>2.07E-2</v>
      </c>
      <c r="W311" s="189">
        <v>3.2730000000000002E-2</v>
      </c>
      <c r="X311" s="4" t="s">
        <v>602</v>
      </c>
      <c r="Y311" s="4" t="s">
        <v>312</v>
      </c>
      <c r="Z311" s="158">
        <v>1223000.58</v>
      </c>
      <c r="AA311" s="158">
        <v>1</v>
      </c>
      <c r="AB311" s="158">
        <v>97.32</v>
      </c>
      <c r="AD311" s="158">
        <v>1190.2239999999999</v>
      </c>
      <c r="AG311" s="11" t="s">
        <v>37</v>
      </c>
      <c r="AH311" s="189">
        <v>2.6899999999999998E-4</v>
      </c>
      <c r="AI311" s="189">
        <v>1.9538154559048199E-2</v>
      </c>
      <c r="AJ311" s="189">
        <v>3.7317933300080801E-3</v>
      </c>
    </row>
    <row r="312" spans="1:36">
      <c r="A312" s="11" t="s">
        <v>256</v>
      </c>
      <c r="B312" s="11">
        <v>556</v>
      </c>
      <c r="C312" s="11" t="s">
        <v>2536</v>
      </c>
      <c r="D312" s="11" t="s">
        <v>2537</v>
      </c>
      <c r="E312" s="4" t="s">
        <v>1552</v>
      </c>
      <c r="F312" s="11" t="s">
        <v>2538</v>
      </c>
      <c r="G312" s="11" t="s">
        <v>2539</v>
      </c>
      <c r="H312" s="11" t="s">
        <v>511</v>
      </c>
      <c r="I312" s="11" t="s">
        <v>945</v>
      </c>
      <c r="J312" s="11" t="s">
        <v>31</v>
      </c>
      <c r="K312" s="11" t="s">
        <v>31</v>
      </c>
      <c r="L312" s="11" t="s">
        <v>517</v>
      </c>
      <c r="M312" s="11" t="s">
        <v>32</v>
      </c>
      <c r="N312" s="11" t="s">
        <v>636</v>
      </c>
      <c r="O312" s="11" t="s">
        <v>312</v>
      </c>
      <c r="P312" s="11" t="s">
        <v>357</v>
      </c>
      <c r="Q312" s="11" t="s">
        <v>358</v>
      </c>
      <c r="R312" s="11" t="s">
        <v>596</v>
      </c>
      <c r="S312" s="11" t="s">
        <v>35</v>
      </c>
      <c r="T312" s="158">
        <v>2.9769999999999999</v>
      </c>
      <c r="U312" s="11" t="s">
        <v>2540</v>
      </c>
      <c r="V312" s="174">
        <v>1.4999999999999999E-2</v>
      </c>
      <c r="W312" s="189">
        <v>2.426E-2</v>
      </c>
      <c r="X312" s="4" t="s">
        <v>602</v>
      </c>
      <c r="Y312" s="4" t="s">
        <v>312</v>
      </c>
      <c r="Z312" s="158">
        <v>112326.19</v>
      </c>
      <c r="AA312" s="158">
        <v>1</v>
      </c>
      <c r="AB312" s="158">
        <v>111.17</v>
      </c>
      <c r="AD312" s="158">
        <v>124.873</v>
      </c>
      <c r="AG312" s="11" t="s">
        <v>37</v>
      </c>
      <c r="AH312" s="189">
        <v>4.0200000000000001E-4</v>
      </c>
      <c r="AI312" s="189">
        <v>2.0498562739949501E-3</v>
      </c>
      <c r="AJ312" s="189">
        <v>3.9152315781159502E-4</v>
      </c>
    </row>
    <row r="313" spans="1:36">
      <c r="A313" s="11" t="s">
        <v>256</v>
      </c>
      <c r="B313" s="11">
        <v>556</v>
      </c>
      <c r="C313" s="11" t="s">
        <v>2050</v>
      </c>
      <c r="D313" s="11" t="s">
        <v>2051</v>
      </c>
      <c r="E313" s="4" t="s">
        <v>1552</v>
      </c>
      <c r="F313" s="11" t="s">
        <v>2541</v>
      </c>
      <c r="G313" s="11" t="s">
        <v>2542</v>
      </c>
      <c r="H313" s="11" t="s">
        <v>511</v>
      </c>
      <c r="I313" s="11" t="s">
        <v>945</v>
      </c>
      <c r="J313" s="11" t="s">
        <v>31</v>
      </c>
      <c r="K313" s="11" t="s">
        <v>31</v>
      </c>
      <c r="L313" s="11" t="s">
        <v>517</v>
      </c>
      <c r="M313" s="11" t="s">
        <v>32</v>
      </c>
      <c r="N313" s="11" t="s">
        <v>628</v>
      </c>
      <c r="O313" s="11" t="s">
        <v>312</v>
      </c>
      <c r="P313" s="11" t="s">
        <v>2165</v>
      </c>
      <c r="Q313" s="27" t="s">
        <v>2165</v>
      </c>
      <c r="R313" s="16" t="s">
        <v>2165</v>
      </c>
      <c r="S313" s="11" t="s">
        <v>35</v>
      </c>
      <c r="T313" s="158">
        <v>1.64</v>
      </c>
      <c r="U313" s="11" t="s">
        <v>2299</v>
      </c>
      <c r="V313" s="174">
        <v>1.6400000000000001E-2</v>
      </c>
      <c r="W313" s="189">
        <v>3.44E-2</v>
      </c>
      <c r="X313" s="4" t="s">
        <v>602</v>
      </c>
      <c r="Y313" s="4" t="s">
        <v>312</v>
      </c>
      <c r="Z313" s="158">
        <v>251724.04</v>
      </c>
      <c r="AA313" s="158">
        <v>1</v>
      </c>
      <c r="AB313" s="158">
        <v>110.89</v>
      </c>
      <c r="AD313" s="158">
        <v>279.137</v>
      </c>
      <c r="AG313" s="11" t="s">
        <v>37</v>
      </c>
      <c r="AH313" s="189">
        <v>1.0089999999999999E-3</v>
      </c>
      <c r="AI313" s="189">
        <v>4.5821769285731796E-3</v>
      </c>
      <c r="AJ313" s="189">
        <v>8.7519715576450901E-4</v>
      </c>
    </row>
    <row r="314" spans="1:36">
      <c r="A314" s="11" t="s">
        <v>256</v>
      </c>
      <c r="B314" s="11">
        <v>556</v>
      </c>
      <c r="C314" s="11" t="s">
        <v>2543</v>
      </c>
      <c r="D314" s="11" t="s">
        <v>2544</v>
      </c>
      <c r="E314" s="4" t="s">
        <v>1552</v>
      </c>
      <c r="F314" s="11" t="s">
        <v>2545</v>
      </c>
      <c r="G314" s="11" t="s">
        <v>2546</v>
      </c>
      <c r="H314" s="11" t="s">
        <v>511</v>
      </c>
      <c r="I314" s="11" t="s">
        <v>1154</v>
      </c>
      <c r="J314" s="11" t="s">
        <v>31</v>
      </c>
      <c r="K314" s="11" t="s">
        <v>31</v>
      </c>
      <c r="L314" s="11" t="s">
        <v>517</v>
      </c>
      <c r="M314" s="11" t="s">
        <v>50</v>
      </c>
      <c r="N314" s="11" t="s">
        <v>642</v>
      </c>
      <c r="O314" s="11" t="s">
        <v>312</v>
      </c>
      <c r="P314" s="11" t="s">
        <v>2327</v>
      </c>
      <c r="Q314" s="11" t="s">
        <v>358</v>
      </c>
      <c r="R314" s="11" t="s">
        <v>596</v>
      </c>
      <c r="S314" s="11" t="s">
        <v>35</v>
      </c>
      <c r="T314" s="158">
        <v>3.8690000000000002</v>
      </c>
      <c r="U314" s="11" t="s">
        <v>2547</v>
      </c>
      <c r="V314" s="174">
        <v>6.7000000000000004E-2</v>
      </c>
      <c r="W314" s="189">
        <v>6.6000000000000003E-2</v>
      </c>
      <c r="X314" s="4" t="s">
        <v>602</v>
      </c>
      <c r="Y314" s="4" t="s">
        <v>312</v>
      </c>
      <c r="Z314" s="158">
        <v>191000</v>
      </c>
      <c r="AA314" s="158">
        <v>1</v>
      </c>
      <c r="AB314" s="158">
        <v>102.81</v>
      </c>
      <c r="AD314" s="158">
        <v>196.36699999999999</v>
      </c>
      <c r="AG314" s="11" t="s">
        <v>37</v>
      </c>
      <c r="AH314" s="189">
        <v>2.1000000000000001E-4</v>
      </c>
      <c r="AI314" s="189">
        <v>3.2234690444767002E-3</v>
      </c>
      <c r="AJ314" s="189">
        <v>6.1568354592091601E-4</v>
      </c>
    </row>
    <row r="315" spans="1:36">
      <c r="A315" s="11" t="s">
        <v>256</v>
      </c>
      <c r="B315" s="11">
        <v>556</v>
      </c>
      <c r="C315" s="11" t="s">
        <v>2548</v>
      </c>
      <c r="D315" s="11" t="s">
        <v>2549</v>
      </c>
      <c r="E315" s="4" t="s">
        <v>1552</v>
      </c>
      <c r="F315" s="11" t="s">
        <v>2550</v>
      </c>
      <c r="G315" s="11" t="s">
        <v>2551</v>
      </c>
      <c r="H315" s="11" t="s">
        <v>511</v>
      </c>
      <c r="I315" s="11" t="s">
        <v>1155</v>
      </c>
      <c r="J315" s="11" t="s">
        <v>31</v>
      </c>
      <c r="K315" s="11" t="s">
        <v>31</v>
      </c>
      <c r="L315" s="11" t="s">
        <v>517</v>
      </c>
      <c r="M315" s="11" t="s">
        <v>32</v>
      </c>
      <c r="N315" s="11" t="s">
        <v>629</v>
      </c>
      <c r="O315" s="11" t="s">
        <v>312</v>
      </c>
      <c r="P315" s="11" t="s">
        <v>2165</v>
      </c>
      <c r="Q315" s="27" t="s">
        <v>2165</v>
      </c>
      <c r="R315" s="16" t="s">
        <v>2165</v>
      </c>
      <c r="S315" s="11" t="s">
        <v>35</v>
      </c>
      <c r="T315" s="158">
        <v>4.0789999999999997</v>
      </c>
      <c r="U315" s="11" t="s">
        <v>2170</v>
      </c>
      <c r="V315" s="174">
        <v>0.05</v>
      </c>
      <c r="W315" s="189">
        <v>5.0389999999999997E-2</v>
      </c>
      <c r="X315" s="4" t="s">
        <v>602</v>
      </c>
      <c r="Y315" s="4" t="s">
        <v>312</v>
      </c>
      <c r="Z315" s="158">
        <v>194000</v>
      </c>
      <c r="AA315" s="158">
        <v>1</v>
      </c>
      <c r="AB315" s="158">
        <v>100.1</v>
      </c>
      <c r="AD315" s="158">
        <v>194.19399999999999</v>
      </c>
      <c r="AG315" s="11" t="s">
        <v>37</v>
      </c>
      <c r="AH315" s="189">
        <v>4.7600000000000002E-4</v>
      </c>
      <c r="AI315" s="189">
        <v>3.1877964670411099E-3</v>
      </c>
      <c r="AJ315" s="189">
        <v>6.0887007302428103E-4</v>
      </c>
    </row>
    <row r="316" spans="1:36">
      <c r="A316" s="11" t="s">
        <v>256</v>
      </c>
      <c r="B316" s="11">
        <v>556</v>
      </c>
      <c r="C316" s="11" t="s">
        <v>2548</v>
      </c>
      <c r="D316" s="11" t="s">
        <v>2549</v>
      </c>
      <c r="E316" s="4" t="s">
        <v>1552</v>
      </c>
      <c r="F316" s="11" t="s">
        <v>2552</v>
      </c>
      <c r="G316" s="11" t="s">
        <v>2553</v>
      </c>
      <c r="H316" s="11" t="s">
        <v>511</v>
      </c>
      <c r="I316" s="11" t="s">
        <v>945</v>
      </c>
      <c r="J316" s="11" t="s">
        <v>31</v>
      </c>
      <c r="K316" s="11" t="s">
        <v>31</v>
      </c>
      <c r="L316" s="11" t="s">
        <v>517</v>
      </c>
      <c r="M316" s="11" t="s">
        <v>32</v>
      </c>
      <c r="N316" s="11" t="s">
        <v>629</v>
      </c>
      <c r="O316" s="11" t="s">
        <v>312</v>
      </c>
      <c r="P316" s="11" t="s">
        <v>2165</v>
      </c>
      <c r="Q316" s="27" t="s">
        <v>2165</v>
      </c>
      <c r="R316" s="16" t="s">
        <v>2165</v>
      </c>
      <c r="S316" s="11" t="s">
        <v>35</v>
      </c>
      <c r="T316" s="158">
        <v>2.7309999999999999</v>
      </c>
      <c r="U316" s="11" t="s">
        <v>2441</v>
      </c>
      <c r="V316" s="174">
        <v>1.4800000000000001E-2</v>
      </c>
      <c r="W316" s="189">
        <v>4.2779999999999999E-2</v>
      </c>
      <c r="X316" s="4" t="s">
        <v>602</v>
      </c>
      <c r="Y316" s="4" t="s">
        <v>312</v>
      </c>
      <c r="Z316" s="158">
        <v>313857.14</v>
      </c>
      <c r="AA316" s="158">
        <v>1</v>
      </c>
      <c r="AB316" s="158">
        <v>103.41</v>
      </c>
      <c r="AD316" s="158">
        <v>324.56</v>
      </c>
      <c r="AG316" s="11" t="s">
        <v>37</v>
      </c>
      <c r="AH316" s="189">
        <v>3.86E-4</v>
      </c>
      <c r="AI316" s="189">
        <v>5.3278173605026498E-3</v>
      </c>
      <c r="AJ316" s="189">
        <v>1.0176146999624101E-3</v>
      </c>
    </row>
    <row r="317" spans="1:36">
      <c r="A317" s="11" t="s">
        <v>256</v>
      </c>
      <c r="B317" s="11">
        <v>556</v>
      </c>
      <c r="C317" s="11" t="s">
        <v>2554</v>
      </c>
      <c r="D317" s="11" t="s">
        <v>2555</v>
      </c>
      <c r="E317" s="4" t="s">
        <v>1552</v>
      </c>
      <c r="F317" s="11" t="s">
        <v>2556</v>
      </c>
      <c r="G317" s="11" t="s">
        <v>2557</v>
      </c>
      <c r="H317" s="11" t="s">
        <v>511</v>
      </c>
      <c r="I317" s="11" t="s">
        <v>945</v>
      </c>
      <c r="J317" s="11" t="s">
        <v>31</v>
      </c>
      <c r="K317" s="11" t="s">
        <v>31</v>
      </c>
      <c r="L317" s="11" t="s">
        <v>517</v>
      </c>
      <c r="M317" s="11" t="s">
        <v>32</v>
      </c>
      <c r="N317" s="11" t="s">
        <v>652</v>
      </c>
      <c r="O317" s="11" t="s">
        <v>312</v>
      </c>
      <c r="P317" s="11" t="s">
        <v>157</v>
      </c>
      <c r="Q317" s="11" t="s">
        <v>604</v>
      </c>
      <c r="R317" s="11" t="s">
        <v>596</v>
      </c>
      <c r="S317" s="11" t="s">
        <v>35</v>
      </c>
      <c r="T317" s="158">
        <v>5.2370000000000001</v>
      </c>
      <c r="U317" s="11" t="s">
        <v>2524</v>
      </c>
      <c r="V317" s="174">
        <v>1.6500000000000001E-2</v>
      </c>
      <c r="W317" s="189">
        <v>2.8119999999999999E-2</v>
      </c>
      <c r="X317" s="4" t="s">
        <v>602</v>
      </c>
      <c r="Y317" s="4" t="s">
        <v>312</v>
      </c>
      <c r="Z317" s="158">
        <v>781000</v>
      </c>
      <c r="AA317" s="158">
        <v>1</v>
      </c>
      <c r="AB317" s="158">
        <v>107.94</v>
      </c>
      <c r="AD317" s="158">
        <v>843.01099999999997</v>
      </c>
      <c r="AG317" s="11" t="s">
        <v>37</v>
      </c>
      <c r="AH317" s="189">
        <v>3.6900000000000002E-4</v>
      </c>
      <c r="AI317" s="189">
        <v>1.383847473452E-2</v>
      </c>
      <c r="AJ317" s="189">
        <v>2.6431527888518798E-3</v>
      </c>
    </row>
    <row r="318" spans="1:36">
      <c r="A318" s="11" t="s">
        <v>256</v>
      </c>
      <c r="B318" s="11">
        <v>556</v>
      </c>
      <c r="C318" s="11" t="s">
        <v>2554</v>
      </c>
      <c r="D318" s="11" t="s">
        <v>2555</v>
      </c>
      <c r="E318" s="4" t="s">
        <v>1552</v>
      </c>
      <c r="F318" s="11" t="s">
        <v>2558</v>
      </c>
      <c r="G318" s="11" t="s">
        <v>2559</v>
      </c>
      <c r="H318" s="11" t="s">
        <v>511</v>
      </c>
      <c r="I318" s="11" t="s">
        <v>945</v>
      </c>
      <c r="J318" s="11" t="s">
        <v>31</v>
      </c>
      <c r="K318" s="11" t="s">
        <v>31</v>
      </c>
      <c r="L318" s="11" t="s">
        <v>517</v>
      </c>
      <c r="M318" s="11" t="s">
        <v>32</v>
      </c>
      <c r="N318" s="11" t="s">
        <v>652</v>
      </c>
      <c r="O318" s="11" t="s">
        <v>312</v>
      </c>
      <c r="P318" s="11" t="s">
        <v>157</v>
      </c>
      <c r="Q318" s="11" t="s">
        <v>604</v>
      </c>
      <c r="R318" s="11" t="s">
        <v>596</v>
      </c>
      <c r="S318" s="11" t="s">
        <v>35</v>
      </c>
      <c r="T318" s="158">
        <v>1.7070000000000001</v>
      </c>
      <c r="U318" s="11" t="s">
        <v>2333</v>
      </c>
      <c r="V318" s="174">
        <v>8.3000000000000001E-3</v>
      </c>
      <c r="W318" s="189">
        <v>2.0580000000000001E-2</v>
      </c>
      <c r="X318" s="4" t="s">
        <v>602</v>
      </c>
      <c r="Y318" s="4" t="s">
        <v>312</v>
      </c>
      <c r="Z318" s="158">
        <v>605000.56000000006</v>
      </c>
      <c r="AA318" s="158">
        <v>1</v>
      </c>
      <c r="AB318" s="158">
        <v>111.94</v>
      </c>
      <c r="AD318" s="158">
        <v>677.23800000000006</v>
      </c>
      <c r="AG318" s="11" t="s">
        <v>37</v>
      </c>
      <c r="AH318" s="189">
        <v>5.1000000000000004E-4</v>
      </c>
      <c r="AI318" s="189">
        <v>1.11172112128303E-2</v>
      </c>
      <c r="AJ318" s="189">
        <v>2.12339064710277E-3</v>
      </c>
    </row>
    <row r="319" spans="1:36">
      <c r="A319" s="11" t="s">
        <v>256</v>
      </c>
      <c r="B319" s="11">
        <v>556</v>
      </c>
      <c r="C319" s="11" t="s">
        <v>2554</v>
      </c>
      <c r="D319" s="11" t="s">
        <v>2555</v>
      </c>
      <c r="E319" s="4" t="s">
        <v>1552</v>
      </c>
      <c r="F319" s="11" t="s">
        <v>2560</v>
      </c>
      <c r="G319" s="11" t="s">
        <v>2561</v>
      </c>
      <c r="H319" s="11" t="s">
        <v>511</v>
      </c>
      <c r="I319" s="11" t="s">
        <v>1154</v>
      </c>
      <c r="J319" s="11" t="s">
        <v>31</v>
      </c>
      <c r="K319" s="11" t="s">
        <v>31</v>
      </c>
      <c r="L319" s="11" t="s">
        <v>517</v>
      </c>
      <c r="M319" s="11" t="s">
        <v>32</v>
      </c>
      <c r="N319" s="11" t="s">
        <v>652</v>
      </c>
      <c r="O319" s="11" t="s">
        <v>312</v>
      </c>
      <c r="P319" s="11" t="s">
        <v>157</v>
      </c>
      <c r="Q319" s="11" t="s">
        <v>604</v>
      </c>
      <c r="R319" s="11" t="s">
        <v>596</v>
      </c>
      <c r="S319" s="11" t="s">
        <v>35</v>
      </c>
      <c r="T319" s="158">
        <v>0.499</v>
      </c>
      <c r="U319" s="11" t="s">
        <v>2162</v>
      </c>
      <c r="V319" s="174">
        <v>1.6299999999999999E-2</v>
      </c>
      <c r="W319" s="189">
        <v>4.514E-2</v>
      </c>
      <c r="X319" s="4" t="s">
        <v>602</v>
      </c>
      <c r="Y319" s="4" t="s">
        <v>312</v>
      </c>
      <c r="Z319" s="158">
        <v>346500</v>
      </c>
      <c r="AA319" s="158">
        <v>1</v>
      </c>
      <c r="AB319" s="158">
        <v>98.62</v>
      </c>
      <c r="AD319" s="158">
        <v>341.71800000000002</v>
      </c>
      <c r="AG319" s="11" t="s">
        <v>37</v>
      </c>
      <c r="AH319" s="189">
        <v>3.3270000000000001E-3</v>
      </c>
      <c r="AI319" s="189">
        <v>5.6094853057421703E-3</v>
      </c>
      <c r="AJ319" s="189">
        <v>1.07141336125078E-3</v>
      </c>
    </row>
    <row r="320" spans="1:36">
      <c r="A320" s="11" t="s">
        <v>256</v>
      </c>
      <c r="B320" s="11">
        <v>556</v>
      </c>
      <c r="C320" s="11" t="s">
        <v>2562</v>
      </c>
      <c r="D320" s="11" t="s">
        <v>2563</v>
      </c>
      <c r="E320" s="4" t="s">
        <v>1552</v>
      </c>
      <c r="F320" s="11" t="s">
        <v>2564</v>
      </c>
      <c r="G320" s="11" t="s">
        <v>2565</v>
      </c>
      <c r="H320" s="11" t="s">
        <v>511</v>
      </c>
      <c r="I320" s="11" t="s">
        <v>1154</v>
      </c>
      <c r="J320" s="11" t="s">
        <v>31</v>
      </c>
      <c r="K320" s="11" t="s">
        <v>31</v>
      </c>
      <c r="L320" s="11" t="s">
        <v>517</v>
      </c>
      <c r="M320" s="11" t="s">
        <v>32</v>
      </c>
      <c r="N320" s="11" t="s">
        <v>642</v>
      </c>
      <c r="O320" s="11" t="s">
        <v>312</v>
      </c>
      <c r="P320" s="11" t="s">
        <v>2169</v>
      </c>
      <c r="Q320" s="11" t="s">
        <v>358</v>
      </c>
      <c r="R320" s="11" t="s">
        <v>596</v>
      </c>
      <c r="S320" s="11" t="s">
        <v>35</v>
      </c>
      <c r="T320" s="158">
        <v>0.312</v>
      </c>
      <c r="U320" s="11" t="s">
        <v>2566</v>
      </c>
      <c r="V320" s="174">
        <v>2.3599999999999999E-2</v>
      </c>
      <c r="W320" s="189">
        <v>4.9520000000000002E-2</v>
      </c>
      <c r="X320" s="4" t="s">
        <v>602</v>
      </c>
      <c r="Y320" s="4" t="s">
        <v>312</v>
      </c>
      <c r="Z320" s="158">
        <v>219047.92</v>
      </c>
      <c r="AA320" s="158">
        <v>1</v>
      </c>
      <c r="AB320" s="158">
        <v>100.24</v>
      </c>
      <c r="AD320" s="158">
        <v>219.57400000000001</v>
      </c>
      <c r="AG320" s="11" t="s">
        <v>37</v>
      </c>
      <c r="AH320" s="189">
        <v>3.4770000000000001E-3</v>
      </c>
      <c r="AI320" s="189">
        <v>3.6044165006842502E-3</v>
      </c>
      <c r="AJ320" s="189">
        <v>6.8844462332269703E-4</v>
      </c>
    </row>
    <row r="321" spans="1:36">
      <c r="A321" s="11" t="s">
        <v>256</v>
      </c>
      <c r="B321" s="11">
        <v>556</v>
      </c>
      <c r="C321" s="11" t="s">
        <v>2567</v>
      </c>
      <c r="D321" s="11" t="s">
        <v>2568</v>
      </c>
      <c r="E321" s="4" t="s">
        <v>1552</v>
      </c>
      <c r="F321" s="11" t="s">
        <v>2569</v>
      </c>
      <c r="G321" s="11" t="s">
        <v>2570</v>
      </c>
      <c r="H321" s="11" t="s">
        <v>511</v>
      </c>
      <c r="I321" s="11" t="s">
        <v>945</v>
      </c>
      <c r="J321" s="11" t="s">
        <v>31</v>
      </c>
      <c r="K321" s="11" t="s">
        <v>31</v>
      </c>
      <c r="L321" s="11" t="s">
        <v>517</v>
      </c>
      <c r="M321" s="11" t="s">
        <v>32</v>
      </c>
      <c r="N321" s="11" t="s">
        <v>666</v>
      </c>
      <c r="O321" s="11" t="s">
        <v>312</v>
      </c>
      <c r="P321" s="11" t="s">
        <v>2571</v>
      </c>
      <c r="Q321" s="11" t="s">
        <v>358</v>
      </c>
      <c r="R321" s="11" t="s">
        <v>596</v>
      </c>
      <c r="S321" s="11" t="s">
        <v>35</v>
      </c>
      <c r="T321" s="158">
        <v>5.72</v>
      </c>
      <c r="U321" s="11" t="s">
        <v>2572</v>
      </c>
      <c r="V321" s="174">
        <v>2.6499999999999999E-2</v>
      </c>
      <c r="W321" s="189">
        <v>2.7709999999999999E-2</v>
      </c>
      <c r="X321" s="4" t="s">
        <v>602</v>
      </c>
      <c r="Y321" s="4" t="s">
        <v>312</v>
      </c>
      <c r="Z321" s="158">
        <v>285064.36</v>
      </c>
      <c r="AA321" s="158">
        <v>1</v>
      </c>
      <c r="AB321" s="158">
        <v>113.29</v>
      </c>
      <c r="AD321" s="158">
        <v>322.94900000000001</v>
      </c>
      <c r="AG321" s="11" t="s">
        <v>37</v>
      </c>
      <c r="AH321" s="189">
        <v>1.94E-4</v>
      </c>
      <c r="AI321" s="189">
        <v>5.3013841787582696E-3</v>
      </c>
      <c r="AJ321" s="189">
        <v>1.01256595438992E-3</v>
      </c>
    </row>
    <row r="322" spans="1:36">
      <c r="A322" s="11" t="s">
        <v>256</v>
      </c>
      <c r="B322" s="11">
        <v>556</v>
      </c>
      <c r="C322" s="11" t="s">
        <v>2878</v>
      </c>
      <c r="D322" s="11" t="s">
        <v>2879</v>
      </c>
      <c r="E322" s="4" t="s">
        <v>1552</v>
      </c>
      <c r="F322" s="11" t="s">
        <v>2880</v>
      </c>
      <c r="G322" s="11" t="s">
        <v>2881</v>
      </c>
      <c r="H322" s="11" t="s">
        <v>511</v>
      </c>
      <c r="I322" s="11" t="s">
        <v>1154</v>
      </c>
      <c r="J322" s="11" t="s">
        <v>31</v>
      </c>
      <c r="K322" s="11" t="s">
        <v>31</v>
      </c>
      <c r="L322" s="11" t="s">
        <v>517</v>
      </c>
      <c r="M322" s="11" t="s">
        <v>32</v>
      </c>
      <c r="N322" s="11" t="s">
        <v>635</v>
      </c>
      <c r="O322" s="11" t="s">
        <v>312</v>
      </c>
      <c r="P322" s="11" t="s">
        <v>2165</v>
      </c>
      <c r="Q322" s="27" t="s">
        <v>2165</v>
      </c>
      <c r="R322" s="16" t="s">
        <v>2165</v>
      </c>
      <c r="S322" s="11" t="s">
        <v>35</v>
      </c>
      <c r="T322" s="158">
        <v>2.2120000000000002</v>
      </c>
      <c r="U322" s="11" t="s">
        <v>2882</v>
      </c>
      <c r="V322" s="174">
        <v>4.4999999999999998E-2</v>
      </c>
      <c r="W322" s="189">
        <v>8.5319999999999993E-2</v>
      </c>
      <c r="X322" s="4" t="s">
        <v>602</v>
      </c>
      <c r="Y322" s="4" t="s">
        <v>312</v>
      </c>
      <c r="Z322" s="158">
        <v>69000</v>
      </c>
      <c r="AA322" s="158">
        <v>1</v>
      </c>
      <c r="AB322" s="158">
        <v>92.31</v>
      </c>
      <c r="AD322" s="158">
        <v>63.694000000000003</v>
      </c>
      <c r="AG322" s="11" t="s">
        <v>37</v>
      </c>
      <c r="AH322" s="189">
        <v>3.8299999999999999E-4</v>
      </c>
      <c r="AI322" s="189">
        <v>1.0455688095001401E-3</v>
      </c>
      <c r="AJ322" s="189">
        <v>1.9970395349084601E-4</v>
      </c>
    </row>
    <row r="323" spans="1:36">
      <c r="A323" s="11" t="s">
        <v>256</v>
      </c>
      <c r="B323" s="11">
        <v>556</v>
      </c>
      <c r="C323" s="11" t="s">
        <v>1888</v>
      </c>
      <c r="D323" s="11" t="s">
        <v>1889</v>
      </c>
      <c r="E323" s="4" t="s">
        <v>1552</v>
      </c>
      <c r="F323" s="11" t="s">
        <v>2573</v>
      </c>
      <c r="G323" s="11" t="s">
        <v>2574</v>
      </c>
      <c r="H323" s="11" t="s">
        <v>511</v>
      </c>
      <c r="I323" s="11" t="s">
        <v>1154</v>
      </c>
      <c r="J323" s="11" t="s">
        <v>31</v>
      </c>
      <c r="K323" s="11" t="s">
        <v>489</v>
      </c>
      <c r="L323" s="11" t="s">
        <v>517</v>
      </c>
      <c r="M323" s="11" t="s">
        <v>32</v>
      </c>
      <c r="N323" s="11" t="s">
        <v>653</v>
      </c>
      <c r="O323" s="11" t="s">
        <v>312</v>
      </c>
      <c r="P323" s="11" t="s">
        <v>2571</v>
      </c>
      <c r="Q323" s="11" t="s">
        <v>604</v>
      </c>
      <c r="R323" s="11" t="s">
        <v>596</v>
      </c>
      <c r="S323" s="11" t="s">
        <v>35</v>
      </c>
      <c r="T323" s="158">
        <v>2.2549999999999999</v>
      </c>
      <c r="U323" s="11" t="s">
        <v>2333</v>
      </c>
      <c r="V323" s="174">
        <v>2.75E-2</v>
      </c>
      <c r="W323" s="189">
        <v>5.3969999999999997E-2</v>
      </c>
      <c r="X323" s="4" t="s">
        <v>602</v>
      </c>
      <c r="Y323" s="4" t="s">
        <v>312</v>
      </c>
      <c r="Z323" s="158">
        <v>12971.53</v>
      </c>
      <c r="AA323" s="158">
        <v>1</v>
      </c>
      <c r="AB323" s="158">
        <v>94.46</v>
      </c>
      <c r="AD323" s="158">
        <v>12.253</v>
      </c>
      <c r="AG323" s="11" t="s">
        <v>37</v>
      </c>
      <c r="AH323" s="189">
        <v>1.5699999999999999E-4</v>
      </c>
      <c r="AI323" s="189">
        <v>2.0113790541560999E-4</v>
      </c>
      <c r="AJ323" s="189">
        <v>3.8417399738204101E-5</v>
      </c>
    </row>
    <row r="324" spans="1:36">
      <c r="A324" s="11" t="s">
        <v>256</v>
      </c>
      <c r="B324" s="11">
        <v>556</v>
      </c>
      <c r="C324" s="11" t="s">
        <v>2575</v>
      </c>
      <c r="D324" s="11" t="s">
        <v>2576</v>
      </c>
      <c r="E324" s="4" t="s">
        <v>1552</v>
      </c>
      <c r="F324" s="11" t="s">
        <v>2577</v>
      </c>
      <c r="G324" s="11" t="s">
        <v>2578</v>
      </c>
      <c r="H324" s="11" t="s">
        <v>511</v>
      </c>
      <c r="I324" s="11" t="s">
        <v>945</v>
      </c>
      <c r="J324" s="11" t="s">
        <v>31</v>
      </c>
      <c r="K324" s="11" t="s">
        <v>31</v>
      </c>
      <c r="L324" s="11" t="s">
        <v>517</v>
      </c>
      <c r="M324" s="11" t="s">
        <v>32</v>
      </c>
      <c r="N324" s="11" t="s">
        <v>629</v>
      </c>
      <c r="O324" s="11" t="s">
        <v>312</v>
      </c>
      <c r="P324" s="11" t="s">
        <v>2165</v>
      </c>
      <c r="Q324" s="27" t="s">
        <v>2165</v>
      </c>
      <c r="R324" s="16" t="s">
        <v>2165</v>
      </c>
      <c r="S324" s="11" t="s">
        <v>35</v>
      </c>
      <c r="T324" s="158">
        <v>2.33</v>
      </c>
      <c r="U324" s="11" t="s">
        <v>2441</v>
      </c>
      <c r="V324" s="174">
        <v>2.3E-2</v>
      </c>
      <c r="W324" s="189">
        <v>5.7480000000000003E-2</v>
      </c>
      <c r="X324" s="4" t="s">
        <v>602</v>
      </c>
      <c r="Y324" s="4" t="s">
        <v>312</v>
      </c>
      <c r="Z324" s="158">
        <v>250000</v>
      </c>
      <c r="AA324" s="158">
        <v>1</v>
      </c>
      <c r="AB324" s="158">
        <v>102.42</v>
      </c>
      <c r="AD324" s="158">
        <v>256.05</v>
      </c>
      <c r="AG324" s="11" t="s">
        <v>37</v>
      </c>
      <c r="AH324" s="189">
        <v>6.5899999999999997E-4</v>
      </c>
      <c r="AI324" s="189">
        <v>4.20319518309462E-3</v>
      </c>
      <c r="AJ324" s="189">
        <v>8.0281152969642296E-4</v>
      </c>
    </row>
    <row r="325" spans="1:36">
      <c r="A325" s="11" t="s">
        <v>256</v>
      </c>
      <c r="B325" s="11">
        <v>556</v>
      </c>
      <c r="C325" s="11" t="s">
        <v>2575</v>
      </c>
      <c r="D325" s="11" t="s">
        <v>2576</v>
      </c>
      <c r="E325" s="4" t="s">
        <v>1552</v>
      </c>
      <c r="F325" s="11" t="s">
        <v>2579</v>
      </c>
      <c r="G325" s="11" t="s">
        <v>2578</v>
      </c>
      <c r="H325" s="11" t="s">
        <v>511</v>
      </c>
      <c r="I325" s="11" t="s">
        <v>945</v>
      </c>
      <c r="J325" s="11" t="s">
        <v>31</v>
      </c>
      <c r="K325" s="11" t="s">
        <v>489</v>
      </c>
      <c r="L325" s="16" t="s">
        <v>519</v>
      </c>
      <c r="M325" s="11" t="s">
        <v>342</v>
      </c>
      <c r="N325" s="11" t="s">
        <v>629</v>
      </c>
      <c r="O325" s="11" t="s">
        <v>312</v>
      </c>
      <c r="P325" s="11" t="s">
        <v>2165</v>
      </c>
      <c r="Q325" s="27" t="s">
        <v>2165</v>
      </c>
      <c r="R325" s="16" t="s">
        <v>2165</v>
      </c>
      <c r="S325" s="11" t="s">
        <v>35</v>
      </c>
      <c r="T325" s="158">
        <v>2.33</v>
      </c>
      <c r="U325" s="11" t="s">
        <v>2441</v>
      </c>
      <c r="V325" s="174">
        <v>2.3E-2</v>
      </c>
      <c r="W325" s="189">
        <v>5.6239999999999998E-2</v>
      </c>
      <c r="X325" s="4" t="s">
        <v>602</v>
      </c>
      <c r="Y325" s="4" t="s">
        <v>312</v>
      </c>
      <c r="Z325" s="158">
        <v>85000</v>
      </c>
      <c r="AA325" s="158">
        <v>1</v>
      </c>
      <c r="AB325" s="158">
        <v>101.483</v>
      </c>
      <c r="AD325" s="158">
        <v>86.26</v>
      </c>
      <c r="AG325" s="11" t="s">
        <v>37</v>
      </c>
      <c r="AH325" s="189">
        <v>0</v>
      </c>
      <c r="AI325" s="189">
        <v>1.41600593477848E-3</v>
      </c>
      <c r="AJ325" s="189">
        <v>2.7045755456013798E-4</v>
      </c>
    </row>
    <row r="326" spans="1:36">
      <c r="A326" s="11" t="s">
        <v>256</v>
      </c>
      <c r="B326" s="11">
        <v>556</v>
      </c>
      <c r="C326" s="11" t="s">
        <v>2883</v>
      </c>
      <c r="D326" s="11" t="s">
        <v>2884</v>
      </c>
      <c r="E326" s="4" t="s">
        <v>1552</v>
      </c>
      <c r="F326" s="11" t="s">
        <v>2885</v>
      </c>
      <c r="G326" s="11" t="s">
        <v>2886</v>
      </c>
      <c r="H326" s="11" t="s">
        <v>511</v>
      </c>
      <c r="I326" s="11" t="s">
        <v>945</v>
      </c>
      <c r="J326" s="11" t="s">
        <v>31</v>
      </c>
      <c r="K326" s="11" t="s">
        <v>31</v>
      </c>
      <c r="L326" s="11" t="s">
        <v>517</v>
      </c>
      <c r="M326" s="11" t="s">
        <v>32</v>
      </c>
      <c r="N326" s="11" t="s">
        <v>629</v>
      </c>
      <c r="O326" s="11" t="s">
        <v>312</v>
      </c>
      <c r="P326" s="11" t="s">
        <v>2165</v>
      </c>
      <c r="Q326" s="27" t="s">
        <v>2165</v>
      </c>
      <c r="R326" s="16" t="s">
        <v>2165</v>
      </c>
      <c r="S326" s="11" t="s">
        <v>35</v>
      </c>
      <c r="T326" s="158">
        <v>2.3460000000000001</v>
      </c>
      <c r="U326" s="11" t="s">
        <v>2441</v>
      </c>
      <c r="V326" s="174">
        <v>2.9499999999999998E-2</v>
      </c>
      <c r="W326" s="189">
        <v>4.1820000000000003E-2</v>
      </c>
      <c r="X326" s="4" t="s">
        <v>602</v>
      </c>
      <c r="Y326" s="4" t="s">
        <v>312</v>
      </c>
      <c r="Z326" s="158">
        <v>61750</v>
      </c>
      <c r="AA326" s="158">
        <v>1</v>
      </c>
      <c r="AB326" s="158">
        <v>106</v>
      </c>
      <c r="AD326" s="158">
        <v>65.454999999999998</v>
      </c>
      <c r="AG326" s="11" t="s">
        <v>37</v>
      </c>
      <c r="AH326" s="189">
        <v>2.7399999999999999E-4</v>
      </c>
      <c r="AI326" s="189">
        <v>1.07447819062472E-3</v>
      </c>
      <c r="AJ326" s="189">
        <v>2.0522565388119299E-4</v>
      </c>
    </row>
    <row r="327" spans="1:36">
      <c r="A327" s="11" t="s">
        <v>256</v>
      </c>
      <c r="B327" s="11">
        <v>556</v>
      </c>
      <c r="C327" s="11" t="s">
        <v>2580</v>
      </c>
      <c r="D327" s="11" t="s">
        <v>2581</v>
      </c>
      <c r="E327" s="4" t="s">
        <v>1552</v>
      </c>
      <c r="F327" s="11" t="s">
        <v>2582</v>
      </c>
      <c r="G327" s="11" t="s">
        <v>2583</v>
      </c>
      <c r="H327" s="11" t="s">
        <v>511</v>
      </c>
      <c r="I327" s="11" t="s">
        <v>1155</v>
      </c>
      <c r="J327" s="11" t="s">
        <v>31</v>
      </c>
      <c r="K327" s="11" t="s">
        <v>31</v>
      </c>
      <c r="L327" s="11" t="s">
        <v>517</v>
      </c>
      <c r="M327" s="11" t="s">
        <v>32</v>
      </c>
      <c r="N327" s="11" t="s">
        <v>635</v>
      </c>
      <c r="O327" s="11" t="s">
        <v>312</v>
      </c>
      <c r="P327" s="11" t="s">
        <v>2165</v>
      </c>
      <c r="Q327" s="27" t="s">
        <v>2165</v>
      </c>
      <c r="R327" s="16" t="s">
        <v>2165</v>
      </c>
      <c r="S327" s="11" t="s">
        <v>35</v>
      </c>
      <c r="T327" s="158">
        <v>3.1920000000000002</v>
      </c>
      <c r="U327" s="11" t="s">
        <v>2170</v>
      </c>
      <c r="V327" s="174">
        <v>5.5E-2</v>
      </c>
      <c r="W327" s="189">
        <v>6.0490000000000002E-2</v>
      </c>
      <c r="X327" s="4" t="s">
        <v>602</v>
      </c>
      <c r="Y327" s="4" t="s">
        <v>312</v>
      </c>
      <c r="Z327" s="158">
        <v>55000</v>
      </c>
      <c r="AA327" s="158">
        <v>1</v>
      </c>
      <c r="AB327" s="158">
        <v>98.6</v>
      </c>
      <c r="AD327" s="158">
        <v>54.23</v>
      </c>
      <c r="AG327" s="11" t="s">
        <v>37</v>
      </c>
      <c r="AH327" s="189">
        <v>1.0200000000000001E-3</v>
      </c>
      <c r="AI327" s="189">
        <v>8.9021392219965404E-4</v>
      </c>
      <c r="AJ327" s="189">
        <v>1.7003112382517899E-4</v>
      </c>
    </row>
    <row r="328" spans="1:36">
      <c r="A328" s="11" t="s">
        <v>256</v>
      </c>
      <c r="B328" s="11">
        <v>556</v>
      </c>
      <c r="C328" s="11" t="s">
        <v>2584</v>
      </c>
      <c r="D328" s="11" t="s">
        <v>2585</v>
      </c>
      <c r="E328" s="4" t="s">
        <v>34</v>
      </c>
      <c r="F328" s="11" t="s">
        <v>2586</v>
      </c>
      <c r="G328" s="11" t="s">
        <v>2587</v>
      </c>
      <c r="H328" s="11" t="s">
        <v>511</v>
      </c>
      <c r="I328" s="11" t="s">
        <v>364</v>
      </c>
      <c r="J328" s="11" t="s">
        <v>31</v>
      </c>
      <c r="K328" s="11" t="s">
        <v>155</v>
      </c>
      <c r="L328" s="11" t="s">
        <v>517</v>
      </c>
      <c r="M328" s="11" t="s">
        <v>32</v>
      </c>
      <c r="N328" s="11" t="s">
        <v>631</v>
      </c>
      <c r="O328" s="11" t="s">
        <v>312</v>
      </c>
      <c r="P328" s="11" t="s">
        <v>168</v>
      </c>
      <c r="Q328" s="11" t="s">
        <v>604</v>
      </c>
      <c r="R328" s="11" t="s">
        <v>596</v>
      </c>
      <c r="S328" s="11" t="s">
        <v>35</v>
      </c>
      <c r="T328" s="158">
        <v>2</v>
      </c>
      <c r="U328" s="11" t="s">
        <v>2588</v>
      </c>
      <c r="V328" s="174">
        <v>8.9242000000000002E-2</v>
      </c>
      <c r="W328" s="189">
        <v>8.5949999999999999E-2</v>
      </c>
      <c r="X328" s="4" t="s">
        <v>602</v>
      </c>
      <c r="Y328" s="4" t="s">
        <v>312</v>
      </c>
      <c r="Z328" s="158">
        <v>135000</v>
      </c>
      <c r="AA328" s="158">
        <v>1</v>
      </c>
      <c r="AB328" s="158">
        <v>105</v>
      </c>
      <c r="AD328" s="158">
        <v>141.75</v>
      </c>
      <c r="AG328" s="11" t="s">
        <v>37</v>
      </c>
      <c r="AH328" s="189">
        <v>3.21E-4</v>
      </c>
      <c r="AI328" s="189">
        <v>2.3269006725391999E-3</v>
      </c>
      <c r="AJ328" s="189">
        <v>4.4443872030645599E-4</v>
      </c>
    </row>
    <row r="329" spans="1:36">
      <c r="A329" s="11" t="s">
        <v>256</v>
      </c>
      <c r="B329" s="11">
        <v>556</v>
      </c>
      <c r="C329" s="11" t="s">
        <v>2589</v>
      </c>
      <c r="D329" s="11" t="s">
        <v>2590</v>
      </c>
      <c r="E329" s="4" t="s">
        <v>1552</v>
      </c>
      <c r="F329" s="11" t="s">
        <v>2591</v>
      </c>
      <c r="G329" s="11" t="s">
        <v>2592</v>
      </c>
      <c r="H329" s="11" t="s">
        <v>511</v>
      </c>
      <c r="I329" s="11" t="s">
        <v>945</v>
      </c>
      <c r="J329" s="11" t="s">
        <v>31</v>
      </c>
      <c r="K329" s="11" t="s">
        <v>31</v>
      </c>
      <c r="L329" s="11" t="s">
        <v>517</v>
      </c>
      <c r="M329" s="11" t="s">
        <v>32</v>
      </c>
      <c r="N329" s="11" t="s">
        <v>652</v>
      </c>
      <c r="O329" s="11" t="s">
        <v>312</v>
      </c>
      <c r="P329" s="11" t="s">
        <v>2418</v>
      </c>
      <c r="Q329" s="11" t="s">
        <v>604</v>
      </c>
      <c r="R329" s="11" t="s">
        <v>596</v>
      </c>
      <c r="S329" s="11" t="s">
        <v>35</v>
      </c>
      <c r="T329" s="158">
        <v>0.53400000000000003</v>
      </c>
      <c r="U329" s="11" t="s">
        <v>2593</v>
      </c>
      <c r="V329" s="174">
        <v>2.75E-2</v>
      </c>
      <c r="W329" s="189">
        <v>3.2379999999999999E-2</v>
      </c>
      <c r="X329" s="4" t="s">
        <v>602</v>
      </c>
      <c r="Y329" s="4" t="s">
        <v>312</v>
      </c>
      <c r="Z329" s="158">
        <v>389000.27</v>
      </c>
      <c r="AA329" s="158">
        <v>1</v>
      </c>
      <c r="AB329" s="158">
        <v>114.52</v>
      </c>
      <c r="AD329" s="158">
        <v>445.483</v>
      </c>
      <c r="AG329" s="11" t="s">
        <v>37</v>
      </c>
      <c r="AH329" s="189">
        <v>2.8140000000000001E-3</v>
      </c>
      <c r="AI329" s="189">
        <v>7.3128391281244596E-3</v>
      </c>
      <c r="AJ329" s="189">
        <v>1.39675444777966E-3</v>
      </c>
    </row>
    <row r="330" spans="1:36">
      <c r="A330" s="11" t="s">
        <v>256</v>
      </c>
      <c r="B330" s="11">
        <v>556</v>
      </c>
      <c r="C330" s="11" t="s">
        <v>2589</v>
      </c>
      <c r="D330" s="11" t="s">
        <v>2590</v>
      </c>
      <c r="E330" s="4" t="s">
        <v>1552</v>
      </c>
      <c r="F330" s="11" t="s">
        <v>2594</v>
      </c>
      <c r="G330" s="11" t="s">
        <v>2595</v>
      </c>
      <c r="H330" s="11" t="s">
        <v>511</v>
      </c>
      <c r="I330" s="11" t="s">
        <v>945</v>
      </c>
      <c r="J330" s="11" t="s">
        <v>31</v>
      </c>
      <c r="K330" s="11" t="s">
        <v>31</v>
      </c>
      <c r="L330" s="11" t="s">
        <v>517</v>
      </c>
      <c r="M330" s="11" t="s">
        <v>32</v>
      </c>
      <c r="N330" s="11" t="s">
        <v>652</v>
      </c>
      <c r="O330" s="11" t="s">
        <v>312</v>
      </c>
      <c r="P330" s="11" t="s">
        <v>2418</v>
      </c>
      <c r="Q330" s="11" t="s">
        <v>604</v>
      </c>
      <c r="R330" s="11" t="s">
        <v>596</v>
      </c>
      <c r="S330" s="11" t="s">
        <v>35</v>
      </c>
      <c r="T330" s="158">
        <v>3.157</v>
      </c>
      <c r="U330" s="11" t="s">
        <v>2596</v>
      </c>
      <c r="V330" s="174">
        <v>1.9599999999999999E-2</v>
      </c>
      <c r="W330" s="189">
        <v>2.9319999999999999E-2</v>
      </c>
      <c r="X330" s="4" t="s">
        <v>602</v>
      </c>
      <c r="Y330" s="4" t="s">
        <v>312</v>
      </c>
      <c r="Z330" s="158">
        <v>468000.76</v>
      </c>
      <c r="AA330" s="158">
        <v>1</v>
      </c>
      <c r="AB330" s="158">
        <v>111.11</v>
      </c>
      <c r="AD330" s="158">
        <v>519.99599999999998</v>
      </c>
      <c r="AG330" s="11" t="s">
        <v>37</v>
      </c>
      <c r="AH330" s="189">
        <v>4.0900000000000002E-4</v>
      </c>
      <c r="AI330" s="189">
        <v>8.5360015150305803E-3</v>
      </c>
      <c r="AJ330" s="189">
        <v>1.6303788273584899E-3</v>
      </c>
    </row>
    <row r="331" spans="1:36">
      <c r="A331" s="11" t="s">
        <v>256</v>
      </c>
      <c r="B331" s="11">
        <v>556</v>
      </c>
      <c r="C331" s="11" t="s">
        <v>2589</v>
      </c>
      <c r="D331" s="11" t="s">
        <v>2590</v>
      </c>
      <c r="E331" s="4" t="s">
        <v>1552</v>
      </c>
      <c r="F331" s="11" t="s">
        <v>2597</v>
      </c>
      <c r="G331" s="11" t="s">
        <v>2598</v>
      </c>
      <c r="H331" s="11" t="s">
        <v>511</v>
      </c>
      <c r="I331" s="11" t="s">
        <v>945</v>
      </c>
      <c r="J331" s="11" t="s">
        <v>31</v>
      </c>
      <c r="K331" s="11" t="s">
        <v>31</v>
      </c>
      <c r="L331" s="11" t="s">
        <v>517</v>
      </c>
      <c r="M331" s="11" t="s">
        <v>32</v>
      </c>
      <c r="N331" s="11" t="s">
        <v>652</v>
      </c>
      <c r="O331" s="11" t="s">
        <v>312</v>
      </c>
      <c r="P331" s="11" t="s">
        <v>2418</v>
      </c>
      <c r="Q331" s="11" t="s">
        <v>604</v>
      </c>
      <c r="R331" s="11" t="s">
        <v>596</v>
      </c>
      <c r="S331" s="11" t="s">
        <v>35</v>
      </c>
      <c r="T331" s="158">
        <v>6.0330000000000004</v>
      </c>
      <c r="U331" s="11" t="s">
        <v>2599</v>
      </c>
      <c r="V331" s="174">
        <v>1.5800000000000002E-2</v>
      </c>
      <c r="W331" s="189">
        <v>3.5290000000000002E-2</v>
      </c>
      <c r="X331" s="4" t="s">
        <v>602</v>
      </c>
      <c r="Y331" s="4" t="s">
        <v>312</v>
      </c>
      <c r="Z331" s="158">
        <v>446526.42</v>
      </c>
      <c r="AA331" s="158">
        <v>1</v>
      </c>
      <c r="AB331" s="158">
        <v>101.56</v>
      </c>
      <c r="AD331" s="158">
        <v>453.49200000000002</v>
      </c>
      <c r="AG331" s="11" t="s">
        <v>37</v>
      </c>
      <c r="AH331" s="189">
        <v>3.6000000000000002E-4</v>
      </c>
      <c r="AI331" s="189">
        <v>7.4443130863195203E-3</v>
      </c>
      <c r="AJ331" s="189">
        <v>1.4218660128857399E-3</v>
      </c>
    </row>
    <row r="332" spans="1:36">
      <c r="A332" s="11" t="s">
        <v>256</v>
      </c>
      <c r="B332" s="11">
        <v>556</v>
      </c>
      <c r="C332" s="11" t="s">
        <v>2600</v>
      </c>
      <c r="D332" s="11" t="s">
        <v>2601</v>
      </c>
      <c r="E332" s="4" t="s">
        <v>1552</v>
      </c>
      <c r="F332" s="11" t="s">
        <v>2602</v>
      </c>
      <c r="G332" s="11" t="s">
        <v>2603</v>
      </c>
      <c r="H332" s="11" t="s">
        <v>511</v>
      </c>
      <c r="I332" s="11" t="s">
        <v>945</v>
      </c>
      <c r="J332" s="11" t="s">
        <v>31</v>
      </c>
      <c r="K332" s="11" t="s">
        <v>31</v>
      </c>
      <c r="L332" s="11" t="s">
        <v>517</v>
      </c>
      <c r="M332" s="11" t="s">
        <v>32</v>
      </c>
      <c r="N332" s="11" t="s">
        <v>673</v>
      </c>
      <c r="O332" s="11" t="s">
        <v>312</v>
      </c>
      <c r="P332" s="11" t="s">
        <v>2161</v>
      </c>
      <c r="Q332" s="11" t="s">
        <v>358</v>
      </c>
      <c r="R332" s="11" t="s">
        <v>596</v>
      </c>
      <c r="S332" s="11" t="s">
        <v>35</v>
      </c>
      <c r="T332" s="158">
        <v>8.0000000000000002E-3</v>
      </c>
      <c r="U332" s="11" t="s">
        <v>361</v>
      </c>
      <c r="V332" s="174">
        <v>1.9800000000000002E-2</v>
      </c>
      <c r="W332" s="189">
        <v>6.3280000000000003E-2</v>
      </c>
      <c r="X332" s="4" t="s">
        <v>602</v>
      </c>
      <c r="Y332" s="4" t="s">
        <v>312</v>
      </c>
      <c r="Z332" s="158">
        <v>15000</v>
      </c>
      <c r="AA332" s="158">
        <v>1</v>
      </c>
      <c r="AB332" s="158">
        <v>114.69</v>
      </c>
      <c r="AD332" s="158">
        <v>17.202999999999999</v>
      </c>
      <c r="AG332" s="11" t="s">
        <v>37</v>
      </c>
      <c r="AH332" s="189">
        <v>9.8999999999999994E-5</v>
      </c>
      <c r="AI332" s="189">
        <v>2.8240448479737698E-4</v>
      </c>
      <c r="AJ332" s="189">
        <v>5.3939340562907302E-5</v>
      </c>
    </row>
    <row r="333" spans="1:36">
      <c r="A333" s="11" t="s">
        <v>256</v>
      </c>
      <c r="B333" s="11">
        <v>556</v>
      </c>
      <c r="C333" s="11" t="s">
        <v>2604</v>
      </c>
      <c r="D333" s="11" t="s">
        <v>2605</v>
      </c>
      <c r="E333" s="4" t="s">
        <v>504</v>
      </c>
      <c r="F333" s="11" t="s">
        <v>2606</v>
      </c>
      <c r="G333" s="11" t="s">
        <v>2607</v>
      </c>
      <c r="H333" s="11" t="s">
        <v>511</v>
      </c>
      <c r="I333" s="11" t="s">
        <v>1154</v>
      </c>
      <c r="J333" s="11" t="s">
        <v>154</v>
      </c>
      <c r="K333" s="11" t="s">
        <v>155</v>
      </c>
      <c r="L333" s="11" t="s">
        <v>517</v>
      </c>
      <c r="M333" s="11" t="s">
        <v>32</v>
      </c>
      <c r="N333" s="11" t="s">
        <v>653</v>
      </c>
      <c r="O333" s="11" t="s">
        <v>312</v>
      </c>
      <c r="P333" s="11" t="s">
        <v>2161</v>
      </c>
      <c r="Q333" s="11" t="s">
        <v>358</v>
      </c>
      <c r="R333" s="11" t="s">
        <v>596</v>
      </c>
      <c r="S333" s="11" t="s">
        <v>35</v>
      </c>
      <c r="T333" s="158">
        <v>0.41599999999999998</v>
      </c>
      <c r="U333" s="11" t="s">
        <v>2608</v>
      </c>
      <c r="V333" s="174">
        <v>3.9E-2</v>
      </c>
      <c r="W333" s="189">
        <v>5.9380000000000002E-2</v>
      </c>
      <c r="X333" s="4" t="s">
        <v>602</v>
      </c>
      <c r="Y333" s="4" t="s">
        <v>312</v>
      </c>
      <c r="Z333" s="158">
        <v>765708.54</v>
      </c>
      <c r="AA333" s="158">
        <v>1</v>
      </c>
      <c r="AB333" s="158">
        <v>99.53</v>
      </c>
      <c r="AD333" s="158">
        <v>762.11</v>
      </c>
      <c r="AG333" s="11" t="s">
        <v>37</v>
      </c>
      <c r="AH333" s="189">
        <v>1.977E-3</v>
      </c>
      <c r="AI333" s="189">
        <v>1.25104310153548E-2</v>
      </c>
      <c r="AJ333" s="189">
        <v>2.3894960436274498E-3</v>
      </c>
    </row>
    <row r="334" spans="1:36">
      <c r="A334" s="11" t="s">
        <v>256</v>
      </c>
      <c r="B334" s="11">
        <v>556</v>
      </c>
      <c r="C334" s="11" t="s">
        <v>1895</v>
      </c>
      <c r="D334" s="11" t="s">
        <v>1896</v>
      </c>
      <c r="E334" s="4" t="s">
        <v>1552</v>
      </c>
      <c r="F334" s="11" t="s">
        <v>2609</v>
      </c>
      <c r="G334" s="11" t="s">
        <v>2610</v>
      </c>
      <c r="H334" s="11" t="s">
        <v>511</v>
      </c>
      <c r="I334" s="11" t="s">
        <v>945</v>
      </c>
      <c r="J334" s="11" t="s">
        <v>31</v>
      </c>
      <c r="K334" s="11" t="s">
        <v>31</v>
      </c>
      <c r="L334" s="11" t="s">
        <v>517</v>
      </c>
      <c r="M334" s="11" t="s">
        <v>32</v>
      </c>
      <c r="N334" s="11" t="s">
        <v>652</v>
      </c>
      <c r="O334" s="11" t="s">
        <v>312</v>
      </c>
      <c r="P334" s="11" t="s">
        <v>2571</v>
      </c>
      <c r="Q334" s="11" t="s">
        <v>604</v>
      </c>
      <c r="R334" s="11" t="s">
        <v>596</v>
      </c>
      <c r="S334" s="11" t="s">
        <v>35</v>
      </c>
      <c r="T334" s="158">
        <v>3.1429999999999998</v>
      </c>
      <c r="U334" s="11" t="s">
        <v>2611</v>
      </c>
      <c r="V334" s="174">
        <v>1.34E-2</v>
      </c>
      <c r="W334" s="189">
        <v>2.777E-2</v>
      </c>
      <c r="X334" s="4" t="s">
        <v>602</v>
      </c>
      <c r="Y334" s="4" t="s">
        <v>312</v>
      </c>
      <c r="Z334" s="158">
        <v>322154.48</v>
      </c>
      <c r="AA334" s="158">
        <v>1</v>
      </c>
      <c r="AB334" s="158">
        <v>110</v>
      </c>
      <c r="AC334" s="158">
        <v>33.566000000000003</v>
      </c>
      <c r="AD334" s="158">
        <v>387.93599999999998</v>
      </c>
      <c r="AG334" s="11" t="s">
        <v>37</v>
      </c>
      <c r="AH334" s="189">
        <v>1.12E-4</v>
      </c>
      <c r="AI334" s="189">
        <v>6.3681716065418399E-3</v>
      </c>
      <c r="AJ334" s="189">
        <v>1.2163226702817801E-3</v>
      </c>
    </row>
    <row r="335" spans="1:36">
      <c r="A335" s="11" t="s">
        <v>256</v>
      </c>
      <c r="B335" s="11">
        <v>556</v>
      </c>
      <c r="C335" s="11" t="s">
        <v>1895</v>
      </c>
      <c r="D335" s="11" t="s">
        <v>1896</v>
      </c>
      <c r="E335" s="4" t="s">
        <v>1552</v>
      </c>
      <c r="F335" s="11" t="s">
        <v>2612</v>
      </c>
      <c r="G335" s="11" t="s">
        <v>2613</v>
      </c>
      <c r="H335" s="11" t="s">
        <v>511</v>
      </c>
      <c r="I335" s="11" t="s">
        <v>945</v>
      </c>
      <c r="J335" s="11" t="s">
        <v>31</v>
      </c>
      <c r="K335" s="11" t="s">
        <v>31</v>
      </c>
      <c r="L335" s="11" t="s">
        <v>517</v>
      </c>
      <c r="M335" s="11" t="s">
        <v>32</v>
      </c>
      <c r="N335" s="11" t="s">
        <v>652</v>
      </c>
      <c r="O335" s="11" t="s">
        <v>312</v>
      </c>
      <c r="P335" s="11" t="s">
        <v>2571</v>
      </c>
      <c r="Q335" s="11" t="s">
        <v>604</v>
      </c>
      <c r="R335" s="11" t="s">
        <v>596</v>
      </c>
      <c r="S335" s="11" t="s">
        <v>35</v>
      </c>
      <c r="T335" s="158">
        <v>2.7959999999999998</v>
      </c>
      <c r="U335" s="11" t="s">
        <v>2166</v>
      </c>
      <c r="V335" s="174">
        <v>1.77E-2</v>
      </c>
      <c r="W335" s="189">
        <v>2.615E-2</v>
      </c>
      <c r="X335" s="4" t="s">
        <v>602</v>
      </c>
      <c r="Y335" s="4" t="s">
        <v>312</v>
      </c>
      <c r="Z335" s="158">
        <v>830000.46</v>
      </c>
      <c r="AA335" s="158">
        <v>1</v>
      </c>
      <c r="AB335" s="158">
        <v>110.8</v>
      </c>
      <c r="AD335" s="158">
        <v>919.64099999999996</v>
      </c>
      <c r="AG335" s="11" t="s">
        <v>37</v>
      </c>
      <c r="AH335" s="189">
        <v>3.01E-4</v>
      </c>
      <c r="AI335" s="189">
        <v>1.5096381802248199E-2</v>
      </c>
      <c r="AJ335" s="189">
        <v>2.88341341279828E-3</v>
      </c>
    </row>
    <row r="336" spans="1:36">
      <c r="A336" s="11" t="s">
        <v>256</v>
      </c>
      <c r="B336" s="11">
        <v>556</v>
      </c>
      <c r="C336" s="11" t="s">
        <v>2614</v>
      </c>
      <c r="D336" s="11" t="s">
        <v>2615</v>
      </c>
      <c r="E336" s="4" t="s">
        <v>1552</v>
      </c>
      <c r="F336" s="11" t="s">
        <v>2616</v>
      </c>
      <c r="G336" s="11" t="s">
        <v>2617</v>
      </c>
      <c r="H336" s="11" t="s">
        <v>511</v>
      </c>
      <c r="I336" s="11" t="s">
        <v>1154</v>
      </c>
      <c r="J336" s="11" t="s">
        <v>31</v>
      </c>
      <c r="K336" s="11" t="s">
        <v>31</v>
      </c>
      <c r="L336" s="11" t="s">
        <v>517</v>
      </c>
      <c r="M336" s="11" t="s">
        <v>32</v>
      </c>
      <c r="N336" s="11" t="s">
        <v>652</v>
      </c>
      <c r="O336" s="11" t="s">
        <v>312</v>
      </c>
      <c r="P336" s="11" t="s">
        <v>157</v>
      </c>
      <c r="Q336" s="11" t="s">
        <v>604</v>
      </c>
      <c r="R336" s="11" t="s">
        <v>596</v>
      </c>
      <c r="S336" s="11" t="s">
        <v>35</v>
      </c>
      <c r="T336" s="158">
        <v>1.917</v>
      </c>
      <c r="U336" s="11" t="s">
        <v>2618</v>
      </c>
      <c r="V336" s="174">
        <v>1.44E-2</v>
      </c>
      <c r="W336" s="189">
        <v>4.7489999999999997E-2</v>
      </c>
      <c r="X336" s="4" t="s">
        <v>602</v>
      </c>
      <c r="Y336" s="4" t="s">
        <v>312</v>
      </c>
      <c r="Z336" s="158">
        <v>183000.22</v>
      </c>
      <c r="AA336" s="158">
        <v>1</v>
      </c>
      <c r="AB336" s="158">
        <v>94.32</v>
      </c>
      <c r="AD336" s="158">
        <v>172.60599999999999</v>
      </c>
      <c r="AG336" s="11" t="s">
        <v>37</v>
      </c>
      <c r="AH336" s="189">
        <v>4.5800000000000002E-4</v>
      </c>
      <c r="AI336" s="189">
        <v>2.8334149528411201E-3</v>
      </c>
      <c r="AJ336" s="189">
        <v>5.4118309844472805E-4</v>
      </c>
    </row>
    <row r="337" spans="1:36">
      <c r="A337" s="11" t="s">
        <v>256</v>
      </c>
      <c r="B337" s="11">
        <v>556</v>
      </c>
      <c r="C337" s="11" t="s">
        <v>1903</v>
      </c>
      <c r="D337" s="11" t="s">
        <v>1904</v>
      </c>
      <c r="E337" s="4" t="s">
        <v>1552</v>
      </c>
      <c r="F337" s="11" t="s">
        <v>2619</v>
      </c>
      <c r="G337" s="11" t="s">
        <v>2620</v>
      </c>
      <c r="H337" s="11" t="s">
        <v>511</v>
      </c>
      <c r="I337" s="11" t="s">
        <v>1154</v>
      </c>
      <c r="J337" s="11" t="s">
        <v>31</v>
      </c>
      <c r="K337" s="11" t="s">
        <v>31</v>
      </c>
      <c r="L337" s="11" t="s">
        <v>517</v>
      </c>
      <c r="M337" s="11" t="s">
        <v>32</v>
      </c>
      <c r="N337" s="11" t="s">
        <v>636</v>
      </c>
      <c r="O337" s="11" t="s">
        <v>312</v>
      </c>
      <c r="P337" s="11" t="s">
        <v>157</v>
      </c>
      <c r="Q337" s="11" t="s">
        <v>604</v>
      </c>
      <c r="R337" s="11" t="s">
        <v>596</v>
      </c>
      <c r="S337" s="11" t="s">
        <v>35</v>
      </c>
      <c r="T337" s="158">
        <v>0.89800000000000002</v>
      </c>
      <c r="U337" s="11" t="s">
        <v>2621</v>
      </c>
      <c r="V337" s="174">
        <v>3.7600000000000001E-2</v>
      </c>
      <c r="W337" s="189">
        <v>4.4880000000000003E-2</v>
      </c>
      <c r="X337" s="4" t="s">
        <v>602</v>
      </c>
      <c r="Y337" s="4" t="s">
        <v>312</v>
      </c>
      <c r="Z337" s="158">
        <v>618000</v>
      </c>
      <c r="AA337" s="158">
        <v>1</v>
      </c>
      <c r="AB337" s="158">
        <v>99.71</v>
      </c>
      <c r="AD337" s="158">
        <v>616.20799999999997</v>
      </c>
      <c r="AG337" s="11" t="s">
        <v>37</v>
      </c>
      <c r="AH337" s="189">
        <v>5.1199999999999998E-4</v>
      </c>
      <c r="AI337" s="189">
        <v>1.0115374562567199E-2</v>
      </c>
      <c r="AJ337" s="189">
        <v>1.9320395490289701E-3</v>
      </c>
    </row>
    <row r="338" spans="1:36">
      <c r="A338" s="11" t="s">
        <v>256</v>
      </c>
      <c r="B338" s="11">
        <v>556</v>
      </c>
      <c r="C338" s="11" t="s">
        <v>1903</v>
      </c>
      <c r="D338" s="11" t="s">
        <v>1904</v>
      </c>
      <c r="E338" s="4" t="s">
        <v>1552</v>
      </c>
      <c r="F338" s="11" t="s">
        <v>2622</v>
      </c>
      <c r="G338" s="11" t="s">
        <v>2623</v>
      </c>
      <c r="H338" s="11" t="s">
        <v>511</v>
      </c>
      <c r="I338" s="11" t="s">
        <v>945</v>
      </c>
      <c r="J338" s="11" t="s">
        <v>31</v>
      </c>
      <c r="K338" s="11" t="s">
        <v>31</v>
      </c>
      <c r="L338" s="11" t="s">
        <v>517</v>
      </c>
      <c r="M338" s="11" t="s">
        <v>32</v>
      </c>
      <c r="N338" s="11" t="s">
        <v>636</v>
      </c>
      <c r="O338" s="11" t="s">
        <v>312</v>
      </c>
      <c r="P338" s="11" t="s">
        <v>157</v>
      </c>
      <c r="Q338" s="11" t="s">
        <v>604</v>
      </c>
      <c r="R338" s="11" t="s">
        <v>596</v>
      </c>
      <c r="S338" s="11" t="s">
        <v>35</v>
      </c>
      <c r="T338" s="158">
        <v>3.806</v>
      </c>
      <c r="U338" s="11" t="s">
        <v>2624</v>
      </c>
      <c r="V338" s="174">
        <v>1E-3</v>
      </c>
      <c r="W338" s="189">
        <v>2.4920000000000001E-2</v>
      </c>
      <c r="X338" s="4" t="s">
        <v>602</v>
      </c>
      <c r="Y338" s="4" t="s">
        <v>312</v>
      </c>
      <c r="Z338" s="158">
        <v>680444.44</v>
      </c>
      <c r="AA338" s="158">
        <v>1</v>
      </c>
      <c r="AB338" s="158">
        <v>100.97</v>
      </c>
      <c r="AD338" s="158">
        <v>687.04499999999996</v>
      </c>
      <c r="AG338" s="11" t="s">
        <v>37</v>
      </c>
      <c r="AH338" s="189">
        <v>6.0499999999999996E-4</v>
      </c>
      <c r="AI338" s="189">
        <v>1.1278200305641301E-2</v>
      </c>
      <c r="AJ338" s="189">
        <v>2.1541396116961501E-3</v>
      </c>
    </row>
    <row r="339" spans="1:36">
      <c r="A339" s="11" t="s">
        <v>256</v>
      </c>
      <c r="B339" s="11">
        <v>556</v>
      </c>
      <c r="C339" s="11" t="s">
        <v>1903</v>
      </c>
      <c r="D339" s="11" t="s">
        <v>1904</v>
      </c>
      <c r="E339" s="4" t="s">
        <v>1552</v>
      </c>
      <c r="F339" s="11" t="s">
        <v>2625</v>
      </c>
      <c r="G339" s="11" t="s">
        <v>2626</v>
      </c>
      <c r="H339" s="11" t="s">
        <v>511</v>
      </c>
      <c r="I339" s="11" t="s">
        <v>945</v>
      </c>
      <c r="J339" s="11" t="s">
        <v>31</v>
      </c>
      <c r="K339" s="11" t="s">
        <v>31</v>
      </c>
      <c r="L339" s="11" t="s">
        <v>517</v>
      </c>
      <c r="M339" s="11" t="s">
        <v>32</v>
      </c>
      <c r="N339" s="11" t="s">
        <v>636</v>
      </c>
      <c r="O339" s="11" t="s">
        <v>312</v>
      </c>
      <c r="P339" s="11" t="s">
        <v>157</v>
      </c>
      <c r="Q339" s="11" t="s">
        <v>604</v>
      </c>
      <c r="R339" s="11" t="s">
        <v>596</v>
      </c>
      <c r="S339" s="11" t="s">
        <v>35</v>
      </c>
      <c r="T339" s="158">
        <v>4.1619999999999999</v>
      </c>
      <c r="U339" s="11" t="s">
        <v>2627</v>
      </c>
      <c r="V339" s="174">
        <v>1.3899999999999999E-2</v>
      </c>
      <c r="W339" s="189">
        <v>2.504E-2</v>
      </c>
      <c r="X339" s="4" t="s">
        <v>602</v>
      </c>
      <c r="Y339" s="4" t="s">
        <v>312</v>
      </c>
      <c r="Z339" s="158">
        <v>657000</v>
      </c>
      <c r="AA339" s="158">
        <v>1</v>
      </c>
      <c r="AB339" s="158">
        <v>101.46</v>
      </c>
      <c r="AD339" s="158">
        <v>666.59199999999998</v>
      </c>
      <c r="AG339" s="11" t="s">
        <v>37</v>
      </c>
      <c r="AH339" s="189">
        <v>3.6499999999999998E-4</v>
      </c>
      <c r="AI339" s="189">
        <v>1.0942460941724101E-2</v>
      </c>
      <c r="AJ339" s="189">
        <v>2.0900132933634199E-3</v>
      </c>
    </row>
    <row r="340" spans="1:36">
      <c r="A340" s="11" t="s">
        <v>256</v>
      </c>
      <c r="B340" s="11">
        <v>556</v>
      </c>
      <c r="C340" s="11" t="s">
        <v>1903</v>
      </c>
      <c r="D340" s="11" t="s">
        <v>1904</v>
      </c>
      <c r="E340" s="4" t="s">
        <v>1552</v>
      </c>
      <c r="F340" s="11" t="s">
        <v>2628</v>
      </c>
      <c r="G340" s="11" t="s">
        <v>2629</v>
      </c>
      <c r="H340" s="11" t="s">
        <v>511</v>
      </c>
      <c r="I340" s="11" t="s">
        <v>945</v>
      </c>
      <c r="J340" s="11" t="s">
        <v>31</v>
      </c>
      <c r="K340" s="11" t="s">
        <v>31</v>
      </c>
      <c r="L340" s="11" t="s">
        <v>517</v>
      </c>
      <c r="M340" s="11" t="s">
        <v>32</v>
      </c>
      <c r="N340" s="11" t="s">
        <v>636</v>
      </c>
      <c r="O340" s="11" t="s">
        <v>312</v>
      </c>
      <c r="P340" s="11" t="s">
        <v>157</v>
      </c>
      <c r="Q340" s="11" t="s">
        <v>604</v>
      </c>
      <c r="R340" s="11" t="s">
        <v>596</v>
      </c>
      <c r="S340" s="11" t="s">
        <v>35</v>
      </c>
      <c r="T340" s="158">
        <v>2.2930000000000001</v>
      </c>
      <c r="U340" s="11" t="s">
        <v>2630</v>
      </c>
      <c r="V340" s="174">
        <v>6.0000000000000001E-3</v>
      </c>
      <c r="W340" s="189">
        <v>2.052E-2</v>
      </c>
      <c r="X340" s="4" t="s">
        <v>602</v>
      </c>
      <c r="Y340" s="4" t="s">
        <v>312</v>
      </c>
      <c r="Z340" s="158">
        <v>644000.17000000004</v>
      </c>
      <c r="AA340" s="158">
        <v>1</v>
      </c>
      <c r="AB340" s="158">
        <v>110.68</v>
      </c>
      <c r="AD340" s="158">
        <v>712.779</v>
      </c>
      <c r="AG340" s="11" t="s">
        <v>37</v>
      </c>
      <c r="AH340" s="189">
        <v>7.2400000000000003E-4</v>
      </c>
      <c r="AI340" s="189">
        <v>1.17006478848132E-2</v>
      </c>
      <c r="AJ340" s="189">
        <v>2.2348272249232502E-3</v>
      </c>
    </row>
    <row r="341" spans="1:36">
      <c r="A341" s="11" t="s">
        <v>256</v>
      </c>
      <c r="B341" s="11">
        <v>556</v>
      </c>
      <c r="C341" s="11" t="s">
        <v>1903</v>
      </c>
      <c r="D341" s="11" t="s">
        <v>1904</v>
      </c>
      <c r="E341" s="4" t="s">
        <v>1552</v>
      </c>
      <c r="F341" s="11" t="s">
        <v>2631</v>
      </c>
      <c r="G341" s="11" t="s">
        <v>2632</v>
      </c>
      <c r="H341" s="11" t="s">
        <v>511</v>
      </c>
      <c r="I341" s="11" t="s">
        <v>945</v>
      </c>
      <c r="J341" s="11" t="s">
        <v>31</v>
      </c>
      <c r="K341" s="11" t="s">
        <v>31</v>
      </c>
      <c r="L341" s="11" t="s">
        <v>517</v>
      </c>
      <c r="M341" s="11" t="s">
        <v>32</v>
      </c>
      <c r="N341" s="11" t="s">
        <v>636</v>
      </c>
      <c r="O341" s="11" t="s">
        <v>312</v>
      </c>
      <c r="P341" s="11" t="s">
        <v>157</v>
      </c>
      <c r="Q341" s="11" t="s">
        <v>604</v>
      </c>
      <c r="R341" s="11" t="s">
        <v>596</v>
      </c>
      <c r="S341" s="11" t="s">
        <v>35</v>
      </c>
      <c r="T341" s="158">
        <v>3.262</v>
      </c>
      <c r="U341" s="11" t="s">
        <v>2633</v>
      </c>
      <c r="V341" s="174">
        <v>1.7500000000000002E-2</v>
      </c>
      <c r="W341" s="189">
        <v>2.4060000000000002E-2</v>
      </c>
      <c r="X341" s="4" t="s">
        <v>602</v>
      </c>
      <c r="Y341" s="4" t="s">
        <v>312</v>
      </c>
      <c r="Z341" s="158">
        <v>1390000.65</v>
      </c>
      <c r="AA341" s="158">
        <v>1</v>
      </c>
      <c r="AB341" s="158">
        <v>111.51</v>
      </c>
      <c r="AD341" s="158">
        <v>1549.99</v>
      </c>
      <c r="AG341" s="11" t="s">
        <v>37</v>
      </c>
      <c r="AH341" s="189">
        <v>5.3499999999999999E-4</v>
      </c>
      <c r="AI341" s="189">
        <v>2.5443895118877399E-2</v>
      </c>
      <c r="AJ341" s="189">
        <v>4.8597915328743102E-3</v>
      </c>
    </row>
    <row r="342" spans="1:36">
      <c r="A342" s="11" t="s">
        <v>256</v>
      </c>
      <c r="B342" s="11">
        <v>556</v>
      </c>
      <c r="C342" s="11" t="s">
        <v>1907</v>
      </c>
      <c r="D342" s="11" t="s">
        <v>1908</v>
      </c>
      <c r="E342" s="4" t="s">
        <v>1552</v>
      </c>
      <c r="F342" s="11" t="s">
        <v>2634</v>
      </c>
      <c r="G342" s="11" t="s">
        <v>2635</v>
      </c>
      <c r="H342" s="11" t="s">
        <v>511</v>
      </c>
      <c r="I342" s="11" t="s">
        <v>1154</v>
      </c>
      <c r="J342" s="11" t="s">
        <v>31</v>
      </c>
      <c r="K342" s="11" t="s">
        <v>31</v>
      </c>
      <c r="L342" s="11" t="s">
        <v>517</v>
      </c>
      <c r="M342" s="11" t="s">
        <v>32</v>
      </c>
      <c r="N342" s="11" t="s">
        <v>665</v>
      </c>
      <c r="O342" s="11" t="s">
        <v>312</v>
      </c>
      <c r="P342" s="11" t="s">
        <v>2418</v>
      </c>
      <c r="Q342" s="11" t="s">
        <v>604</v>
      </c>
      <c r="R342" s="11" t="s">
        <v>596</v>
      </c>
      <c r="S342" s="11" t="s">
        <v>35</v>
      </c>
      <c r="T342" s="158">
        <v>1.5780000000000001</v>
      </c>
      <c r="U342" s="11" t="s">
        <v>2636</v>
      </c>
      <c r="V342" s="174">
        <v>2.29E-2</v>
      </c>
      <c r="W342" s="189">
        <v>4.9180000000000001E-2</v>
      </c>
      <c r="X342" s="4" t="s">
        <v>602</v>
      </c>
      <c r="Y342" s="4" t="s">
        <v>312</v>
      </c>
      <c r="Z342" s="158">
        <v>267077.49</v>
      </c>
      <c r="AA342" s="158">
        <v>1</v>
      </c>
      <c r="AB342" s="158">
        <v>96.26</v>
      </c>
      <c r="AD342" s="158">
        <v>257.089</v>
      </c>
      <c r="AG342" s="11" t="s">
        <v>37</v>
      </c>
      <c r="AH342" s="189">
        <v>6.4800000000000003E-4</v>
      </c>
      <c r="AI342" s="189">
        <v>4.2202474970998299E-3</v>
      </c>
      <c r="AJ342" s="189">
        <v>8.0606852674153999E-4</v>
      </c>
    </row>
    <row r="343" spans="1:36">
      <c r="A343" s="11" t="s">
        <v>256</v>
      </c>
      <c r="B343" s="11">
        <v>556</v>
      </c>
      <c r="C343" s="11" t="s">
        <v>1907</v>
      </c>
      <c r="D343" s="11" t="s">
        <v>1908</v>
      </c>
      <c r="E343" s="4" t="s">
        <v>1552</v>
      </c>
      <c r="F343" s="11" t="s">
        <v>2637</v>
      </c>
      <c r="G343" s="11" t="s">
        <v>2638</v>
      </c>
      <c r="H343" s="11" t="s">
        <v>511</v>
      </c>
      <c r="I343" s="11" t="s">
        <v>1154</v>
      </c>
      <c r="J343" s="11" t="s">
        <v>31</v>
      </c>
      <c r="K343" s="11" t="s">
        <v>31</v>
      </c>
      <c r="L343" s="11" t="s">
        <v>517</v>
      </c>
      <c r="M343" s="11" t="s">
        <v>32</v>
      </c>
      <c r="N343" s="11" t="s">
        <v>665</v>
      </c>
      <c r="O343" s="11" t="s">
        <v>312</v>
      </c>
      <c r="P343" s="11" t="s">
        <v>2418</v>
      </c>
      <c r="Q343" s="11" t="s">
        <v>604</v>
      </c>
      <c r="R343" s="11" t="s">
        <v>596</v>
      </c>
      <c r="S343" s="11" t="s">
        <v>35</v>
      </c>
      <c r="T343" s="158">
        <v>0.03</v>
      </c>
      <c r="U343" s="11" t="s">
        <v>2639</v>
      </c>
      <c r="V343" s="174">
        <v>2.8000000000000001E-2</v>
      </c>
      <c r="W343" s="189">
        <v>0.24138999999999999</v>
      </c>
      <c r="X343" s="4" t="s">
        <v>602</v>
      </c>
      <c r="Y343" s="4" t="s">
        <v>312</v>
      </c>
      <c r="Z343" s="158">
        <v>33139.660000000003</v>
      </c>
      <c r="AA343" s="158">
        <v>1</v>
      </c>
      <c r="AB343" s="158">
        <v>101.16</v>
      </c>
      <c r="AD343" s="158">
        <v>33.524000000000001</v>
      </c>
      <c r="AG343" s="11" t="s">
        <v>37</v>
      </c>
      <c r="AH343" s="189">
        <v>9.6900000000000003E-4</v>
      </c>
      <c r="AI343" s="189">
        <v>5.5031537515742098E-4</v>
      </c>
      <c r="AJ343" s="189">
        <v>1.0511040027894E-4</v>
      </c>
    </row>
    <row r="344" spans="1:36">
      <c r="A344" s="11" t="s">
        <v>256</v>
      </c>
      <c r="B344" s="11">
        <v>556</v>
      </c>
      <c r="C344" s="11" t="s">
        <v>2887</v>
      </c>
      <c r="D344" s="11" t="s">
        <v>2888</v>
      </c>
      <c r="E344" s="4" t="s">
        <v>1552</v>
      </c>
      <c r="F344" s="11" t="s">
        <v>2889</v>
      </c>
      <c r="G344" s="11" t="s">
        <v>2890</v>
      </c>
      <c r="H344" s="11" t="s">
        <v>511</v>
      </c>
      <c r="I344" s="11" t="s">
        <v>1154</v>
      </c>
      <c r="J344" s="11" t="s">
        <v>31</v>
      </c>
      <c r="K344" s="11" t="s">
        <v>31</v>
      </c>
      <c r="L344" s="11" t="s">
        <v>517</v>
      </c>
      <c r="M344" s="11" t="s">
        <v>32</v>
      </c>
      <c r="N344" s="11" t="s">
        <v>628</v>
      </c>
      <c r="O344" s="11" t="s">
        <v>312</v>
      </c>
      <c r="P344" s="11" t="s">
        <v>2165</v>
      </c>
      <c r="Q344" s="27" t="s">
        <v>2165</v>
      </c>
      <c r="R344" s="16" t="s">
        <v>2165</v>
      </c>
      <c r="S344" s="11" t="s">
        <v>35</v>
      </c>
      <c r="T344" s="158">
        <v>2.827</v>
      </c>
      <c r="U344" s="11" t="s">
        <v>2891</v>
      </c>
      <c r="V344" s="174">
        <v>7.4999999999999997E-2</v>
      </c>
      <c r="W344" s="189">
        <v>6.3880000000000006E-2</v>
      </c>
      <c r="X344" s="4" t="s">
        <v>602</v>
      </c>
      <c r="Y344" s="4" t="s">
        <v>312</v>
      </c>
      <c r="Z344" s="158">
        <v>56472.83</v>
      </c>
      <c r="AA344" s="158">
        <v>1</v>
      </c>
      <c r="AB344" s="158">
        <v>112.76</v>
      </c>
      <c r="AD344" s="158">
        <v>63.679000000000002</v>
      </c>
      <c r="AG344" s="11" t="s">
        <v>37</v>
      </c>
      <c r="AH344" s="189">
        <v>3.39E-4</v>
      </c>
      <c r="AI344" s="189">
        <v>1.0453203294706901E-3</v>
      </c>
      <c r="AJ344" s="189">
        <v>1.9965649373134001E-4</v>
      </c>
    </row>
    <row r="345" spans="1:36">
      <c r="A345" s="11" t="s">
        <v>256</v>
      </c>
      <c r="B345" s="11">
        <v>556</v>
      </c>
      <c r="C345" s="11" t="s">
        <v>2892</v>
      </c>
      <c r="D345" s="11" t="s">
        <v>2893</v>
      </c>
      <c r="E345" s="4" t="s">
        <v>504</v>
      </c>
      <c r="F345" s="11" t="s">
        <v>2894</v>
      </c>
      <c r="G345" s="11" t="s">
        <v>2895</v>
      </c>
      <c r="H345" s="11" t="s">
        <v>511</v>
      </c>
      <c r="I345" s="11" t="s">
        <v>945</v>
      </c>
      <c r="J345" s="11" t="s">
        <v>31</v>
      </c>
      <c r="K345" s="11" t="s">
        <v>31</v>
      </c>
      <c r="L345" s="11" t="s">
        <v>517</v>
      </c>
      <c r="M345" s="11" t="s">
        <v>32</v>
      </c>
      <c r="N345" s="11" t="s">
        <v>635</v>
      </c>
      <c r="O345" s="11" t="s">
        <v>312</v>
      </c>
      <c r="P345" s="11" t="s">
        <v>2165</v>
      </c>
      <c r="Q345" s="27" t="s">
        <v>2165</v>
      </c>
      <c r="R345" s="16" t="s">
        <v>2165</v>
      </c>
      <c r="S345" s="11" t="s">
        <v>35</v>
      </c>
      <c r="T345" s="158">
        <v>0.53</v>
      </c>
      <c r="U345" s="11" t="s">
        <v>2896</v>
      </c>
      <c r="V345" s="174">
        <v>4.4999999999999998E-2</v>
      </c>
      <c r="W345" s="189">
        <v>1E-4</v>
      </c>
      <c r="X345" s="4" t="s">
        <v>602</v>
      </c>
      <c r="Y345" s="4" t="s">
        <v>530</v>
      </c>
      <c r="Z345" s="158">
        <v>267231.21999999997</v>
      </c>
      <c r="AA345" s="158">
        <v>1</v>
      </c>
      <c r="AB345" s="158">
        <v>12.55</v>
      </c>
      <c r="AD345" s="158">
        <v>33.537999999999997</v>
      </c>
      <c r="AG345" s="11" t="s">
        <v>37</v>
      </c>
      <c r="AH345" s="189">
        <v>2.2690000000000002E-3</v>
      </c>
      <c r="AI345" s="189">
        <v>5.5053596786916903E-4</v>
      </c>
      <c r="AJ345" s="189">
        <v>1.0515253355247201E-4</v>
      </c>
    </row>
    <row r="346" spans="1:36">
      <c r="A346" s="11" t="s">
        <v>256</v>
      </c>
      <c r="B346" s="11">
        <v>556</v>
      </c>
      <c r="C346" s="11" t="s">
        <v>2892</v>
      </c>
      <c r="D346" s="11" t="s">
        <v>2893</v>
      </c>
      <c r="E346" s="4" t="s">
        <v>504</v>
      </c>
      <c r="F346" s="11" t="s">
        <v>2897</v>
      </c>
      <c r="G346" s="11" t="s">
        <v>2898</v>
      </c>
      <c r="H346" s="11" t="s">
        <v>511</v>
      </c>
      <c r="I346" s="11" t="s">
        <v>945</v>
      </c>
      <c r="J346" s="11" t="s">
        <v>31</v>
      </c>
      <c r="K346" s="11" t="s">
        <v>31</v>
      </c>
      <c r="L346" s="11" t="s">
        <v>517</v>
      </c>
      <c r="M346" s="11" t="s">
        <v>32</v>
      </c>
      <c r="N346" s="11" t="s">
        <v>635</v>
      </c>
      <c r="O346" s="11" t="s">
        <v>312</v>
      </c>
      <c r="P346" s="11" t="s">
        <v>2165</v>
      </c>
      <c r="Q346" s="27" t="s">
        <v>2165</v>
      </c>
      <c r="R346" s="16" t="s">
        <v>2165</v>
      </c>
      <c r="S346" s="11" t="s">
        <v>35</v>
      </c>
      <c r="T346" s="158">
        <v>2.3140000000000001</v>
      </c>
      <c r="U346" s="11" t="s">
        <v>2896</v>
      </c>
      <c r="V346" s="174">
        <v>5.3999999999999999E-2</v>
      </c>
      <c r="W346" s="189">
        <v>1E-4</v>
      </c>
      <c r="X346" s="4" t="s">
        <v>602</v>
      </c>
      <c r="Y346" s="4" t="s">
        <v>530</v>
      </c>
      <c r="Z346" s="158">
        <v>333758.03000000003</v>
      </c>
      <c r="AA346" s="158">
        <v>1</v>
      </c>
      <c r="AB346" s="158">
        <v>12.89</v>
      </c>
      <c r="AD346" s="158">
        <v>43.021000000000001</v>
      </c>
      <c r="AG346" s="11" t="s">
        <v>37</v>
      </c>
      <c r="AH346" s="189">
        <v>1.9319999999999999E-3</v>
      </c>
      <c r="AI346" s="189">
        <v>7.0621903364012E-4</v>
      </c>
      <c r="AJ346" s="189">
        <v>1.34888045403575E-4</v>
      </c>
    </row>
    <row r="347" spans="1:36">
      <c r="A347" s="11" t="s">
        <v>256</v>
      </c>
      <c r="B347" s="11">
        <v>556</v>
      </c>
      <c r="C347" s="11" t="s">
        <v>1943</v>
      </c>
      <c r="D347" s="11" t="s">
        <v>1944</v>
      </c>
      <c r="E347" s="4" t="s">
        <v>1552</v>
      </c>
      <c r="F347" s="11" t="s">
        <v>2899</v>
      </c>
      <c r="G347" s="11" t="s">
        <v>2900</v>
      </c>
      <c r="H347" s="11" t="s">
        <v>511</v>
      </c>
      <c r="I347" s="11" t="s">
        <v>1154</v>
      </c>
      <c r="J347" s="11" t="s">
        <v>31</v>
      </c>
      <c r="K347" s="11" t="s">
        <v>489</v>
      </c>
      <c r="L347" s="11" t="s">
        <v>517</v>
      </c>
      <c r="M347" s="11" t="s">
        <v>32</v>
      </c>
      <c r="N347" s="11" t="s">
        <v>646</v>
      </c>
      <c r="O347" s="11" t="s">
        <v>312</v>
      </c>
      <c r="P347" s="11" t="s">
        <v>2165</v>
      </c>
      <c r="Q347" s="27" t="s">
        <v>2165</v>
      </c>
      <c r="R347" s="16" t="s">
        <v>2165</v>
      </c>
      <c r="S347" s="11" t="s">
        <v>35</v>
      </c>
      <c r="T347" s="158">
        <v>1.4830000000000001</v>
      </c>
      <c r="U347" s="11" t="s">
        <v>2317</v>
      </c>
      <c r="V347" s="174">
        <v>1.9900000000000001E-2</v>
      </c>
      <c r="W347" s="189">
        <v>5.4030000000000002E-2</v>
      </c>
      <c r="X347" s="4" t="s">
        <v>602</v>
      </c>
      <c r="Y347" s="4" t="s">
        <v>312</v>
      </c>
      <c r="Z347" s="158">
        <v>15000</v>
      </c>
      <c r="AA347" s="158">
        <v>1</v>
      </c>
      <c r="AB347" s="158">
        <v>95.25</v>
      </c>
      <c r="AD347" s="158">
        <v>14.287000000000001</v>
      </c>
      <c r="AG347" s="11" t="s">
        <v>37</v>
      </c>
      <c r="AH347" s="189">
        <v>1E-4</v>
      </c>
      <c r="AI347" s="189">
        <v>2.34536813819427E-4</v>
      </c>
      <c r="AJ347" s="189">
        <v>4.4796601173745899E-5</v>
      </c>
    </row>
    <row r="348" spans="1:36">
      <c r="A348" s="11" t="s">
        <v>256</v>
      </c>
      <c r="B348" s="11">
        <v>556</v>
      </c>
      <c r="C348" s="11" t="s">
        <v>2901</v>
      </c>
      <c r="D348" s="11" t="s">
        <v>2902</v>
      </c>
      <c r="E348" s="4" t="s">
        <v>1552</v>
      </c>
      <c r="F348" s="11" t="s">
        <v>2903</v>
      </c>
      <c r="G348" s="11" t="s">
        <v>2904</v>
      </c>
      <c r="H348" s="11" t="s">
        <v>511</v>
      </c>
      <c r="I348" s="11" t="s">
        <v>945</v>
      </c>
      <c r="J348" s="11" t="s">
        <v>31</v>
      </c>
      <c r="K348" s="11" t="s">
        <v>31</v>
      </c>
      <c r="L348" s="11" t="s">
        <v>517</v>
      </c>
      <c r="M348" s="11" t="s">
        <v>32</v>
      </c>
      <c r="N348" s="11" t="s">
        <v>629</v>
      </c>
      <c r="O348" s="11" t="s">
        <v>312</v>
      </c>
      <c r="P348" s="11" t="s">
        <v>2165</v>
      </c>
      <c r="Q348" s="27" t="s">
        <v>2165</v>
      </c>
      <c r="R348" s="16" t="s">
        <v>2165</v>
      </c>
      <c r="S348" s="11" t="s">
        <v>35</v>
      </c>
      <c r="T348" s="158">
        <v>2.4780000000000002</v>
      </c>
      <c r="U348" s="11" t="s">
        <v>2166</v>
      </c>
      <c r="V348" s="174">
        <v>0.04</v>
      </c>
      <c r="W348" s="189">
        <v>7.7929999999999999E-2</v>
      </c>
      <c r="X348" s="4" t="s">
        <v>602</v>
      </c>
      <c r="Y348" s="4" t="s">
        <v>312</v>
      </c>
      <c r="Z348" s="158">
        <v>122400</v>
      </c>
      <c r="AA348" s="158">
        <v>1</v>
      </c>
      <c r="AB348" s="158">
        <v>101.18</v>
      </c>
      <c r="AD348" s="158">
        <v>123.84399999999999</v>
      </c>
      <c r="AG348" s="11" t="s">
        <v>37</v>
      </c>
      <c r="AH348" s="189">
        <v>2.3E-3</v>
      </c>
      <c r="AI348" s="189">
        <v>2.03296953437855E-3</v>
      </c>
      <c r="AJ348" s="189">
        <v>3.8829778552397298E-4</v>
      </c>
    </row>
    <row r="349" spans="1:36">
      <c r="A349" s="11" t="s">
        <v>256</v>
      </c>
      <c r="B349" s="11">
        <v>556</v>
      </c>
      <c r="C349" s="11" t="s">
        <v>1947</v>
      </c>
      <c r="D349" s="11" t="s">
        <v>1948</v>
      </c>
      <c r="E349" s="4" t="s">
        <v>1552</v>
      </c>
      <c r="F349" s="11" t="s">
        <v>2640</v>
      </c>
      <c r="G349" s="11" t="s">
        <v>2641</v>
      </c>
      <c r="H349" s="11" t="s">
        <v>511</v>
      </c>
      <c r="I349" s="11" t="s">
        <v>1154</v>
      </c>
      <c r="J349" s="11" t="s">
        <v>31</v>
      </c>
      <c r="K349" s="11" t="s">
        <v>31</v>
      </c>
      <c r="L349" s="11" t="s">
        <v>517</v>
      </c>
      <c r="M349" s="11" t="s">
        <v>32</v>
      </c>
      <c r="N349" s="11" t="s">
        <v>635</v>
      </c>
      <c r="O349" s="11" t="s">
        <v>312</v>
      </c>
      <c r="P349" s="11" t="s">
        <v>174</v>
      </c>
      <c r="Q349" s="11" t="s">
        <v>604</v>
      </c>
      <c r="R349" s="11" t="s">
        <v>596</v>
      </c>
      <c r="S349" s="11" t="s">
        <v>35</v>
      </c>
      <c r="T349" s="158">
        <v>4.0069999999999997</v>
      </c>
      <c r="U349" s="11" t="s">
        <v>219</v>
      </c>
      <c r="V349" s="174">
        <v>5.8900000000000001E-2</v>
      </c>
      <c r="W349" s="189">
        <v>6.2829999999999997E-2</v>
      </c>
      <c r="X349" s="4" t="s">
        <v>602</v>
      </c>
      <c r="Y349" s="4" t="s">
        <v>312</v>
      </c>
      <c r="Z349" s="158">
        <v>125000</v>
      </c>
      <c r="AA349" s="158">
        <v>1</v>
      </c>
      <c r="AB349" s="158">
        <v>98.86</v>
      </c>
      <c r="AD349" s="158">
        <v>123.575</v>
      </c>
      <c r="AG349" s="11" t="s">
        <v>37</v>
      </c>
      <c r="AH349" s="189">
        <v>6.2200000000000005E-4</v>
      </c>
      <c r="AI349" s="189">
        <v>2.0285485051783599E-3</v>
      </c>
      <c r="AJ349" s="189">
        <v>3.8745336763224198E-4</v>
      </c>
    </row>
    <row r="350" spans="1:36">
      <c r="A350" s="11" t="s">
        <v>256</v>
      </c>
      <c r="B350" s="11">
        <v>556</v>
      </c>
      <c r="C350" s="11" t="s">
        <v>2642</v>
      </c>
      <c r="D350" s="11" t="s">
        <v>2643</v>
      </c>
      <c r="E350" s="4" t="s">
        <v>1552</v>
      </c>
      <c r="F350" s="11" t="s">
        <v>2644</v>
      </c>
      <c r="G350" s="11" t="s">
        <v>2645</v>
      </c>
      <c r="H350" s="11" t="s">
        <v>511</v>
      </c>
      <c r="I350" s="11" t="s">
        <v>1154</v>
      </c>
      <c r="J350" s="11" t="s">
        <v>31</v>
      </c>
      <c r="K350" s="11" t="s">
        <v>31</v>
      </c>
      <c r="L350" s="11" t="s">
        <v>517</v>
      </c>
      <c r="M350" s="11" t="s">
        <v>32</v>
      </c>
      <c r="N350" s="11" t="s">
        <v>653</v>
      </c>
      <c r="O350" s="11" t="s">
        <v>312</v>
      </c>
      <c r="P350" s="11" t="s">
        <v>174</v>
      </c>
      <c r="Q350" s="11" t="s">
        <v>604</v>
      </c>
      <c r="R350" s="11" t="s">
        <v>596</v>
      </c>
      <c r="S350" s="11" t="s">
        <v>35</v>
      </c>
      <c r="T350" s="158">
        <v>1.629</v>
      </c>
      <c r="U350" s="11" t="s">
        <v>2198</v>
      </c>
      <c r="V350" s="174">
        <v>4.99E-2</v>
      </c>
      <c r="W350" s="189">
        <v>5.1920000000000001E-2</v>
      </c>
      <c r="X350" s="4" t="s">
        <v>602</v>
      </c>
      <c r="Y350" s="4" t="s">
        <v>312</v>
      </c>
      <c r="Z350" s="158">
        <v>43774.67</v>
      </c>
      <c r="AA350" s="158">
        <v>1</v>
      </c>
      <c r="AB350" s="158">
        <v>101.04</v>
      </c>
      <c r="AD350" s="158">
        <v>44.23</v>
      </c>
      <c r="AG350" s="11" t="s">
        <v>37</v>
      </c>
      <c r="AH350" s="189">
        <v>1.3899999999999999E-4</v>
      </c>
      <c r="AI350" s="189">
        <v>7.2605746650750396E-4</v>
      </c>
      <c r="AJ350" s="189">
        <v>1.3867719197975601E-4</v>
      </c>
    </row>
    <row r="351" spans="1:36">
      <c r="A351" s="11" t="s">
        <v>256</v>
      </c>
      <c r="B351" s="11">
        <v>556</v>
      </c>
      <c r="C351" s="11" t="s">
        <v>2646</v>
      </c>
      <c r="D351" s="11" t="s">
        <v>2647</v>
      </c>
      <c r="E351" s="4" t="s">
        <v>1552</v>
      </c>
      <c r="F351" s="11" t="s">
        <v>2648</v>
      </c>
      <c r="G351" s="11" t="s">
        <v>2649</v>
      </c>
      <c r="H351" s="11" t="s">
        <v>511</v>
      </c>
      <c r="I351" s="11" t="s">
        <v>1154</v>
      </c>
      <c r="J351" s="11" t="s">
        <v>31</v>
      </c>
      <c r="K351" s="11" t="s">
        <v>31</v>
      </c>
      <c r="L351" s="11" t="s">
        <v>517</v>
      </c>
      <c r="M351" s="11" t="s">
        <v>32</v>
      </c>
      <c r="N351" s="11" t="s">
        <v>649</v>
      </c>
      <c r="O351" s="11" t="s">
        <v>312</v>
      </c>
      <c r="P351" s="11" t="s">
        <v>174</v>
      </c>
      <c r="Q351" s="11" t="s">
        <v>604</v>
      </c>
      <c r="R351" s="11" t="s">
        <v>596</v>
      </c>
      <c r="S351" s="11" t="s">
        <v>35</v>
      </c>
      <c r="T351" s="158">
        <v>1.456</v>
      </c>
      <c r="U351" s="11" t="s">
        <v>2333</v>
      </c>
      <c r="V351" s="174">
        <v>3.2500000000000001E-2</v>
      </c>
      <c r="W351" s="189">
        <v>5.3999999999999999E-2</v>
      </c>
      <c r="X351" s="4" t="s">
        <v>602</v>
      </c>
      <c r="Y351" s="4" t="s">
        <v>312</v>
      </c>
      <c r="Z351" s="158">
        <v>62518.27</v>
      </c>
      <c r="AA351" s="158">
        <v>1</v>
      </c>
      <c r="AB351" s="158">
        <v>97.08</v>
      </c>
      <c r="AD351" s="158">
        <v>60.692999999999998</v>
      </c>
      <c r="AG351" s="11" t="s">
        <v>37</v>
      </c>
      <c r="AH351" s="189">
        <v>1.9699999999999999E-4</v>
      </c>
      <c r="AI351" s="189">
        <v>9.9630313521922409E-4</v>
      </c>
      <c r="AJ351" s="189">
        <v>1.90294195055153E-4</v>
      </c>
    </row>
    <row r="352" spans="1:36">
      <c r="A352" s="11" t="s">
        <v>256</v>
      </c>
      <c r="B352" s="11">
        <v>556</v>
      </c>
      <c r="C352" s="11" t="s">
        <v>2837</v>
      </c>
      <c r="D352" s="11" t="s">
        <v>2838</v>
      </c>
      <c r="E352" s="4" t="s">
        <v>1552</v>
      </c>
      <c r="F352" s="11" t="s">
        <v>2905</v>
      </c>
      <c r="G352" s="11" t="s">
        <v>2906</v>
      </c>
      <c r="H352" s="11" t="s">
        <v>511</v>
      </c>
      <c r="I352" s="11" t="s">
        <v>945</v>
      </c>
      <c r="J352" s="11" t="s">
        <v>31</v>
      </c>
      <c r="K352" s="11" t="s">
        <v>31</v>
      </c>
      <c r="L352" s="11" t="s">
        <v>517</v>
      </c>
      <c r="M352" s="11" t="s">
        <v>32</v>
      </c>
      <c r="N352" s="11" t="s">
        <v>635</v>
      </c>
      <c r="O352" s="11" t="s">
        <v>312</v>
      </c>
      <c r="P352" s="11" t="s">
        <v>2165</v>
      </c>
      <c r="Q352" s="27" t="s">
        <v>2165</v>
      </c>
      <c r="R352" s="16" t="s">
        <v>2165</v>
      </c>
      <c r="S352" s="11" t="s">
        <v>35</v>
      </c>
      <c r="T352" s="158">
        <v>3.4409999999999998</v>
      </c>
      <c r="U352" s="11" t="s">
        <v>2665</v>
      </c>
      <c r="V352" s="174">
        <v>3.7900000000000003E-2</v>
      </c>
      <c r="W352" s="189">
        <v>3.0700000000000002E-2</v>
      </c>
      <c r="X352" s="4" t="s">
        <v>602</v>
      </c>
      <c r="Y352" s="4" t="s">
        <v>312</v>
      </c>
      <c r="Z352" s="158">
        <v>141550</v>
      </c>
      <c r="AA352" s="158">
        <v>1</v>
      </c>
      <c r="AB352" s="158">
        <v>109.7</v>
      </c>
      <c r="AD352" s="158">
        <v>155.28</v>
      </c>
      <c r="AG352" s="11" t="s">
        <v>37</v>
      </c>
      <c r="AH352" s="189">
        <v>1.1000000000000001E-3</v>
      </c>
      <c r="AI352" s="189">
        <v>2.54900847158464E-3</v>
      </c>
      <c r="AJ352" s="189">
        <v>4.8686137596288197E-4</v>
      </c>
    </row>
    <row r="353" spans="1:36">
      <c r="A353" s="11" t="s">
        <v>256</v>
      </c>
      <c r="B353" s="11">
        <v>556</v>
      </c>
      <c r="C353" s="11" t="s">
        <v>2650</v>
      </c>
      <c r="D353" s="11" t="s">
        <v>2651</v>
      </c>
      <c r="E353" s="4" t="s">
        <v>1552</v>
      </c>
      <c r="F353" s="11" t="s">
        <v>2652</v>
      </c>
      <c r="G353" s="11" t="s">
        <v>2653</v>
      </c>
      <c r="H353" s="11" t="s">
        <v>511</v>
      </c>
      <c r="I353" s="11" t="s">
        <v>1154</v>
      </c>
      <c r="J353" s="11" t="s">
        <v>31</v>
      </c>
      <c r="K353" s="18" t="s">
        <v>31</v>
      </c>
      <c r="L353" s="11" t="s">
        <v>517</v>
      </c>
      <c r="M353" s="11" t="s">
        <v>342</v>
      </c>
      <c r="N353" s="11" t="s">
        <v>635</v>
      </c>
      <c r="O353" s="11" t="s">
        <v>312</v>
      </c>
      <c r="P353" s="11" t="s">
        <v>2221</v>
      </c>
      <c r="Q353" s="11" t="s">
        <v>604</v>
      </c>
      <c r="R353" s="11" t="s">
        <v>596</v>
      </c>
      <c r="S353" s="11" t="s">
        <v>35</v>
      </c>
      <c r="T353" s="158">
        <v>0.98399999999999999</v>
      </c>
      <c r="U353" s="11" t="s">
        <v>2188</v>
      </c>
      <c r="V353" s="174">
        <v>4.3999999999999997E-2</v>
      </c>
      <c r="W353" s="189">
        <v>6.0580000000000002E-2</v>
      </c>
      <c r="X353" s="4" t="s">
        <v>602</v>
      </c>
      <c r="Y353" s="4" t="s">
        <v>312</v>
      </c>
      <c r="Z353" s="158">
        <v>19500</v>
      </c>
      <c r="AA353" s="158">
        <v>1</v>
      </c>
      <c r="AB353" s="158">
        <v>98.53</v>
      </c>
      <c r="AD353" s="158">
        <v>19.213000000000001</v>
      </c>
      <c r="AG353" s="11" t="s">
        <v>37</v>
      </c>
      <c r="AH353" s="189">
        <v>1.4799999999999999E-4</v>
      </c>
      <c r="AI353" s="189">
        <v>3.1539722777235298E-4</v>
      </c>
      <c r="AJ353" s="189">
        <v>6.02409642807763E-5</v>
      </c>
    </row>
    <row r="354" spans="1:36">
      <c r="A354" s="11" t="s">
        <v>256</v>
      </c>
      <c r="B354" s="11">
        <v>556</v>
      </c>
      <c r="C354" s="11" t="s">
        <v>2654</v>
      </c>
      <c r="D354" s="11" t="s">
        <v>2655</v>
      </c>
      <c r="E354" s="4" t="s">
        <v>1552</v>
      </c>
      <c r="F354" s="11" t="s">
        <v>2656</v>
      </c>
      <c r="G354" s="11" t="s">
        <v>2657</v>
      </c>
      <c r="H354" s="11" t="s">
        <v>511</v>
      </c>
      <c r="I354" s="11" t="s">
        <v>1154</v>
      </c>
      <c r="J354" s="11" t="s">
        <v>31</v>
      </c>
      <c r="K354" s="11" t="s">
        <v>31</v>
      </c>
      <c r="L354" s="11" t="s">
        <v>517</v>
      </c>
      <c r="M354" s="11" t="s">
        <v>32</v>
      </c>
      <c r="N354" s="11" t="s">
        <v>635</v>
      </c>
      <c r="O354" s="11" t="s">
        <v>312</v>
      </c>
      <c r="P354" s="11" t="s">
        <v>2327</v>
      </c>
      <c r="Q354" s="11" t="s">
        <v>358</v>
      </c>
      <c r="R354" s="11" t="s">
        <v>596</v>
      </c>
      <c r="S354" s="11" t="s">
        <v>35</v>
      </c>
      <c r="T354" s="158">
        <v>0.98</v>
      </c>
      <c r="U354" s="11" t="s">
        <v>2317</v>
      </c>
      <c r="V354" s="174">
        <v>4.9500000000000002E-2</v>
      </c>
      <c r="W354" s="189">
        <v>5.5849999999999997E-2</v>
      </c>
      <c r="X354" s="4" t="s">
        <v>602</v>
      </c>
      <c r="Y354" s="4" t="s">
        <v>312</v>
      </c>
      <c r="Z354" s="158">
        <v>79200</v>
      </c>
      <c r="AA354" s="158">
        <v>1</v>
      </c>
      <c r="AB354" s="158">
        <v>99.24</v>
      </c>
      <c r="AD354" s="158">
        <v>78.597999999999999</v>
      </c>
      <c r="AG354" s="11" t="s">
        <v>37</v>
      </c>
      <c r="AH354" s="189">
        <v>8.9999999999999998E-4</v>
      </c>
      <c r="AI354" s="189">
        <v>1.29022874929305E-3</v>
      </c>
      <c r="AJ354" s="189">
        <v>2.4643407473540999E-4</v>
      </c>
    </row>
    <row r="355" spans="1:36">
      <c r="A355" s="11" t="s">
        <v>256</v>
      </c>
      <c r="B355" s="11">
        <v>556</v>
      </c>
      <c r="C355" s="11" t="s">
        <v>2907</v>
      </c>
      <c r="D355" s="11" t="s">
        <v>2908</v>
      </c>
      <c r="E355" s="4" t="s">
        <v>504</v>
      </c>
      <c r="F355" s="11" t="s">
        <v>2909</v>
      </c>
      <c r="G355" s="11" t="s">
        <v>2910</v>
      </c>
      <c r="H355" s="11" t="s">
        <v>511</v>
      </c>
      <c r="I355" s="11" t="s">
        <v>945</v>
      </c>
      <c r="J355" s="11" t="s">
        <v>31</v>
      </c>
      <c r="K355" s="11" t="s">
        <v>31</v>
      </c>
      <c r="L355" s="11" t="s">
        <v>517</v>
      </c>
      <c r="M355" s="11" t="s">
        <v>32</v>
      </c>
      <c r="N355" s="11" t="s">
        <v>639</v>
      </c>
      <c r="O355" s="11" t="s">
        <v>312</v>
      </c>
      <c r="P355" s="11" t="s">
        <v>2165</v>
      </c>
      <c r="Q355" s="27" t="s">
        <v>2165</v>
      </c>
      <c r="R355" s="16" t="s">
        <v>2165</v>
      </c>
      <c r="S355" s="11" t="s">
        <v>35</v>
      </c>
      <c r="T355" s="158">
        <v>1.452</v>
      </c>
      <c r="U355" s="11" t="s">
        <v>2162</v>
      </c>
      <c r="V355" s="174">
        <v>4.9000000000000002E-2</v>
      </c>
      <c r="W355" s="189">
        <v>1E-4</v>
      </c>
      <c r="X355" s="4" t="s">
        <v>602</v>
      </c>
      <c r="Y355" s="4" t="s">
        <v>530</v>
      </c>
      <c r="Z355" s="158">
        <v>142983.67999999999</v>
      </c>
      <c r="AA355" s="158">
        <v>1</v>
      </c>
      <c r="AB355" s="158">
        <v>24.03</v>
      </c>
      <c r="AD355" s="158">
        <v>34.359000000000002</v>
      </c>
      <c r="AG355" s="11" t="s">
        <v>37</v>
      </c>
      <c r="AH355" s="189">
        <v>3.1500000000000001E-4</v>
      </c>
      <c r="AI355" s="189">
        <v>5.6402066824223903E-4</v>
      </c>
      <c r="AJ355" s="189">
        <v>1.07728115333101E-4</v>
      </c>
    </row>
    <row r="356" spans="1:36">
      <c r="A356" s="11" t="s">
        <v>256</v>
      </c>
      <c r="B356" s="11">
        <v>556</v>
      </c>
      <c r="C356" s="11" t="s">
        <v>2658</v>
      </c>
      <c r="D356" s="11" t="s">
        <v>2659</v>
      </c>
      <c r="E356" s="4" t="s">
        <v>1552</v>
      </c>
      <c r="F356" s="11" t="s">
        <v>2660</v>
      </c>
      <c r="G356" s="11" t="s">
        <v>2661</v>
      </c>
      <c r="H356" s="11" t="s">
        <v>511</v>
      </c>
      <c r="I356" s="11" t="s">
        <v>1154</v>
      </c>
      <c r="J356" s="11" t="s">
        <v>31</v>
      </c>
      <c r="K356" s="11" t="s">
        <v>31</v>
      </c>
      <c r="L356" s="11" t="s">
        <v>517</v>
      </c>
      <c r="M356" s="11" t="s">
        <v>32</v>
      </c>
      <c r="N356" s="11" t="s">
        <v>650</v>
      </c>
      <c r="O356" s="11" t="s">
        <v>312</v>
      </c>
      <c r="P356" s="11" t="s">
        <v>2394</v>
      </c>
      <c r="Q356" s="11" t="s">
        <v>358</v>
      </c>
      <c r="R356" s="11" t="s">
        <v>596</v>
      </c>
      <c r="S356" s="11" t="s">
        <v>35</v>
      </c>
      <c r="T356" s="158">
        <v>1.133</v>
      </c>
      <c r="U356" s="11" t="s">
        <v>2662</v>
      </c>
      <c r="V356" s="174">
        <v>2.75E-2</v>
      </c>
      <c r="W356" s="189">
        <v>5.092E-2</v>
      </c>
      <c r="X356" s="4" t="s">
        <v>602</v>
      </c>
      <c r="Y356" s="4" t="s">
        <v>312</v>
      </c>
      <c r="Z356" s="158">
        <v>93935.24</v>
      </c>
      <c r="AA356" s="158">
        <v>1</v>
      </c>
      <c r="AB356" s="158">
        <v>98.38</v>
      </c>
      <c r="AD356" s="158">
        <v>92.412999999999997</v>
      </c>
      <c r="AG356" s="11" t="s">
        <v>37</v>
      </c>
      <c r="AH356" s="189">
        <v>4.17E-4</v>
      </c>
      <c r="AI356" s="189">
        <v>1.5170159433256199E-3</v>
      </c>
      <c r="AJ356" s="189">
        <v>2.8975049622569202E-4</v>
      </c>
    </row>
    <row r="357" spans="1:36">
      <c r="A357" s="11" t="s">
        <v>256</v>
      </c>
      <c r="B357" s="11">
        <v>556</v>
      </c>
      <c r="C357" s="11" t="s">
        <v>2658</v>
      </c>
      <c r="D357" s="11" t="s">
        <v>2659</v>
      </c>
      <c r="E357" s="4" t="s">
        <v>1552</v>
      </c>
      <c r="F357" s="11" t="s">
        <v>2663</v>
      </c>
      <c r="G357" s="11" t="s">
        <v>2664</v>
      </c>
      <c r="H357" s="11" t="s">
        <v>511</v>
      </c>
      <c r="I357" s="11" t="s">
        <v>1154</v>
      </c>
      <c r="J357" s="11" t="s">
        <v>31</v>
      </c>
      <c r="K357" s="11" t="s">
        <v>31</v>
      </c>
      <c r="L357" s="11" t="s">
        <v>517</v>
      </c>
      <c r="M357" s="11" t="s">
        <v>32</v>
      </c>
      <c r="N357" s="11" t="s">
        <v>650</v>
      </c>
      <c r="O357" s="11" t="s">
        <v>312</v>
      </c>
      <c r="P357" s="11" t="s">
        <v>2394</v>
      </c>
      <c r="Q357" s="11" t="s">
        <v>358</v>
      </c>
      <c r="R357" s="11" t="s">
        <v>596</v>
      </c>
      <c r="S357" s="11" t="s">
        <v>35</v>
      </c>
      <c r="T357" s="158">
        <v>2.1419999999999999</v>
      </c>
      <c r="U357" s="11" t="s">
        <v>2665</v>
      </c>
      <c r="V357" s="174">
        <v>2.1499999999999998E-2</v>
      </c>
      <c r="W357" s="189">
        <v>5.5379999999999999E-2</v>
      </c>
      <c r="X357" s="4" t="s">
        <v>602</v>
      </c>
      <c r="Y357" s="4" t="s">
        <v>312</v>
      </c>
      <c r="Z357" s="158">
        <v>324920.88</v>
      </c>
      <c r="AA357" s="158">
        <v>1</v>
      </c>
      <c r="AB357" s="158">
        <v>93.09</v>
      </c>
      <c r="AC357" s="158">
        <v>20.928000000000001</v>
      </c>
      <c r="AD357" s="158">
        <v>323.39699999999999</v>
      </c>
      <c r="AG357" s="11" t="s">
        <v>37</v>
      </c>
      <c r="AH357" s="189">
        <v>3.3300000000000002E-4</v>
      </c>
      <c r="AI357" s="189">
        <v>5.3087337991486201E-3</v>
      </c>
      <c r="AJ357" s="189">
        <v>1.0139697340697299E-3</v>
      </c>
    </row>
    <row r="358" spans="1:36">
      <c r="A358" s="11" t="s">
        <v>256</v>
      </c>
      <c r="B358" s="11">
        <v>556</v>
      </c>
      <c r="C358" s="11" t="s">
        <v>2666</v>
      </c>
      <c r="D358" s="11" t="s">
        <v>2667</v>
      </c>
      <c r="E358" s="4" t="s">
        <v>1552</v>
      </c>
      <c r="F358" s="11" t="s">
        <v>2668</v>
      </c>
      <c r="G358" s="11" t="s">
        <v>2669</v>
      </c>
      <c r="H358" s="11" t="s">
        <v>511</v>
      </c>
      <c r="I358" s="11" t="s">
        <v>945</v>
      </c>
      <c r="J358" s="11" t="s">
        <v>31</v>
      </c>
      <c r="K358" s="11" t="s">
        <v>31</v>
      </c>
      <c r="L358" s="11" t="s">
        <v>517</v>
      </c>
      <c r="M358" s="11" t="s">
        <v>32</v>
      </c>
      <c r="N358" s="11" t="s">
        <v>652</v>
      </c>
      <c r="O358" s="11" t="s">
        <v>312</v>
      </c>
      <c r="P358" s="11" t="s">
        <v>2169</v>
      </c>
      <c r="Q358" s="11" t="s">
        <v>604</v>
      </c>
      <c r="R358" s="11" t="s">
        <v>596</v>
      </c>
      <c r="S358" s="11" t="s">
        <v>35</v>
      </c>
      <c r="T358" s="158">
        <v>1.4059999999999999</v>
      </c>
      <c r="U358" s="11" t="s">
        <v>2670</v>
      </c>
      <c r="V358" s="174">
        <v>1.6E-2</v>
      </c>
      <c r="W358" s="189">
        <v>2.6790000000000001E-2</v>
      </c>
      <c r="X358" s="4" t="s">
        <v>602</v>
      </c>
      <c r="Y358" s="4" t="s">
        <v>312</v>
      </c>
      <c r="Z358" s="158">
        <v>307061.83</v>
      </c>
      <c r="AA358" s="158">
        <v>1</v>
      </c>
      <c r="AB358" s="158">
        <v>113.63</v>
      </c>
      <c r="AD358" s="158">
        <v>348.91399999999999</v>
      </c>
      <c r="AG358" s="11" t="s">
        <v>37</v>
      </c>
      <c r="AH358" s="189">
        <v>7.9199999999999995E-4</v>
      </c>
      <c r="AI358" s="189">
        <v>5.7276123665617202E-3</v>
      </c>
      <c r="AJ358" s="189">
        <v>1.09397566498973E-3</v>
      </c>
    </row>
    <row r="359" spans="1:36">
      <c r="A359" s="11" t="s">
        <v>256</v>
      </c>
      <c r="B359" s="11">
        <v>556</v>
      </c>
      <c r="C359" s="11" t="s">
        <v>2666</v>
      </c>
      <c r="D359" s="11" t="s">
        <v>2667</v>
      </c>
      <c r="E359" s="4" t="s">
        <v>1552</v>
      </c>
      <c r="F359" s="11" t="s">
        <v>2671</v>
      </c>
      <c r="G359" s="11" t="s">
        <v>2672</v>
      </c>
      <c r="H359" s="11" t="s">
        <v>511</v>
      </c>
      <c r="I359" s="11" t="s">
        <v>945</v>
      </c>
      <c r="J359" s="11" t="s">
        <v>31</v>
      </c>
      <c r="K359" s="11" t="s">
        <v>31</v>
      </c>
      <c r="L359" s="11" t="s">
        <v>517</v>
      </c>
      <c r="M359" s="11" t="s">
        <v>32</v>
      </c>
      <c r="N359" s="11" t="s">
        <v>652</v>
      </c>
      <c r="O359" s="11" t="s">
        <v>312</v>
      </c>
      <c r="P359" s="11" t="s">
        <v>2169</v>
      </c>
      <c r="Q359" s="11" t="s">
        <v>358</v>
      </c>
      <c r="R359" s="11" t="s">
        <v>596</v>
      </c>
      <c r="S359" s="11" t="s">
        <v>35</v>
      </c>
      <c r="T359" s="158">
        <v>2.484</v>
      </c>
      <c r="U359" s="11" t="s">
        <v>134</v>
      </c>
      <c r="V359" s="174">
        <v>1.4200000000000001E-2</v>
      </c>
      <c r="W359" s="189">
        <v>2.5100000000000001E-2</v>
      </c>
      <c r="X359" s="4" t="s">
        <v>602</v>
      </c>
      <c r="Y359" s="4" t="s">
        <v>312</v>
      </c>
      <c r="Z359" s="158">
        <v>387530.14</v>
      </c>
      <c r="AA359" s="158">
        <v>1</v>
      </c>
      <c r="AB359" s="158">
        <v>110.8</v>
      </c>
      <c r="AD359" s="158">
        <v>429.38299999999998</v>
      </c>
      <c r="AG359" s="11" t="s">
        <v>37</v>
      </c>
      <c r="AH359" s="189">
        <v>3.28E-4</v>
      </c>
      <c r="AI359" s="189">
        <v>7.0485538686553299E-3</v>
      </c>
      <c r="AJ359" s="189">
        <v>1.34627588464179E-3</v>
      </c>
    </row>
    <row r="360" spans="1:36">
      <c r="A360" s="11" t="s">
        <v>256</v>
      </c>
      <c r="B360" s="11">
        <v>556</v>
      </c>
      <c r="C360" s="11" t="s">
        <v>2673</v>
      </c>
      <c r="D360" s="11" t="s">
        <v>2674</v>
      </c>
      <c r="E360" s="4" t="s">
        <v>1552</v>
      </c>
      <c r="F360" s="11" t="s">
        <v>2675</v>
      </c>
      <c r="G360" s="11" t="s">
        <v>2676</v>
      </c>
      <c r="H360" s="11" t="s">
        <v>511</v>
      </c>
      <c r="I360" s="11" t="s">
        <v>1154</v>
      </c>
      <c r="J360" s="11" t="s">
        <v>31</v>
      </c>
      <c r="K360" s="11" t="s">
        <v>31</v>
      </c>
      <c r="L360" s="11" t="s">
        <v>517</v>
      </c>
      <c r="M360" s="11" t="s">
        <v>32</v>
      </c>
      <c r="N360" s="11" t="s">
        <v>635</v>
      </c>
      <c r="O360" s="11" t="s">
        <v>312</v>
      </c>
      <c r="P360" s="11" t="s">
        <v>2206</v>
      </c>
      <c r="Q360" s="11" t="s">
        <v>604</v>
      </c>
      <c r="R360" s="11" t="s">
        <v>596</v>
      </c>
      <c r="S360" s="11" t="s">
        <v>35</v>
      </c>
      <c r="T360" s="158">
        <v>0.51100000000000001</v>
      </c>
      <c r="U360" s="11" t="s">
        <v>2677</v>
      </c>
      <c r="V360" s="174">
        <v>4.3499999999999997E-2</v>
      </c>
      <c r="W360" s="189">
        <v>7.0150000000000004E-2</v>
      </c>
      <c r="X360" s="4" t="s">
        <v>602</v>
      </c>
      <c r="Y360" s="4" t="s">
        <v>312</v>
      </c>
      <c r="Z360" s="158">
        <v>42428</v>
      </c>
      <c r="AA360" s="158">
        <v>1</v>
      </c>
      <c r="AB360" s="158">
        <v>100.74</v>
      </c>
      <c r="AD360" s="158">
        <v>42.741999999999997</v>
      </c>
      <c r="AG360" s="11" t="s">
        <v>37</v>
      </c>
      <c r="AH360" s="189">
        <v>8.8400000000000002E-4</v>
      </c>
      <c r="AI360" s="189">
        <v>7.0163183226334004E-4</v>
      </c>
      <c r="AJ360" s="189">
        <v>1.34011888576709E-4</v>
      </c>
    </row>
    <row r="361" spans="1:36">
      <c r="A361" s="11" t="s">
        <v>256</v>
      </c>
      <c r="B361" s="11">
        <v>556</v>
      </c>
      <c r="C361" s="11" t="s">
        <v>2678</v>
      </c>
      <c r="D361" s="11" t="s">
        <v>2679</v>
      </c>
      <c r="E361" s="4" t="s">
        <v>1552</v>
      </c>
      <c r="F361" s="11" t="s">
        <v>2680</v>
      </c>
      <c r="G361" s="11" t="s">
        <v>2681</v>
      </c>
      <c r="H361" s="11" t="s">
        <v>511</v>
      </c>
      <c r="I361" s="11" t="s">
        <v>945</v>
      </c>
      <c r="J361" s="11" t="s">
        <v>31</v>
      </c>
      <c r="K361" s="11" t="s">
        <v>31</v>
      </c>
      <c r="L361" s="11" t="s">
        <v>517</v>
      </c>
      <c r="M361" s="11" t="s">
        <v>32</v>
      </c>
      <c r="N361" s="11" t="s">
        <v>652</v>
      </c>
      <c r="O361" s="11" t="s">
        <v>312</v>
      </c>
      <c r="P361" s="11" t="s">
        <v>2169</v>
      </c>
      <c r="Q361" s="11" t="s">
        <v>358</v>
      </c>
      <c r="R361" s="11" t="s">
        <v>596</v>
      </c>
      <c r="S361" s="11" t="s">
        <v>35</v>
      </c>
      <c r="T361" s="158">
        <v>0.219</v>
      </c>
      <c r="U361" s="11" t="s">
        <v>2682</v>
      </c>
      <c r="V361" s="174">
        <v>0.04</v>
      </c>
      <c r="W361" s="189">
        <v>2.223E-2</v>
      </c>
      <c r="X361" s="4" t="s">
        <v>602</v>
      </c>
      <c r="Y361" s="4" t="s">
        <v>312</v>
      </c>
      <c r="Z361" s="158">
        <v>171000.38</v>
      </c>
      <c r="AA361" s="158">
        <v>1</v>
      </c>
      <c r="AB361" s="158">
        <v>115.01</v>
      </c>
      <c r="AD361" s="158">
        <v>196.66800000000001</v>
      </c>
      <c r="AG361" s="11" t="s">
        <v>37</v>
      </c>
      <c r="AH361" s="189">
        <v>2.0999999999999999E-3</v>
      </c>
      <c r="AI361" s="189">
        <v>3.22840087619295E-3</v>
      </c>
      <c r="AJ361" s="189">
        <v>6.1662552724508796E-4</v>
      </c>
    </row>
    <row r="362" spans="1:36">
      <c r="A362" s="11" t="s">
        <v>256</v>
      </c>
      <c r="B362" s="11">
        <v>556</v>
      </c>
      <c r="C362" s="11" t="s">
        <v>2678</v>
      </c>
      <c r="D362" s="11" t="s">
        <v>2679</v>
      </c>
      <c r="E362" s="4" t="s">
        <v>1552</v>
      </c>
      <c r="F362" s="11" t="s">
        <v>2683</v>
      </c>
      <c r="G362" s="11" t="s">
        <v>2684</v>
      </c>
      <c r="H362" s="11" t="s">
        <v>511</v>
      </c>
      <c r="I362" s="11" t="s">
        <v>945</v>
      </c>
      <c r="J362" s="11" t="s">
        <v>31</v>
      </c>
      <c r="K362" s="11" t="s">
        <v>31</v>
      </c>
      <c r="L362" s="11" t="s">
        <v>517</v>
      </c>
      <c r="M362" s="11" t="s">
        <v>32</v>
      </c>
      <c r="N362" s="11" t="s">
        <v>652</v>
      </c>
      <c r="O362" s="11" t="s">
        <v>312</v>
      </c>
      <c r="P362" s="11" t="s">
        <v>2169</v>
      </c>
      <c r="Q362" s="11" t="s">
        <v>358</v>
      </c>
      <c r="R362" s="11" t="s">
        <v>596</v>
      </c>
      <c r="S362" s="11" t="s">
        <v>35</v>
      </c>
      <c r="T362" s="158">
        <v>3.621</v>
      </c>
      <c r="U362" s="11" t="s">
        <v>2685</v>
      </c>
      <c r="V362" s="174">
        <v>3.5000000000000003E-2</v>
      </c>
      <c r="W362" s="189">
        <v>3.109E-2</v>
      </c>
      <c r="X362" s="4" t="s">
        <v>602</v>
      </c>
      <c r="Y362" s="4" t="s">
        <v>312</v>
      </c>
      <c r="Z362" s="158">
        <v>726628.67</v>
      </c>
      <c r="AA362" s="158">
        <v>1</v>
      </c>
      <c r="AB362" s="158">
        <v>118.06</v>
      </c>
      <c r="AD362" s="158">
        <v>857.85799999999995</v>
      </c>
      <c r="AG362" s="11" t="s">
        <v>37</v>
      </c>
      <c r="AH362" s="189">
        <v>8.34E-4</v>
      </c>
      <c r="AI362" s="189">
        <v>1.40821863133508E-2</v>
      </c>
      <c r="AJ362" s="189">
        <v>2.6897017728706998E-3</v>
      </c>
    </row>
    <row r="363" spans="1:36">
      <c r="A363" s="11" t="s">
        <v>256</v>
      </c>
      <c r="B363" s="11">
        <v>556</v>
      </c>
      <c r="C363" s="11" t="s">
        <v>2678</v>
      </c>
      <c r="D363" s="11" t="s">
        <v>2679</v>
      </c>
      <c r="E363" s="4" t="s">
        <v>1552</v>
      </c>
      <c r="F363" s="11" t="s">
        <v>2686</v>
      </c>
      <c r="G363" s="11" t="s">
        <v>2687</v>
      </c>
      <c r="H363" s="11" t="s">
        <v>511</v>
      </c>
      <c r="I363" s="11" t="s">
        <v>945</v>
      </c>
      <c r="J363" s="11" t="s">
        <v>31</v>
      </c>
      <c r="K363" s="11" t="s">
        <v>31</v>
      </c>
      <c r="L363" s="11" t="s">
        <v>517</v>
      </c>
      <c r="M363" s="11" t="s">
        <v>32</v>
      </c>
      <c r="N363" s="11" t="s">
        <v>652</v>
      </c>
      <c r="O363" s="11" t="s">
        <v>312</v>
      </c>
      <c r="P363" s="11" t="s">
        <v>2169</v>
      </c>
      <c r="Q363" s="11" t="s">
        <v>358</v>
      </c>
      <c r="R363" s="11" t="s">
        <v>596</v>
      </c>
      <c r="S363" s="11" t="s">
        <v>35</v>
      </c>
      <c r="T363" s="158">
        <v>2.2850000000000001</v>
      </c>
      <c r="U363" s="11" t="s">
        <v>2688</v>
      </c>
      <c r="V363" s="174">
        <v>0.04</v>
      </c>
      <c r="W363" s="189">
        <v>2.7150000000000001E-2</v>
      </c>
      <c r="X363" s="4" t="s">
        <v>602</v>
      </c>
      <c r="Y363" s="4" t="s">
        <v>312</v>
      </c>
      <c r="Z363" s="158">
        <v>308195.34000000003</v>
      </c>
      <c r="AA363" s="158">
        <v>1</v>
      </c>
      <c r="AB363" s="158">
        <v>118.66</v>
      </c>
      <c r="AD363" s="158">
        <v>365.70499999999998</v>
      </c>
      <c r="AG363" s="11" t="s">
        <v>37</v>
      </c>
      <c r="AH363" s="189">
        <v>3.1100000000000002E-4</v>
      </c>
      <c r="AI363" s="189">
        <v>6.0032328568241002E-3</v>
      </c>
      <c r="AJ363" s="189">
        <v>1.1466192605793801E-3</v>
      </c>
    </row>
    <row r="364" spans="1:36">
      <c r="A364" s="11" t="s">
        <v>256</v>
      </c>
      <c r="B364" s="11">
        <v>556</v>
      </c>
      <c r="C364" s="11" t="s">
        <v>2689</v>
      </c>
      <c r="D364" s="11" t="s">
        <v>2690</v>
      </c>
      <c r="E364" s="4" t="s">
        <v>1552</v>
      </c>
      <c r="F364" s="11" t="s">
        <v>2691</v>
      </c>
      <c r="G364" s="11" t="s">
        <v>2692</v>
      </c>
      <c r="H364" s="11" t="s">
        <v>511</v>
      </c>
      <c r="I364" s="11" t="s">
        <v>945</v>
      </c>
      <c r="J364" s="11" t="s">
        <v>31</v>
      </c>
      <c r="K364" s="11" t="s">
        <v>31</v>
      </c>
      <c r="L364" s="11" t="s">
        <v>517</v>
      </c>
      <c r="M364" s="11" t="s">
        <v>32</v>
      </c>
      <c r="N364" s="11" t="s">
        <v>652</v>
      </c>
      <c r="O364" s="11" t="s">
        <v>312</v>
      </c>
      <c r="P364" s="11" t="s">
        <v>2165</v>
      </c>
      <c r="Q364" s="27" t="s">
        <v>2165</v>
      </c>
      <c r="R364" s="16" t="s">
        <v>2165</v>
      </c>
      <c r="S364" s="11" t="s">
        <v>35</v>
      </c>
      <c r="T364" s="158">
        <v>5.508</v>
      </c>
      <c r="U364" s="11" t="s">
        <v>2193</v>
      </c>
      <c r="V364" s="174">
        <v>6.4000000000000003E-3</v>
      </c>
      <c r="W364" s="189">
        <v>3.8469999999999997E-2</v>
      </c>
      <c r="X364" s="4" t="s">
        <v>602</v>
      </c>
      <c r="Y364" s="4" t="s">
        <v>312</v>
      </c>
      <c r="Z364" s="158">
        <v>207752.63</v>
      </c>
      <c r="AA364" s="158">
        <v>1</v>
      </c>
      <c r="AB364" s="158">
        <v>94.5</v>
      </c>
      <c r="AD364" s="158">
        <v>196.32599999999999</v>
      </c>
      <c r="AG364" s="11" t="s">
        <v>37</v>
      </c>
      <c r="AH364" s="189">
        <v>8.0199999999999998E-4</v>
      </c>
      <c r="AI364" s="189">
        <v>3.2227982297919201E-3</v>
      </c>
      <c r="AJ364" s="189">
        <v>6.1555542011667002E-4</v>
      </c>
    </row>
    <row r="365" spans="1:36">
      <c r="A365" s="11" t="s">
        <v>256</v>
      </c>
      <c r="B365" s="11">
        <v>556</v>
      </c>
      <c r="C365" s="11" t="s">
        <v>2693</v>
      </c>
      <c r="D365" s="11" t="s">
        <v>2694</v>
      </c>
      <c r="E365" s="4" t="s">
        <v>1552</v>
      </c>
      <c r="F365" s="11" t="s">
        <v>2695</v>
      </c>
      <c r="G365" s="11" t="s">
        <v>2696</v>
      </c>
      <c r="H365" s="11" t="s">
        <v>511</v>
      </c>
      <c r="I365" s="11" t="s">
        <v>945</v>
      </c>
      <c r="J365" s="11" t="s">
        <v>31</v>
      </c>
      <c r="K365" s="11" t="s">
        <v>31</v>
      </c>
      <c r="L365" s="11" t="s">
        <v>517</v>
      </c>
      <c r="M365" s="11" t="s">
        <v>32</v>
      </c>
      <c r="N365" s="11" t="s">
        <v>666</v>
      </c>
      <c r="O365" s="11" t="s">
        <v>312</v>
      </c>
      <c r="P365" s="11" t="s">
        <v>2571</v>
      </c>
      <c r="Q365" s="11" t="s">
        <v>604</v>
      </c>
      <c r="R365" s="11" t="s">
        <v>596</v>
      </c>
      <c r="S365" s="11" t="s">
        <v>35</v>
      </c>
      <c r="T365" s="158">
        <v>3.8940000000000001</v>
      </c>
      <c r="U365" s="11" t="s">
        <v>2697</v>
      </c>
      <c r="V365" s="174">
        <v>7.0000000000000001E-3</v>
      </c>
      <c r="W365" s="189">
        <v>1.8870000000000001E-2</v>
      </c>
      <c r="X365" s="4" t="s">
        <v>602</v>
      </c>
      <c r="Y365" s="4" t="s">
        <v>312</v>
      </c>
      <c r="Z365" s="158">
        <v>241111.11</v>
      </c>
      <c r="AA365" s="158">
        <v>1</v>
      </c>
      <c r="AB365" s="158">
        <v>106.94</v>
      </c>
      <c r="AD365" s="158">
        <v>257.84399999999999</v>
      </c>
      <c r="AG365" s="11" t="s">
        <v>37</v>
      </c>
      <c r="AH365" s="189">
        <v>3.0140000000000002E-3</v>
      </c>
      <c r="AI365" s="189">
        <v>4.2326482633817403E-3</v>
      </c>
      <c r="AJ365" s="189">
        <v>8.0843707678847105E-4</v>
      </c>
    </row>
    <row r="366" spans="1:36">
      <c r="A366" s="11" t="s">
        <v>256</v>
      </c>
      <c r="B366" s="11">
        <v>556</v>
      </c>
      <c r="C366" s="11" t="s">
        <v>2698</v>
      </c>
      <c r="D366" s="11" t="s">
        <v>2699</v>
      </c>
      <c r="E366" s="4" t="s">
        <v>1552</v>
      </c>
      <c r="F366" s="11" t="s">
        <v>2700</v>
      </c>
      <c r="G366" s="11" t="s">
        <v>2701</v>
      </c>
      <c r="H366" s="11" t="s">
        <v>511</v>
      </c>
      <c r="I366" s="11" t="s">
        <v>945</v>
      </c>
      <c r="J366" s="11" t="s">
        <v>31</v>
      </c>
      <c r="K366" s="11" t="s">
        <v>31</v>
      </c>
      <c r="L366" s="11" t="s">
        <v>517</v>
      </c>
      <c r="M366" s="11" t="s">
        <v>32</v>
      </c>
      <c r="N366" s="11" t="s">
        <v>652</v>
      </c>
      <c r="O366" s="11" t="s">
        <v>312</v>
      </c>
      <c r="P366" s="11" t="s">
        <v>2165</v>
      </c>
      <c r="Q366" s="27" t="s">
        <v>2165</v>
      </c>
      <c r="R366" s="16" t="s">
        <v>2165</v>
      </c>
      <c r="S366" s="11" t="s">
        <v>35</v>
      </c>
      <c r="T366" s="158">
        <v>2.8450000000000002</v>
      </c>
      <c r="U366" s="11" t="s">
        <v>2180</v>
      </c>
      <c r="V366" s="174">
        <v>4.2000000000000003E-2</v>
      </c>
      <c r="W366" s="189">
        <v>4.052E-2</v>
      </c>
      <c r="X366" s="4" t="s">
        <v>602</v>
      </c>
      <c r="Y366" s="4" t="s">
        <v>312</v>
      </c>
      <c r="Z366" s="158">
        <v>146000</v>
      </c>
      <c r="AA366" s="158">
        <v>1</v>
      </c>
      <c r="AB366" s="158">
        <v>103.05</v>
      </c>
      <c r="AD366" s="158">
        <v>150.453</v>
      </c>
      <c r="AG366" s="11" t="s">
        <v>37</v>
      </c>
      <c r="AH366" s="189">
        <v>1.4599999999999999E-3</v>
      </c>
      <c r="AI366" s="189">
        <v>2.4697649868468501E-3</v>
      </c>
      <c r="AJ366" s="189">
        <v>4.7172584681669997E-4</v>
      </c>
    </row>
    <row r="367" spans="1:36">
      <c r="A367" s="11" t="s">
        <v>256</v>
      </c>
      <c r="B367" s="11">
        <v>556</v>
      </c>
      <c r="C367" s="11" t="s">
        <v>2702</v>
      </c>
      <c r="D367" s="11" t="s">
        <v>2703</v>
      </c>
      <c r="E367" s="4" t="s">
        <v>1552</v>
      </c>
      <c r="F367" s="11" t="s">
        <v>2704</v>
      </c>
      <c r="G367" s="11" t="s">
        <v>2705</v>
      </c>
      <c r="H367" s="11" t="s">
        <v>511</v>
      </c>
      <c r="I367" s="11" t="s">
        <v>945</v>
      </c>
      <c r="J367" s="11" t="s">
        <v>31</v>
      </c>
      <c r="K367" s="11" t="s">
        <v>31</v>
      </c>
      <c r="L367" s="11" t="s">
        <v>517</v>
      </c>
      <c r="M367" s="11" t="s">
        <v>32</v>
      </c>
      <c r="N367" s="11" t="s">
        <v>652</v>
      </c>
      <c r="O367" s="11" t="s">
        <v>312</v>
      </c>
      <c r="P367" s="11" t="s">
        <v>2327</v>
      </c>
      <c r="Q367" s="11" t="s">
        <v>358</v>
      </c>
      <c r="R367" s="11" t="s">
        <v>596</v>
      </c>
      <c r="S367" s="11" t="s">
        <v>35</v>
      </c>
      <c r="T367" s="158">
        <v>3.24</v>
      </c>
      <c r="U367" s="11" t="s">
        <v>2706</v>
      </c>
      <c r="V367" s="174">
        <v>1.0800000000000001E-2</v>
      </c>
      <c r="W367" s="189">
        <v>3.6830000000000002E-2</v>
      </c>
      <c r="X367" s="4" t="s">
        <v>602</v>
      </c>
      <c r="Y367" s="4" t="s">
        <v>312</v>
      </c>
      <c r="Z367" s="158">
        <v>39000.629999999997</v>
      </c>
      <c r="AA367" s="158">
        <v>1</v>
      </c>
      <c r="AB367" s="158">
        <v>104.74</v>
      </c>
      <c r="AD367" s="158">
        <v>40.848999999999997</v>
      </c>
      <c r="AG367" s="11" t="s">
        <v>37</v>
      </c>
      <c r="AH367" s="189">
        <v>1.3100000000000001E-4</v>
      </c>
      <c r="AI367" s="189">
        <v>6.7056204758812298E-4</v>
      </c>
      <c r="AJ367" s="189">
        <v>1.28077550465842E-4</v>
      </c>
    </row>
    <row r="368" spans="1:36">
      <c r="A368" s="11" t="s">
        <v>256</v>
      </c>
      <c r="B368" s="11">
        <v>556</v>
      </c>
      <c r="C368" s="11" t="s">
        <v>2911</v>
      </c>
      <c r="D368" s="11" t="s">
        <v>2912</v>
      </c>
      <c r="E368" s="4" t="s">
        <v>1552</v>
      </c>
      <c r="F368" s="11" t="s">
        <v>2913</v>
      </c>
      <c r="G368" s="11" t="s">
        <v>2914</v>
      </c>
      <c r="H368" s="11" t="s">
        <v>511</v>
      </c>
      <c r="I368" s="11" t="s">
        <v>364</v>
      </c>
      <c r="J368" s="11" t="s">
        <v>31</v>
      </c>
      <c r="K368" s="11" t="s">
        <v>31</v>
      </c>
      <c r="L368" s="11" t="s">
        <v>517</v>
      </c>
      <c r="M368" s="11" t="s">
        <v>32</v>
      </c>
      <c r="N368" s="11" t="s">
        <v>642</v>
      </c>
      <c r="O368" s="11" t="s">
        <v>312</v>
      </c>
      <c r="P368" s="11" t="s">
        <v>2165</v>
      </c>
      <c r="Q368" s="27" t="s">
        <v>2165</v>
      </c>
      <c r="R368" s="16" t="s">
        <v>2165</v>
      </c>
      <c r="S368" s="11" t="s">
        <v>35</v>
      </c>
      <c r="T368" s="158">
        <v>2.78</v>
      </c>
      <c r="U368" s="11" t="s">
        <v>2915</v>
      </c>
      <c r="V368" s="174">
        <v>5.7000000000000002E-2</v>
      </c>
      <c r="W368" s="189">
        <v>7.9780000000000004E-2</v>
      </c>
      <c r="X368" s="4" t="s">
        <v>602</v>
      </c>
      <c r="Y368" s="4" t="s">
        <v>312</v>
      </c>
      <c r="Z368" s="158">
        <v>16720</v>
      </c>
      <c r="AA368" s="158">
        <v>1</v>
      </c>
      <c r="AB368" s="158">
        <v>110</v>
      </c>
      <c r="AD368" s="158">
        <v>18.391999999999999</v>
      </c>
      <c r="AG368" s="11" t="s">
        <v>37</v>
      </c>
      <c r="AH368" s="189">
        <v>6.3E-5</v>
      </c>
      <c r="AI368" s="189">
        <v>3.0191433629164701E-4</v>
      </c>
      <c r="AJ368" s="189">
        <v>5.7665727999127599E-5</v>
      </c>
    </row>
    <row r="369" spans="1:36">
      <c r="A369" s="11" t="s">
        <v>256</v>
      </c>
      <c r="B369" s="11">
        <v>556</v>
      </c>
      <c r="C369" s="11" t="s">
        <v>1979</v>
      </c>
      <c r="D369" s="11" t="s">
        <v>1980</v>
      </c>
      <c r="E369" s="4" t="s">
        <v>1552</v>
      </c>
      <c r="F369" s="11" t="s">
        <v>2707</v>
      </c>
      <c r="G369" s="11" t="s">
        <v>2708</v>
      </c>
      <c r="H369" s="11" t="s">
        <v>511</v>
      </c>
      <c r="I369" s="11" t="s">
        <v>1154</v>
      </c>
      <c r="J369" s="11" t="s">
        <v>31</v>
      </c>
      <c r="K369" s="11" t="s">
        <v>31</v>
      </c>
      <c r="L369" s="11" t="s">
        <v>517</v>
      </c>
      <c r="M369" s="11" t="s">
        <v>32</v>
      </c>
      <c r="N369" s="11" t="s">
        <v>647</v>
      </c>
      <c r="O369" s="11" t="s">
        <v>312</v>
      </c>
      <c r="P369" s="11" t="s">
        <v>2571</v>
      </c>
      <c r="Q369" s="11" t="s">
        <v>604</v>
      </c>
      <c r="R369" s="11" t="s">
        <v>596</v>
      </c>
      <c r="S369" s="11" t="s">
        <v>35</v>
      </c>
      <c r="T369" s="158">
        <v>1.9339999999999999</v>
      </c>
      <c r="U369" s="11" t="s">
        <v>2180</v>
      </c>
      <c r="V369" s="174">
        <v>2.6100000000000002E-2</v>
      </c>
      <c r="W369" s="189">
        <v>4.793E-2</v>
      </c>
      <c r="X369" s="4" t="s">
        <v>602</v>
      </c>
      <c r="Y369" s="4" t="s">
        <v>312</v>
      </c>
      <c r="Z369" s="158">
        <v>694500.57</v>
      </c>
      <c r="AA369" s="158">
        <v>1</v>
      </c>
      <c r="AB369" s="158">
        <v>95.99</v>
      </c>
      <c r="AD369" s="158">
        <v>666.65099999999995</v>
      </c>
      <c r="AG369" s="11" t="s">
        <v>37</v>
      </c>
      <c r="AH369" s="189">
        <v>1.439E-3</v>
      </c>
      <c r="AI369" s="189">
        <v>1.0943427769249E-2</v>
      </c>
      <c r="AJ369" s="189">
        <v>2.09019795770814E-3</v>
      </c>
    </row>
    <row r="370" spans="1:36">
      <c r="A370" s="11" t="s">
        <v>256</v>
      </c>
      <c r="B370" s="11">
        <v>556</v>
      </c>
      <c r="C370" s="11" t="s">
        <v>2709</v>
      </c>
      <c r="D370" s="11" t="s">
        <v>2710</v>
      </c>
      <c r="E370" s="4" t="s">
        <v>1552</v>
      </c>
      <c r="F370" s="11" t="s">
        <v>2711</v>
      </c>
      <c r="G370" s="11" t="s">
        <v>2712</v>
      </c>
      <c r="H370" s="11" t="s">
        <v>511</v>
      </c>
      <c r="I370" s="11" t="s">
        <v>1154</v>
      </c>
      <c r="J370" s="11" t="s">
        <v>31</v>
      </c>
      <c r="K370" s="11" t="s">
        <v>31</v>
      </c>
      <c r="L370" s="11" t="s">
        <v>517</v>
      </c>
      <c r="M370" s="11" t="s">
        <v>32</v>
      </c>
      <c r="N370" s="11" t="s">
        <v>666</v>
      </c>
      <c r="O370" s="11" t="s">
        <v>312</v>
      </c>
      <c r="P370" s="11" t="s">
        <v>2169</v>
      </c>
      <c r="Q370" s="11" t="s">
        <v>358</v>
      </c>
      <c r="R370" s="11" t="s">
        <v>596</v>
      </c>
      <c r="S370" s="11" t="s">
        <v>35</v>
      </c>
      <c r="T370" s="158">
        <v>1.069</v>
      </c>
      <c r="U370" s="11" t="s">
        <v>2713</v>
      </c>
      <c r="V370" s="174">
        <v>2.7E-2</v>
      </c>
      <c r="W370" s="189">
        <v>4.9639999999999997E-2</v>
      </c>
      <c r="X370" s="4" t="s">
        <v>602</v>
      </c>
      <c r="Y370" s="4" t="s">
        <v>312</v>
      </c>
      <c r="Z370" s="158">
        <v>82982.83</v>
      </c>
      <c r="AA370" s="158">
        <v>1</v>
      </c>
      <c r="AB370" s="158">
        <v>97.8</v>
      </c>
      <c r="AD370" s="158">
        <v>81.156999999999996</v>
      </c>
      <c r="AG370" s="11" t="s">
        <v>37</v>
      </c>
      <c r="AH370" s="189">
        <v>6.6299999999999996E-4</v>
      </c>
      <c r="AI370" s="189">
        <v>1.33223817475562E-3</v>
      </c>
      <c r="AJ370" s="189">
        <v>2.5445788748931802E-4</v>
      </c>
    </row>
    <row r="371" spans="1:36">
      <c r="A371" s="11" t="s">
        <v>256</v>
      </c>
      <c r="B371" s="11">
        <v>556</v>
      </c>
      <c r="C371" s="11" t="s">
        <v>2709</v>
      </c>
      <c r="D371" s="11" t="s">
        <v>2710</v>
      </c>
      <c r="E371" s="4" t="s">
        <v>1552</v>
      </c>
      <c r="F371" s="11" t="s">
        <v>2714</v>
      </c>
      <c r="G371" s="11" t="s">
        <v>2715</v>
      </c>
      <c r="H371" s="11" t="s">
        <v>511</v>
      </c>
      <c r="I371" s="11" t="s">
        <v>945</v>
      </c>
      <c r="J371" s="11" t="s">
        <v>31</v>
      </c>
      <c r="K371" s="11" t="s">
        <v>31</v>
      </c>
      <c r="L371" s="11" t="s">
        <v>517</v>
      </c>
      <c r="M371" s="11" t="s">
        <v>32</v>
      </c>
      <c r="N371" s="11" t="s">
        <v>666</v>
      </c>
      <c r="O371" s="11" t="s">
        <v>312</v>
      </c>
      <c r="P371" s="11" t="s">
        <v>2169</v>
      </c>
      <c r="Q371" s="11" t="s">
        <v>358</v>
      </c>
      <c r="R371" s="11" t="s">
        <v>596</v>
      </c>
      <c r="S371" s="11" t="s">
        <v>35</v>
      </c>
      <c r="T371" s="158">
        <v>1.0780000000000001</v>
      </c>
      <c r="U371" s="11" t="s">
        <v>2713</v>
      </c>
      <c r="V371" s="174">
        <v>1.7999999999999999E-2</v>
      </c>
      <c r="W371" s="189">
        <v>3.0530000000000002E-2</v>
      </c>
      <c r="X371" s="4" t="s">
        <v>602</v>
      </c>
      <c r="Y371" s="4" t="s">
        <v>312</v>
      </c>
      <c r="Z371" s="158">
        <v>149470.94</v>
      </c>
      <c r="AA371" s="158">
        <v>1</v>
      </c>
      <c r="AB371" s="158">
        <v>112.65</v>
      </c>
      <c r="AD371" s="158">
        <v>168.37899999999999</v>
      </c>
      <c r="AG371" s="11" t="s">
        <v>37</v>
      </c>
      <c r="AH371" s="189">
        <v>2.3000000000000001E-4</v>
      </c>
      <c r="AI371" s="189">
        <v>2.7640299168159902E-3</v>
      </c>
      <c r="AJ371" s="189">
        <v>5.2793053593384995E-4</v>
      </c>
    </row>
    <row r="372" spans="1:36">
      <c r="A372" s="11" t="s">
        <v>256</v>
      </c>
      <c r="B372" s="11">
        <v>556</v>
      </c>
      <c r="C372" s="11" t="s">
        <v>2716</v>
      </c>
      <c r="D372" s="11" t="s">
        <v>2717</v>
      </c>
      <c r="E372" s="4" t="s">
        <v>1552</v>
      </c>
      <c r="F372" s="11" t="s">
        <v>2718</v>
      </c>
      <c r="G372" s="11" t="s">
        <v>2719</v>
      </c>
      <c r="H372" s="11" t="s">
        <v>511</v>
      </c>
      <c r="I372" s="11" t="s">
        <v>364</v>
      </c>
      <c r="J372" s="11" t="s">
        <v>31</v>
      </c>
      <c r="K372" s="11" t="s">
        <v>31</v>
      </c>
      <c r="L372" s="11" t="s">
        <v>517</v>
      </c>
      <c r="M372" s="11" t="s">
        <v>32</v>
      </c>
      <c r="N372" s="11" t="s">
        <v>642</v>
      </c>
      <c r="O372" s="11" t="s">
        <v>312</v>
      </c>
      <c r="P372" s="11" t="s">
        <v>2418</v>
      </c>
      <c r="Q372" s="11" t="s">
        <v>604</v>
      </c>
      <c r="R372" s="11" t="s">
        <v>596</v>
      </c>
      <c r="S372" s="11" t="s">
        <v>35</v>
      </c>
      <c r="T372" s="158">
        <v>2.8</v>
      </c>
      <c r="U372" s="11" t="s">
        <v>2720</v>
      </c>
      <c r="V372" s="174">
        <v>5.4800000000000001E-2</v>
      </c>
      <c r="W372" s="189">
        <v>6.6320000000000004E-2</v>
      </c>
      <c r="X372" s="4" t="s">
        <v>602</v>
      </c>
      <c r="Y372" s="4" t="s">
        <v>312</v>
      </c>
      <c r="Z372" s="158">
        <v>279000</v>
      </c>
      <c r="AA372" s="158">
        <v>1</v>
      </c>
      <c r="AB372" s="158">
        <v>104.51</v>
      </c>
      <c r="AD372" s="158">
        <v>291.58300000000003</v>
      </c>
      <c r="AG372" s="11" t="s">
        <v>37</v>
      </c>
      <c r="AH372" s="189">
        <v>9.7999999999999997E-4</v>
      </c>
      <c r="AI372" s="189">
        <v>4.7864863923169701E-3</v>
      </c>
      <c r="AJ372" s="189">
        <v>9.1422032408638597E-4</v>
      </c>
    </row>
    <row r="373" spans="1:36">
      <c r="A373" s="11" t="s">
        <v>256</v>
      </c>
      <c r="B373" s="11">
        <v>556</v>
      </c>
      <c r="C373" s="11" t="s">
        <v>2721</v>
      </c>
      <c r="D373" s="11" t="s">
        <v>2722</v>
      </c>
      <c r="E373" s="4" t="s">
        <v>1552</v>
      </c>
      <c r="F373" s="11" t="s">
        <v>2723</v>
      </c>
      <c r="G373" s="11" t="s">
        <v>2724</v>
      </c>
      <c r="H373" s="11" t="s">
        <v>511</v>
      </c>
      <c r="I373" s="11" t="s">
        <v>364</v>
      </c>
      <c r="J373" s="11" t="s">
        <v>31</v>
      </c>
      <c r="K373" s="11" t="s">
        <v>31</v>
      </c>
      <c r="L373" s="11" t="s">
        <v>517</v>
      </c>
      <c r="M373" s="11" t="s">
        <v>32</v>
      </c>
      <c r="N373" s="11" t="s">
        <v>642</v>
      </c>
      <c r="O373" s="11" t="s">
        <v>312</v>
      </c>
      <c r="P373" s="11" t="s">
        <v>168</v>
      </c>
      <c r="Q373" s="11" t="s">
        <v>604</v>
      </c>
      <c r="R373" s="11" t="s">
        <v>596</v>
      </c>
      <c r="S373" s="11" t="s">
        <v>35</v>
      </c>
      <c r="T373" s="158">
        <v>3.05</v>
      </c>
      <c r="U373" s="11" t="s">
        <v>2720</v>
      </c>
      <c r="V373" s="174">
        <v>4.6899999999999997E-2</v>
      </c>
      <c r="W373" s="189">
        <v>7.7439999999999995E-2</v>
      </c>
      <c r="X373" s="4" t="s">
        <v>602</v>
      </c>
      <c r="Y373" s="4" t="s">
        <v>312</v>
      </c>
      <c r="Z373" s="158">
        <v>378706.19</v>
      </c>
      <c r="AA373" s="158">
        <v>1</v>
      </c>
      <c r="AB373" s="158">
        <v>99.55</v>
      </c>
      <c r="AD373" s="158">
        <v>377.00200000000001</v>
      </c>
      <c r="AG373" s="11" t="s">
        <v>37</v>
      </c>
      <c r="AH373" s="189">
        <v>2.6899999999999998E-4</v>
      </c>
      <c r="AI373" s="189">
        <v>6.1886859654944103E-3</v>
      </c>
      <c r="AJ373" s="189">
        <v>1.1820408594757201E-3</v>
      </c>
    </row>
    <row r="374" spans="1:36">
      <c r="A374" s="11" t="s">
        <v>256</v>
      </c>
      <c r="B374" s="11">
        <v>556</v>
      </c>
      <c r="C374" s="11" t="s">
        <v>2725</v>
      </c>
      <c r="D374" s="11" t="s">
        <v>2726</v>
      </c>
      <c r="E374" s="4" t="s">
        <v>1552</v>
      </c>
      <c r="F374" s="11" t="s">
        <v>2727</v>
      </c>
      <c r="G374" s="11" t="s">
        <v>2728</v>
      </c>
      <c r="H374" s="11" t="s">
        <v>511</v>
      </c>
      <c r="I374" s="11" t="s">
        <v>1154</v>
      </c>
      <c r="J374" s="11" t="s">
        <v>31</v>
      </c>
      <c r="K374" s="11" t="s">
        <v>31</v>
      </c>
      <c r="L374" s="11" t="s">
        <v>517</v>
      </c>
      <c r="M374" s="11" t="s">
        <v>32</v>
      </c>
      <c r="N374" s="11" t="s">
        <v>634</v>
      </c>
      <c r="O374" s="11" t="s">
        <v>312</v>
      </c>
      <c r="P374" s="11" t="s">
        <v>357</v>
      </c>
      <c r="Q374" s="11" t="s">
        <v>358</v>
      </c>
      <c r="R374" s="11" t="s">
        <v>596</v>
      </c>
      <c r="S374" s="11" t="s">
        <v>35</v>
      </c>
      <c r="T374" s="158">
        <v>0.41599999999999998</v>
      </c>
      <c r="U374" s="11" t="s">
        <v>2608</v>
      </c>
      <c r="V374" s="174">
        <v>5.45E-2</v>
      </c>
      <c r="W374" s="189">
        <v>4.7469999999999998E-2</v>
      </c>
      <c r="X374" s="4" t="s">
        <v>602</v>
      </c>
      <c r="Y374" s="4" t="s">
        <v>312</v>
      </c>
      <c r="Z374" s="158">
        <v>70667.64</v>
      </c>
      <c r="AA374" s="158">
        <v>1</v>
      </c>
      <c r="AB374" s="158">
        <v>100.76</v>
      </c>
      <c r="AD374" s="158">
        <v>71.204999999999998</v>
      </c>
      <c r="AG374" s="11" t="s">
        <v>37</v>
      </c>
      <c r="AH374" s="189">
        <v>4.5800000000000002E-4</v>
      </c>
      <c r="AI374" s="189">
        <v>1.16886276573886E-3</v>
      </c>
      <c r="AJ374" s="189">
        <v>2.2325313579111999E-4</v>
      </c>
    </row>
    <row r="375" spans="1:36">
      <c r="A375" s="11" t="s">
        <v>256</v>
      </c>
      <c r="B375" s="11">
        <v>556</v>
      </c>
      <c r="C375" s="11" t="s">
        <v>2729</v>
      </c>
      <c r="D375" s="11" t="s">
        <v>2730</v>
      </c>
      <c r="E375" s="4" t="s">
        <v>505</v>
      </c>
      <c r="F375" s="11" t="s">
        <v>2731</v>
      </c>
      <c r="G375" s="11" t="s">
        <v>2732</v>
      </c>
      <c r="H375" s="11" t="s">
        <v>511</v>
      </c>
      <c r="I375" s="11" t="s">
        <v>364</v>
      </c>
      <c r="J375" s="11" t="s">
        <v>154</v>
      </c>
      <c r="K375" s="11" t="s">
        <v>155</v>
      </c>
      <c r="L375" s="11" t="s">
        <v>517</v>
      </c>
      <c r="M375" s="11" t="s">
        <v>342</v>
      </c>
      <c r="N375" s="11" t="s">
        <v>2733</v>
      </c>
      <c r="O375" s="11" t="s">
        <v>312</v>
      </c>
      <c r="P375" s="11" t="s">
        <v>2734</v>
      </c>
      <c r="Q375" s="11" t="s">
        <v>621</v>
      </c>
      <c r="R375" s="11" t="s">
        <v>596</v>
      </c>
      <c r="S375" s="11" t="s">
        <v>159</v>
      </c>
      <c r="T375" s="158">
        <v>3.25</v>
      </c>
      <c r="U375" s="11" t="s">
        <v>2735</v>
      </c>
      <c r="V375" s="174">
        <v>7.9500000000000001E-2</v>
      </c>
      <c r="W375" s="189">
        <v>6.8110000000000004E-2</v>
      </c>
      <c r="X375" s="4" t="s">
        <v>602</v>
      </c>
      <c r="Y375" s="4" t="s">
        <v>312</v>
      </c>
      <c r="Z375" s="158">
        <v>37000</v>
      </c>
      <c r="AA375" s="158">
        <v>3.7589999999999999</v>
      </c>
      <c r="AB375" s="158">
        <v>103.755</v>
      </c>
      <c r="AD375" s="158">
        <v>144.30600000000001</v>
      </c>
      <c r="AG375" s="11" t="s">
        <v>37</v>
      </c>
      <c r="AH375" s="189">
        <v>0</v>
      </c>
      <c r="AI375" s="189">
        <v>2.36886115589857E-3</v>
      </c>
      <c r="AJ375" s="189">
        <v>4.52453185104099E-4</v>
      </c>
    </row>
    <row r="376" spans="1:36">
      <c r="A376" s="11" t="s">
        <v>256</v>
      </c>
      <c r="B376" s="11">
        <v>556</v>
      </c>
      <c r="C376" s="11" t="s">
        <v>2729</v>
      </c>
      <c r="D376" s="11" t="s">
        <v>2730</v>
      </c>
      <c r="E376" s="4" t="s">
        <v>505</v>
      </c>
      <c r="F376" s="11" t="s">
        <v>2736</v>
      </c>
      <c r="G376" s="11" t="s">
        <v>2737</v>
      </c>
      <c r="H376" s="11" t="s">
        <v>511</v>
      </c>
      <c r="I376" s="11" t="s">
        <v>364</v>
      </c>
      <c r="J376" s="11" t="s">
        <v>154</v>
      </c>
      <c r="K376" s="11" t="s">
        <v>155</v>
      </c>
      <c r="L376" s="11" t="s">
        <v>517</v>
      </c>
      <c r="M376" s="11" t="s">
        <v>342</v>
      </c>
      <c r="N376" s="11" t="s">
        <v>2733</v>
      </c>
      <c r="O376" s="11" t="s">
        <v>312</v>
      </c>
      <c r="P376" s="11" t="s">
        <v>2734</v>
      </c>
      <c r="Q376" s="11" t="s">
        <v>621</v>
      </c>
      <c r="R376" s="11" t="s">
        <v>596</v>
      </c>
      <c r="S376" s="11" t="s">
        <v>159</v>
      </c>
      <c r="T376" s="158">
        <v>5.26</v>
      </c>
      <c r="U376" s="11" t="s">
        <v>2738</v>
      </c>
      <c r="V376" s="174">
        <v>6.6500000000000004E-2</v>
      </c>
      <c r="W376" s="189">
        <v>6.8970000000000004E-2</v>
      </c>
      <c r="X376" s="4" t="s">
        <v>602</v>
      </c>
      <c r="Y376" s="4" t="s">
        <v>312</v>
      </c>
      <c r="Z376" s="158">
        <v>12000</v>
      </c>
      <c r="AA376" s="158">
        <v>3.7589999999999999</v>
      </c>
      <c r="AB376" s="158">
        <v>98.322999999999993</v>
      </c>
      <c r="AD376" s="158">
        <v>44.350999999999999</v>
      </c>
      <c r="AG376" s="11" t="s">
        <v>37</v>
      </c>
      <c r="AH376" s="189">
        <v>0</v>
      </c>
      <c r="AI376" s="189">
        <v>7.28052975112829E-4</v>
      </c>
      <c r="AJ376" s="189">
        <v>1.3905833471669301E-4</v>
      </c>
    </row>
    <row r="377" spans="1:36">
      <c r="A377" s="11" t="s">
        <v>256</v>
      </c>
      <c r="B377" s="11">
        <v>556</v>
      </c>
      <c r="C377" s="11" t="s">
        <v>2739</v>
      </c>
      <c r="D377" s="11" t="s">
        <v>2740</v>
      </c>
      <c r="E377" s="4" t="s">
        <v>505</v>
      </c>
      <c r="F377" s="11" t="s">
        <v>2741</v>
      </c>
      <c r="G377" s="11" t="s">
        <v>2742</v>
      </c>
      <c r="H377" s="11" t="s">
        <v>511</v>
      </c>
      <c r="I377" s="11" t="s">
        <v>364</v>
      </c>
      <c r="J377" s="11" t="s">
        <v>154</v>
      </c>
      <c r="K377" s="11" t="s">
        <v>486</v>
      </c>
      <c r="L377" s="11" t="s">
        <v>517</v>
      </c>
      <c r="M377" s="11" t="s">
        <v>156</v>
      </c>
      <c r="N377" s="11" t="s">
        <v>678</v>
      </c>
      <c r="O377" s="11" t="s">
        <v>312</v>
      </c>
      <c r="P377" s="11" t="s">
        <v>2743</v>
      </c>
      <c r="Q377" s="11" t="s">
        <v>158</v>
      </c>
      <c r="R377" s="11" t="s">
        <v>596</v>
      </c>
      <c r="S377" s="11" t="s">
        <v>159</v>
      </c>
      <c r="T377" s="158">
        <v>6.17</v>
      </c>
      <c r="U377" s="11" t="s">
        <v>2744</v>
      </c>
      <c r="V377" s="174">
        <v>7.3779999999999998E-2</v>
      </c>
      <c r="W377" s="189">
        <v>6.1440000000000002E-2</v>
      </c>
      <c r="X377" s="4" t="s">
        <v>602</v>
      </c>
      <c r="Y377" s="4" t="s">
        <v>312</v>
      </c>
      <c r="Z377" s="158">
        <v>40000</v>
      </c>
      <c r="AA377" s="158">
        <v>3.7589999999999999</v>
      </c>
      <c r="AB377" s="158">
        <v>110.13800000000001</v>
      </c>
      <c r="AD377" s="158">
        <v>165.60300000000001</v>
      </c>
      <c r="AG377" s="11" t="s">
        <v>37</v>
      </c>
      <c r="AH377" s="189">
        <v>6.7000000000000002E-5</v>
      </c>
      <c r="AI377" s="189">
        <v>2.7184620398856998E-3</v>
      </c>
      <c r="AJ377" s="189">
        <v>5.1922705789158295E-4</v>
      </c>
    </row>
    <row r="378" spans="1:36">
      <c r="A378" s="11" t="s">
        <v>256</v>
      </c>
      <c r="B378" s="11">
        <v>556</v>
      </c>
      <c r="C378" s="11" t="s">
        <v>2745</v>
      </c>
      <c r="D378" s="11" t="s">
        <v>2746</v>
      </c>
      <c r="E378" s="4" t="s">
        <v>505</v>
      </c>
      <c r="F378" s="11" t="s">
        <v>2747</v>
      </c>
      <c r="G378" s="11" t="s">
        <v>2748</v>
      </c>
      <c r="H378" s="11" t="s">
        <v>511</v>
      </c>
      <c r="I378" s="11" t="s">
        <v>364</v>
      </c>
      <c r="J378" s="11" t="s">
        <v>154</v>
      </c>
      <c r="K378" s="11" t="s">
        <v>486</v>
      </c>
      <c r="L378" s="11" t="s">
        <v>517</v>
      </c>
      <c r="M378" s="11" t="s">
        <v>342</v>
      </c>
      <c r="N378" s="11" t="s">
        <v>757</v>
      </c>
      <c r="O378" s="11" t="s">
        <v>312</v>
      </c>
      <c r="P378" s="11" t="s">
        <v>2749</v>
      </c>
      <c r="Q378" s="11" t="s">
        <v>158</v>
      </c>
      <c r="R378" s="11" t="s">
        <v>596</v>
      </c>
      <c r="S378" s="11" t="s">
        <v>169</v>
      </c>
      <c r="T378" s="158">
        <v>1.1399999999999999</v>
      </c>
      <c r="U378" s="11" t="s">
        <v>2750</v>
      </c>
      <c r="V378" s="174">
        <v>4.2500000000000003E-2</v>
      </c>
      <c r="W378" s="189">
        <v>7.918E-2</v>
      </c>
      <c r="X378" s="4" t="s">
        <v>602</v>
      </c>
      <c r="Y378" s="4" t="s">
        <v>312</v>
      </c>
      <c r="Z378" s="158">
        <v>25000</v>
      </c>
      <c r="AA378" s="158">
        <v>4.0199999999999996</v>
      </c>
      <c r="AB378" s="158">
        <v>99.793000000000006</v>
      </c>
      <c r="AD378" s="158">
        <v>100.297</v>
      </c>
      <c r="AG378" s="11" t="s">
        <v>37</v>
      </c>
      <c r="AH378" s="189">
        <v>0</v>
      </c>
      <c r="AI378" s="189">
        <v>1.64642217343942E-3</v>
      </c>
      <c r="AJ378" s="189">
        <v>3.1446712465345398E-4</v>
      </c>
    </row>
    <row r="379" spans="1:36">
      <c r="A379" s="11" t="s">
        <v>256</v>
      </c>
      <c r="B379" s="11">
        <v>556</v>
      </c>
      <c r="C379" s="11" t="s">
        <v>2751</v>
      </c>
      <c r="D379" s="11" t="s">
        <v>2752</v>
      </c>
      <c r="E379" s="4" t="s">
        <v>505</v>
      </c>
      <c r="F379" s="11" t="s">
        <v>2753</v>
      </c>
      <c r="G379" s="11" t="s">
        <v>2754</v>
      </c>
      <c r="H379" s="11" t="s">
        <v>511</v>
      </c>
      <c r="I379" s="11" t="s">
        <v>364</v>
      </c>
      <c r="J379" s="11" t="s">
        <v>154</v>
      </c>
      <c r="K379" s="11" t="s">
        <v>155</v>
      </c>
      <c r="L379" s="11" t="s">
        <v>517</v>
      </c>
      <c r="M379" s="11" t="s">
        <v>342</v>
      </c>
      <c r="N379" s="11" t="s">
        <v>738</v>
      </c>
      <c r="O379" s="11" t="s">
        <v>312</v>
      </c>
      <c r="P379" s="11" t="s">
        <v>2418</v>
      </c>
      <c r="Q379" s="11" t="s">
        <v>158</v>
      </c>
      <c r="R379" s="11" t="s">
        <v>596</v>
      </c>
      <c r="S379" s="11" t="s">
        <v>159</v>
      </c>
      <c r="T379" s="158">
        <v>3.56</v>
      </c>
      <c r="U379" s="11" t="s">
        <v>2175</v>
      </c>
      <c r="V379" s="174">
        <v>4.5999999999999999E-2</v>
      </c>
      <c r="W379" s="189">
        <v>4.9149999999999999E-2</v>
      </c>
      <c r="X379" s="4" t="s">
        <v>602</v>
      </c>
      <c r="Y379" s="4" t="s">
        <v>312</v>
      </c>
      <c r="Z379" s="158">
        <v>14000</v>
      </c>
      <c r="AA379" s="158">
        <v>3.7589999999999999</v>
      </c>
      <c r="AB379" s="158">
        <v>100.154</v>
      </c>
      <c r="AD379" s="158">
        <v>52.707000000000001</v>
      </c>
      <c r="AG379" s="11" t="s">
        <v>37</v>
      </c>
      <c r="AH379" s="189">
        <v>9.0000000000000002E-6</v>
      </c>
      <c r="AI379" s="189">
        <v>8.6521188146835204E-4</v>
      </c>
      <c r="AJ379" s="189">
        <v>1.65255726611707E-4</v>
      </c>
    </row>
    <row r="380" spans="1:36">
      <c r="A380" s="11" t="s">
        <v>256</v>
      </c>
      <c r="B380" s="11">
        <v>556</v>
      </c>
      <c r="C380" s="11" t="s">
        <v>2755</v>
      </c>
      <c r="D380" s="11" t="s">
        <v>2756</v>
      </c>
      <c r="E380" s="4" t="s">
        <v>505</v>
      </c>
      <c r="F380" s="11" t="s">
        <v>2757</v>
      </c>
      <c r="G380" s="11" t="s">
        <v>2758</v>
      </c>
      <c r="H380" s="11" t="s">
        <v>511</v>
      </c>
      <c r="I380" s="11" t="s">
        <v>364</v>
      </c>
      <c r="J380" s="11" t="s">
        <v>154</v>
      </c>
      <c r="K380" s="11" t="s">
        <v>155</v>
      </c>
      <c r="L380" s="11" t="s">
        <v>517</v>
      </c>
      <c r="M380" s="11" t="s">
        <v>342</v>
      </c>
      <c r="N380" s="11" t="s">
        <v>738</v>
      </c>
      <c r="O380" s="11" t="s">
        <v>312</v>
      </c>
      <c r="P380" s="11" t="s">
        <v>2327</v>
      </c>
      <c r="Q380" s="11" t="s">
        <v>621</v>
      </c>
      <c r="R380" s="11" t="s">
        <v>596</v>
      </c>
      <c r="S380" s="11" t="s">
        <v>159</v>
      </c>
      <c r="T380" s="158">
        <v>0.78</v>
      </c>
      <c r="U380" s="11" t="s">
        <v>2759</v>
      </c>
      <c r="V380" s="174">
        <v>3.3500000000000002E-2</v>
      </c>
      <c r="W380" s="189">
        <v>5.5079999999999997E-2</v>
      </c>
      <c r="X380" s="4" t="s">
        <v>602</v>
      </c>
      <c r="Y380" s="4" t="s">
        <v>312</v>
      </c>
      <c r="Z380" s="158">
        <v>30000</v>
      </c>
      <c r="AA380" s="158">
        <v>3.7589999999999999</v>
      </c>
      <c r="AB380" s="158">
        <v>99.387</v>
      </c>
      <c r="AD380" s="158">
        <v>112.07899999999999</v>
      </c>
      <c r="AG380" s="11" t="s">
        <v>37</v>
      </c>
      <c r="AH380" s="189">
        <v>0</v>
      </c>
      <c r="AI380" s="189">
        <v>1.8398372020783499E-3</v>
      </c>
      <c r="AJ380" s="189">
        <v>3.5140945263108703E-4</v>
      </c>
    </row>
    <row r="381" spans="1:36">
      <c r="A381" s="11" t="s">
        <v>256</v>
      </c>
      <c r="B381" s="11">
        <v>556</v>
      </c>
      <c r="C381" s="11" t="s">
        <v>2916</v>
      </c>
      <c r="D381" s="11" t="s">
        <v>2917</v>
      </c>
      <c r="E381" s="4" t="s">
        <v>505</v>
      </c>
      <c r="F381" s="11" t="s">
        <v>2918</v>
      </c>
      <c r="G381" s="11" t="s">
        <v>2919</v>
      </c>
      <c r="H381" s="11" t="s">
        <v>511</v>
      </c>
      <c r="I381" s="11" t="s">
        <v>364</v>
      </c>
      <c r="J381" s="11" t="s">
        <v>154</v>
      </c>
      <c r="K381" s="11" t="s">
        <v>155</v>
      </c>
      <c r="L381" s="11" t="s">
        <v>517</v>
      </c>
      <c r="M381" s="11" t="s">
        <v>342</v>
      </c>
      <c r="N381" s="11" t="s">
        <v>735</v>
      </c>
      <c r="O381" s="11" t="s">
        <v>312</v>
      </c>
      <c r="P381" s="11" t="s">
        <v>1556</v>
      </c>
      <c r="Q381" s="11" t="s">
        <v>158</v>
      </c>
      <c r="R381" s="11" t="s">
        <v>596</v>
      </c>
      <c r="S381" s="11" t="s">
        <v>159</v>
      </c>
      <c r="T381" s="158">
        <v>0.67</v>
      </c>
      <c r="U381" s="11" t="s">
        <v>2920</v>
      </c>
      <c r="V381" s="174">
        <v>2.5000000000000001E-2</v>
      </c>
      <c r="W381" s="189">
        <v>5.2589999999999998E-2</v>
      </c>
      <c r="X381" s="4" t="s">
        <v>602</v>
      </c>
      <c r="Y381" s="4" t="s">
        <v>312</v>
      </c>
      <c r="Z381" s="158">
        <v>30000</v>
      </c>
      <c r="AA381" s="158">
        <v>3.7589999999999999</v>
      </c>
      <c r="AB381" s="158">
        <v>99.27</v>
      </c>
      <c r="AC381" s="158">
        <v>0.33</v>
      </c>
      <c r="AD381" s="158">
        <v>113.188</v>
      </c>
      <c r="AG381" s="11" t="s">
        <v>37</v>
      </c>
      <c r="AH381" s="189">
        <v>2.0000000000000002E-5</v>
      </c>
      <c r="AI381" s="189">
        <v>1.8580324322609099E-3</v>
      </c>
      <c r="AJ381" s="189">
        <v>3.54884747005899E-4</v>
      </c>
    </row>
    <row r="382" spans="1:36">
      <c r="A382" s="11" t="s">
        <v>256</v>
      </c>
      <c r="B382" s="11">
        <v>556</v>
      </c>
      <c r="C382" s="11" t="s">
        <v>2760</v>
      </c>
      <c r="D382" s="11" t="s">
        <v>2761</v>
      </c>
      <c r="E382" s="4" t="s">
        <v>505</v>
      </c>
      <c r="F382" s="11" t="s">
        <v>2762</v>
      </c>
      <c r="G382" s="11" t="s">
        <v>2763</v>
      </c>
      <c r="H382" s="11" t="s">
        <v>511</v>
      </c>
      <c r="I382" s="11" t="s">
        <v>364</v>
      </c>
      <c r="J382" s="11" t="s">
        <v>154</v>
      </c>
      <c r="K382" s="11" t="s">
        <v>155</v>
      </c>
      <c r="L382" s="11" t="s">
        <v>517</v>
      </c>
      <c r="M382" s="11" t="s">
        <v>342</v>
      </c>
      <c r="N382" s="11" t="s">
        <v>704</v>
      </c>
      <c r="O382" s="11" t="s">
        <v>312</v>
      </c>
      <c r="P382" s="11" t="s">
        <v>168</v>
      </c>
      <c r="Q382" s="11" t="s">
        <v>158</v>
      </c>
      <c r="R382" s="11" t="s">
        <v>596</v>
      </c>
      <c r="S382" s="11" t="s">
        <v>159</v>
      </c>
      <c r="T382" s="158">
        <v>3.12</v>
      </c>
      <c r="U382" s="11" t="s">
        <v>2764</v>
      </c>
      <c r="V382" s="174">
        <v>4.5499999999999999E-2</v>
      </c>
      <c r="W382" s="189">
        <v>4.9110000000000001E-2</v>
      </c>
      <c r="X382" s="4" t="s">
        <v>602</v>
      </c>
      <c r="Y382" s="4" t="s">
        <v>312</v>
      </c>
      <c r="Z382" s="158">
        <v>60000</v>
      </c>
      <c r="AA382" s="158">
        <v>3.7589999999999999</v>
      </c>
      <c r="AB382" s="158">
        <v>99.274000000000001</v>
      </c>
      <c r="AD382" s="158">
        <v>223.90299999999999</v>
      </c>
      <c r="AG382" s="11" t="s">
        <v>37</v>
      </c>
      <c r="AH382" s="189">
        <v>0</v>
      </c>
      <c r="AI382" s="189">
        <v>3.6754783989735602E-3</v>
      </c>
      <c r="AJ382" s="189">
        <v>7.0201746702460897E-4</v>
      </c>
    </row>
    <row r="383" spans="1:36">
      <c r="A383" s="11" t="s">
        <v>256</v>
      </c>
      <c r="B383" s="11">
        <v>556</v>
      </c>
      <c r="C383" s="11" t="s">
        <v>2760</v>
      </c>
      <c r="D383" s="11" t="s">
        <v>2761</v>
      </c>
      <c r="E383" s="4" t="s">
        <v>505</v>
      </c>
      <c r="F383" s="11" t="s">
        <v>2921</v>
      </c>
      <c r="G383" s="11" t="s">
        <v>2922</v>
      </c>
      <c r="H383" s="11" t="s">
        <v>511</v>
      </c>
      <c r="I383" s="11" t="s">
        <v>364</v>
      </c>
      <c r="J383" s="11" t="s">
        <v>154</v>
      </c>
      <c r="K383" s="11" t="s">
        <v>155</v>
      </c>
      <c r="L383" s="11" t="s">
        <v>517</v>
      </c>
      <c r="M383" s="11" t="s">
        <v>156</v>
      </c>
      <c r="N383" s="11" t="s">
        <v>704</v>
      </c>
      <c r="O383" s="11" t="s">
        <v>312</v>
      </c>
      <c r="P383" s="11" t="s">
        <v>168</v>
      </c>
      <c r="Q383" s="11" t="s">
        <v>158</v>
      </c>
      <c r="R383" s="11" t="s">
        <v>596</v>
      </c>
      <c r="S383" s="11" t="s">
        <v>159</v>
      </c>
      <c r="T383" s="158">
        <v>0.49</v>
      </c>
      <c r="U383" s="11" t="s">
        <v>160</v>
      </c>
      <c r="V383" s="174">
        <v>3.7999999999999999E-2</v>
      </c>
      <c r="W383" s="189">
        <v>5.3600000000000002E-2</v>
      </c>
      <c r="X383" s="4" t="s">
        <v>602</v>
      </c>
      <c r="Y383" s="4" t="s">
        <v>312</v>
      </c>
      <c r="Z383" s="158">
        <v>150000</v>
      </c>
      <c r="AA383" s="158">
        <v>3.7589999999999999</v>
      </c>
      <c r="AB383" s="158">
        <v>99.561999999999998</v>
      </c>
      <c r="AC383" s="158">
        <v>2.5190000000000001</v>
      </c>
      <c r="AD383" s="158">
        <v>570.84900000000005</v>
      </c>
      <c r="AG383" s="11" t="s">
        <v>37</v>
      </c>
      <c r="AH383" s="189">
        <v>1.2E-4</v>
      </c>
      <c r="AI383" s="189">
        <v>9.3707913051036002E-3</v>
      </c>
      <c r="AJ383" s="189">
        <v>1.78982392546837E-3</v>
      </c>
    </row>
    <row r="384" spans="1:36">
      <c r="A384" s="11" t="s">
        <v>256</v>
      </c>
      <c r="B384" s="11">
        <v>556</v>
      </c>
      <c r="C384" s="11" t="s">
        <v>2765</v>
      </c>
      <c r="D384" s="11" t="s">
        <v>2766</v>
      </c>
      <c r="E384" s="4" t="s">
        <v>505</v>
      </c>
      <c r="F384" s="11" t="s">
        <v>2767</v>
      </c>
      <c r="G384" s="11" t="s">
        <v>2768</v>
      </c>
      <c r="H384" s="11" t="s">
        <v>511</v>
      </c>
      <c r="I384" s="11" t="s">
        <v>364</v>
      </c>
      <c r="J384" s="11" t="s">
        <v>154</v>
      </c>
      <c r="K384" s="11" t="s">
        <v>155</v>
      </c>
      <c r="L384" s="11" t="s">
        <v>517</v>
      </c>
      <c r="M384" s="11" t="s">
        <v>342</v>
      </c>
      <c r="N384" s="11" t="s">
        <v>726</v>
      </c>
      <c r="O384" s="11" t="s">
        <v>312</v>
      </c>
      <c r="P384" s="11" t="s">
        <v>2769</v>
      </c>
      <c r="Q384" s="11" t="s">
        <v>158</v>
      </c>
      <c r="R384" s="11" t="s">
        <v>596</v>
      </c>
      <c r="S384" s="11" t="s">
        <v>159</v>
      </c>
      <c r="T384" s="158">
        <v>3.97</v>
      </c>
      <c r="U384" s="11" t="s">
        <v>2596</v>
      </c>
      <c r="V384" s="174">
        <v>6.9000000000000006E-2</v>
      </c>
      <c r="W384" s="189">
        <v>6.7960000000000007E-2</v>
      </c>
      <c r="X384" s="4" t="s">
        <v>602</v>
      </c>
      <c r="Y384" s="4" t="s">
        <v>312</v>
      </c>
      <c r="Z384" s="158">
        <v>50000</v>
      </c>
      <c r="AA384" s="158">
        <v>3.7589999999999999</v>
      </c>
      <c r="AB384" s="158">
        <v>102.35899999999999</v>
      </c>
      <c r="AD384" s="158">
        <v>192.38499999999999</v>
      </c>
      <c r="AG384" s="11" t="s">
        <v>37</v>
      </c>
      <c r="AH384" s="189">
        <v>7.7000000000000001E-5</v>
      </c>
      <c r="AI384" s="189">
        <v>3.1580955334036299E-3</v>
      </c>
      <c r="AJ384" s="189">
        <v>6.03197185868618E-4</v>
      </c>
    </row>
    <row r="385" spans="1:36">
      <c r="A385" s="11" t="s">
        <v>256</v>
      </c>
      <c r="B385" s="11">
        <v>556</v>
      </c>
      <c r="C385" s="11" t="s">
        <v>2770</v>
      </c>
      <c r="D385" s="11" t="s">
        <v>2771</v>
      </c>
      <c r="E385" s="4" t="s">
        <v>505</v>
      </c>
      <c r="F385" s="11" t="s">
        <v>2772</v>
      </c>
      <c r="G385" s="11" t="s">
        <v>2773</v>
      </c>
      <c r="H385" s="11" t="s">
        <v>511</v>
      </c>
      <c r="I385" s="11" t="s">
        <v>364</v>
      </c>
      <c r="J385" s="11" t="s">
        <v>154</v>
      </c>
      <c r="K385" s="11" t="s">
        <v>155</v>
      </c>
      <c r="L385" s="11" t="s">
        <v>517</v>
      </c>
      <c r="M385" s="11" t="s">
        <v>342</v>
      </c>
      <c r="N385" s="11" t="s">
        <v>2774</v>
      </c>
      <c r="O385" s="11" t="s">
        <v>312</v>
      </c>
      <c r="P385" s="11" t="s">
        <v>2734</v>
      </c>
      <c r="Q385" s="11" t="s">
        <v>621</v>
      </c>
      <c r="R385" s="11" t="s">
        <v>596</v>
      </c>
      <c r="S385" s="11" t="s">
        <v>159</v>
      </c>
      <c r="T385" s="158">
        <v>7.3</v>
      </c>
      <c r="U385" s="11" t="s">
        <v>2775</v>
      </c>
      <c r="V385" s="174">
        <v>5.8749999999999997E-2</v>
      </c>
      <c r="W385" s="189">
        <v>6.2039999999999998E-2</v>
      </c>
      <c r="X385" s="4" t="s">
        <v>602</v>
      </c>
      <c r="Y385" s="4" t="s">
        <v>312</v>
      </c>
      <c r="Z385" s="158">
        <v>50000</v>
      </c>
      <c r="AA385" s="158">
        <v>3.7589999999999999</v>
      </c>
      <c r="AB385" s="158">
        <v>100.241</v>
      </c>
      <c r="AD385" s="158">
        <v>188.40199999999999</v>
      </c>
      <c r="AG385" s="11" t="s">
        <v>37</v>
      </c>
      <c r="AH385" s="189">
        <v>1E-4</v>
      </c>
      <c r="AI385" s="189">
        <v>3.09271978571855E-3</v>
      </c>
      <c r="AJ385" s="189">
        <v>5.9071039862276299E-4</v>
      </c>
    </row>
    <row r="386" spans="1:36">
      <c r="A386" s="11" t="s">
        <v>256</v>
      </c>
      <c r="B386" s="11">
        <v>556</v>
      </c>
      <c r="C386" s="11" t="s">
        <v>2745</v>
      </c>
      <c r="D386" s="11" t="s">
        <v>2746</v>
      </c>
      <c r="E386" s="4" t="s">
        <v>505</v>
      </c>
      <c r="F386" s="11" t="s">
        <v>2923</v>
      </c>
      <c r="G386" s="11" t="s">
        <v>2924</v>
      </c>
      <c r="H386" s="11" t="s">
        <v>511</v>
      </c>
      <c r="I386" s="11" t="s">
        <v>364</v>
      </c>
      <c r="J386" s="11" t="s">
        <v>154</v>
      </c>
      <c r="K386" s="11" t="s">
        <v>468</v>
      </c>
      <c r="L386" s="11" t="s">
        <v>517</v>
      </c>
      <c r="M386" s="11" t="s">
        <v>156</v>
      </c>
      <c r="N386" s="11" t="s">
        <v>757</v>
      </c>
      <c r="O386" s="11" t="s">
        <v>312</v>
      </c>
      <c r="P386" s="11" t="s">
        <v>2749</v>
      </c>
      <c r="Q386" s="11" t="s">
        <v>158</v>
      </c>
      <c r="R386" s="11" t="s">
        <v>596</v>
      </c>
      <c r="S386" s="11" t="s">
        <v>169</v>
      </c>
      <c r="T386" s="158">
        <v>2.86</v>
      </c>
      <c r="U386" s="11" t="s">
        <v>2925</v>
      </c>
      <c r="V386" s="174">
        <v>2.6249999999999999E-2</v>
      </c>
      <c r="W386" s="189">
        <v>7.9949999999999993E-2</v>
      </c>
      <c r="X386" s="4" t="s">
        <v>602</v>
      </c>
      <c r="Y386" s="4" t="s">
        <v>312</v>
      </c>
      <c r="Z386" s="158">
        <v>45000</v>
      </c>
      <c r="AA386" s="158">
        <v>4.0199999999999996</v>
      </c>
      <c r="AB386" s="158">
        <v>86.938999999999993</v>
      </c>
      <c r="AD386" s="158">
        <v>157.28</v>
      </c>
      <c r="AG386" s="11" t="s">
        <v>37</v>
      </c>
      <c r="AH386" s="189">
        <v>1.2899999999999999E-4</v>
      </c>
      <c r="AI386" s="189">
        <v>2.5818345272247902E-3</v>
      </c>
      <c r="AJ386" s="189">
        <v>4.93131162350239E-4</v>
      </c>
    </row>
    <row r="387" spans="1:36">
      <c r="A387" s="11" t="s">
        <v>256</v>
      </c>
      <c r="B387" s="11">
        <v>556</v>
      </c>
      <c r="C387" s="11" t="s">
        <v>2926</v>
      </c>
      <c r="D387" s="11" t="s">
        <v>2927</v>
      </c>
      <c r="E387" s="4" t="s">
        <v>505</v>
      </c>
      <c r="F387" s="11" t="s">
        <v>2928</v>
      </c>
      <c r="G387" s="11" t="s">
        <v>2929</v>
      </c>
      <c r="H387" s="11" t="s">
        <v>511</v>
      </c>
      <c r="I387" s="11" t="s">
        <v>364</v>
      </c>
      <c r="J387" s="11" t="s">
        <v>154</v>
      </c>
      <c r="K387" s="11" t="s">
        <v>155</v>
      </c>
      <c r="L387" s="11" t="s">
        <v>517</v>
      </c>
      <c r="M387" s="11" t="s">
        <v>342</v>
      </c>
      <c r="N387" s="11" t="s">
        <v>737</v>
      </c>
      <c r="O387" s="11" t="s">
        <v>312</v>
      </c>
      <c r="P387" s="11" t="s">
        <v>2769</v>
      </c>
      <c r="Q387" s="11" t="s">
        <v>621</v>
      </c>
      <c r="R387" s="11" t="s">
        <v>596</v>
      </c>
      <c r="S387" s="11" t="s">
        <v>159</v>
      </c>
      <c r="T387" s="158">
        <v>5.95</v>
      </c>
      <c r="U387" s="11" t="s">
        <v>194</v>
      </c>
      <c r="V387" s="174">
        <v>2.4500000000000001E-2</v>
      </c>
      <c r="W387" s="189">
        <v>5.5120000000000002E-2</v>
      </c>
      <c r="X387" s="4" t="s">
        <v>602</v>
      </c>
      <c r="Y387" s="4" t="s">
        <v>312</v>
      </c>
      <c r="Z387" s="158">
        <v>15000</v>
      </c>
      <c r="AA387" s="158">
        <v>3.7589999999999999</v>
      </c>
      <c r="AB387" s="158">
        <v>85.105000000000004</v>
      </c>
      <c r="AD387" s="158">
        <v>47.985999999999997</v>
      </c>
      <c r="AG387" s="11" t="s">
        <v>37</v>
      </c>
      <c r="AH387" s="189">
        <v>5.0000000000000004E-6</v>
      </c>
      <c r="AI387" s="189">
        <v>7.8771872489754799E-4</v>
      </c>
      <c r="AJ387" s="189">
        <v>1.5045451066584E-4</v>
      </c>
    </row>
    <row r="388" spans="1:36">
      <c r="A388" s="11" t="s">
        <v>256</v>
      </c>
      <c r="B388" s="11">
        <v>556</v>
      </c>
      <c r="C388" s="11" t="s">
        <v>362</v>
      </c>
      <c r="D388" s="11" t="s">
        <v>1802</v>
      </c>
      <c r="E388" s="4" t="s">
        <v>1552</v>
      </c>
      <c r="F388" s="11" t="s">
        <v>2930</v>
      </c>
      <c r="G388" s="11" t="s">
        <v>2931</v>
      </c>
      <c r="H388" s="11" t="s">
        <v>511</v>
      </c>
      <c r="I388" s="11" t="s">
        <v>364</v>
      </c>
      <c r="J388" s="11" t="s">
        <v>154</v>
      </c>
      <c r="K388" s="11" t="s">
        <v>2114</v>
      </c>
      <c r="L388" s="11" t="s">
        <v>517</v>
      </c>
      <c r="M388" s="11" t="s">
        <v>342</v>
      </c>
      <c r="N388" s="11" t="s">
        <v>725</v>
      </c>
      <c r="O388" s="11" t="s">
        <v>312</v>
      </c>
      <c r="P388" s="11" t="s">
        <v>2327</v>
      </c>
      <c r="Q388" s="11" t="s">
        <v>621</v>
      </c>
      <c r="R388" s="11" t="s">
        <v>596</v>
      </c>
      <c r="S388" s="11" t="s">
        <v>159</v>
      </c>
      <c r="T388" s="158">
        <v>2.82</v>
      </c>
      <c r="U388" s="11" t="s">
        <v>2932</v>
      </c>
      <c r="V388" s="174">
        <v>5.1249999999999997E-2</v>
      </c>
      <c r="W388" s="189">
        <v>6.0760000000000002E-2</v>
      </c>
      <c r="X388" s="4" t="s">
        <v>602</v>
      </c>
      <c r="Y388" s="4" t="s">
        <v>312</v>
      </c>
      <c r="Z388" s="158">
        <v>105000</v>
      </c>
      <c r="AA388" s="158">
        <v>3.7589999999999999</v>
      </c>
      <c r="AB388" s="158">
        <v>99.316000000000003</v>
      </c>
      <c r="AD388" s="158">
        <v>391.99700000000001</v>
      </c>
      <c r="AG388" s="11" t="s">
        <v>37</v>
      </c>
      <c r="AH388" s="189">
        <v>0</v>
      </c>
      <c r="AI388" s="189">
        <v>6.4348358716166901E-3</v>
      </c>
      <c r="AJ388" s="189">
        <v>1.2290555647322E-3</v>
      </c>
    </row>
    <row r="389" spans="1:36">
      <c r="A389" s="11" t="s">
        <v>256</v>
      </c>
      <c r="B389" s="11">
        <v>556</v>
      </c>
      <c r="C389" s="11" t="s">
        <v>2776</v>
      </c>
      <c r="D389" s="11" t="s">
        <v>2777</v>
      </c>
      <c r="E389" s="4" t="s">
        <v>505</v>
      </c>
      <c r="F389" s="11" t="s">
        <v>2778</v>
      </c>
      <c r="G389" s="11" t="s">
        <v>2779</v>
      </c>
      <c r="H389" s="11" t="s">
        <v>511</v>
      </c>
      <c r="I389" s="11" t="s">
        <v>364</v>
      </c>
      <c r="J389" s="11" t="s">
        <v>154</v>
      </c>
      <c r="K389" s="11" t="s">
        <v>431</v>
      </c>
      <c r="L389" s="11" t="s">
        <v>517</v>
      </c>
      <c r="M389" s="11" t="s">
        <v>342</v>
      </c>
      <c r="N389" s="11" t="s">
        <v>723</v>
      </c>
      <c r="O389" s="11" t="s">
        <v>312</v>
      </c>
      <c r="P389" s="11" t="s">
        <v>2743</v>
      </c>
      <c r="Q389" s="11" t="s">
        <v>158</v>
      </c>
      <c r="R389" s="11" t="s">
        <v>596</v>
      </c>
      <c r="S389" s="11" t="s">
        <v>159</v>
      </c>
      <c r="T389" s="158">
        <v>3.95</v>
      </c>
      <c r="U389" s="11" t="s">
        <v>2780</v>
      </c>
      <c r="V389" s="174">
        <v>4.3749999999999997E-2</v>
      </c>
      <c r="W389" s="189">
        <v>5.9139999999999998E-2</v>
      </c>
      <c r="X389" s="4" t="s">
        <v>602</v>
      </c>
      <c r="Y389" s="4" t="s">
        <v>312</v>
      </c>
      <c r="Z389" s="158">
        <v>55000</v>
      </c>
      <c r="AA389" s="158">
        <v>3.7589999999999999</v>
      </c>
      <c r="AB389" s="158">
        <v>94.977999999999994</v>
      </c>
      <c r="AD389" s="158">
        <v>196.363</v>
      </c>
      <c r="AG389" s="11" t="s">
        <v>37</v>
      </c>
      <c r="AH389" s="189">
        <v>1.5999999999999999E-5</v>
      </c>
      <c r="AI389" s="189">
        <v>3.2233995911060301E-3</v>
      </c>
      <c r="AJ389" s="189">
        <v>6.1567028030646697E-4</v>
      </c>
    </row>
    <row r="390" spans="1:36">
      <c r="A390" s="11" t="s">
        <v>256</v>
      </c>
      <c r="B390" s="11">
        <v>556</v>
      </c>
      <c r="C390" s="11" t="s">
        <v>2933</v>
      </c>
      <c r="D390" s="11" t="s">
        <v>2934</v>
      </c>
      <c r="E390" s="4" t="s">
        <v>505</v>
      </c>
      <c r="F390" s="11" t="s">
        <v>2935</v>
      </c>
      <c r="G390" s="11" t="s">
        <v>2936</v>
      </c>
      <c r="H390" s="11" t="s">
        <v>511</v>
      </c>
      <c r="I390" s="11" t="s">
        <v>364</v>
      </c>
      <c r="J390" s="11" t="s">
        <v>154</v>
      </c>
      <c r="K390" s="11" t="s">
        <v>470</v>
      </c>
      <c r="L390" s="11" t="s">
        <v>517</v>
      </c>
      <c r="M390" s="11" t="s">
        <v>553</v>
      </c>
      <c r="N390" s="11" t="s">
        <v>757</v>
      </c>
      <c r="O390" s="11" t="s">
        <v>312</v>
      </c>
      <c r="P390" s="11" t="s">
        <v>2937</v>
      </c>
      <c r="Q390" s="11" t="s">
        <v>158</v>
      </c>
      <c r="R390" s="11" t="s">
        <v>596</v>
      </c>
      <c r="S390" s="11" t="s">
        <v>169</v>
      </c>
      <c r="T390" s="158">
        <v>3.46</v>
      </c>
      <c r="U390" s="11" t="s">
        <v>2938</v>
      </c>
      <c r="V390" s="174">
        <v>1.6250000000000001E-2</v>
      </c>
      <c r="W390" s="189">
        <v>6.0409999999999998E-2</v>
      </c>
      <c r="X390" s="4" t="s">
        <v>602</v>
      </c>
      <c r="Y390" s="4" t="s">
        <v>312</v>
      </c>
      <c r="Z390" s="158">
        <v>30000</v>
      </c>
      <c r="AA390" s="158">
        <v>4.0199999999999996</v>
      </c>
      <c r="AB390" s="158">
        <v>86.126000000000005</v>
      </c>
      <c r="AD390" s="158">
        <v>103.874</v>
      </c>
      <c r="AG390" s="11" t="s">
        <v>37</v>
      </c>
      <c r="AH390" s="189">
        <v>8.6000000000000003E-5</v>
      </c>
      <c r="AI390" s="189">
        <v>1.7051395410699101E-3</v>
      </c>
      <c r="AJ390" s="189">
        <v>3.25682159329162E-4</v>
      </c>
    </row>
    <row r="391" spans="1:36">
      <c r="A391" s="11" t="s">
        <v>256</v>
      </c>
      <c r="B391" s="11">
        <v>556</v>
      </c>
      <c r="C391" s="11" t="s">
        <v>2939</v>
      </c>
      <c r="D391" s="11" t="s">
        <v>2940</v>
      </c>
      <c r="E391" s="4" t="s">
        <v>505</v>
      </c>
      <c r="F391" s="11" t="s">
        <v>2941</v>
      </c>
      <c r="G391" s="11" t="s">
        <v>2942</v>
      </c>
      <c r="H391" s="11" t="s">
        <v>511</v>
      </c>
      <c r="I391" s="11" t="s">
        <v>364</v>
      </c>
      <c r="J391" s="11" t="s">
        <v>154</v>
      </c>
      <c r="K391" s="11" t="s">
        <v>155</v>
      </c>
      <c r="L391" s="11" t="s">
        <v>517</v>
      </c>
      <c r="M391" s="11" t="s">
        <v>156</v>
      </c>
      <c r="N391" s="11" t="s">
        <v>701</v>
      </c>
      <c r="O391" s="11" t="s">
        <v>312</v>
      </c>
      <c r="P391" s="11" t="s">
        <v>2943</v>
      </c>
      <c r="Q391" s="11" t="s">
        <v>158</v>
      </c>
      <c r="R391" s="11" t="s">
        <v>596</v>
      </c>
      <c r="S391" s="11" t="s">
        <v>159</v>
      </c>
      <c r="T391" s="158">
        <v>6.17</v>
      </c>
      <c r="U391" s="11" t="s">
        <v>246</v>
      </c>
      <c r="V391" s="174">
        <v>4.4999999999999998E-2</v>
      </c>
      <c r="W391" s="189">
        <v>7.0239999999999997E-2</v>
      </c>
      <c r="X391" s="4" t="s">
        <v>602</v>
      </c>
      <c r="Y391" s="4" t="s">
        <v>312</v>
      </c>
      <c r="Z391" s="158">
        <v>50000</v>
      </c>
      <c r="AA391" s="158">
        <v>3.7589999999999999</v>
      </c>
      <c r="AB391" s="158">
        <v>87.688999999999993</v>
      </c>
      <c r="AD391" s="158">
        <v>164.81100000000001</v>
      </c>
      <c r="AG391" s="11" t="s">
        <v>37</v>
      </c>
      <c r="AH391" s="189">
        <v>1.11E-4</v>
      </c>
      <c r="AI391" s="189">
        <v>2.7054669007628099E-3</v>
      </c>
      <c r="AJ391" s="189">
        <v>5.1674498245530003E-4</v>
      </c>
    </row>
    <row r="392" spans="1:36">
      <c r="A392" s="11" t="s">
        <v>256</v>
      </c>
      <c r="B392" s="11">
        <v>556</v>
      </c>
      <c r="C392" s="11" t="s">
        <v>2781</v>
      </c>
      <c r="D392" s="11" t="s">
        <v>2782</v>
      </c>
      <c r="E392" s="4" t="s">
        <v>505</v>
      </c>
      <c r="F392" s="11" t="s">
        <v>2783</v>
      </c>
      <c r="G392" s="11" t="s">
        <v>2784</v>
      </c>
      <c r="H392" s="11" t="s">
        <v>511</v>
      </c>
      <c r="I392" s="11" t="s">
        <v>364</v>
      </c>
      <c r="J392" s="11" t="s">
        <v>154</v>
      </c>
      <c r="K392" s="11" t="s">
        <v>155</v>
      </c>
      <c r="L392" s="11" t="s">
        <v>517</v>
      </c>
      <c r="M392" s="11" t="s">
        <v>156</v>
      </c>
      <c r="N392" s="11" t="s">
        <v>1999</v>
      </c>
      <c r="O392" s="11" t="s">
        <v>312</v>
      </c>
      <c r="P392" s="11" t="s">
        <v>2354</v>
      </c>
      <c r="Q392" s="11" t="s">
        <v>621</v>
      </c>
      <c r="R392" s="11" t="s">
        <v>596</v>
      </c>
      <c r="S392" s="11" t="s">
        <v>159</v>
      </c>
      <c r="T392" s="158">
        <v>3.57</v>
      </c>
      <c r="U392" s="11" t="s">
        <v>2785</v>
      </c>
      <c r="V392" s="174">
        <v>5.1999999999999998E-2</v>
      </c>
      <c r="W392" s="189">
        <v>5.423E-2</v>
      </c>
      <c r="X392" s="4" t="s">
        <v>602</v>
      </c>
      <c r="Y392" s="4" t="s">
        <v>312</v>
      </c>
      <c r="Z392" s="158">
        <v>45000</v>
      </c>
      <c r="AA392" s="158">
        <v>3.7589999999999999</v>
      </c>
      <c r="AB392" s="158">
        <v>102.297</v>
      </c>
      <c r="AD392" s="158">
        <v>173.04</v>
      </c>
      <c r="AG392" s="11" t="s">
        <v>37</v>
      </c>
      <c r="AH392" s="189">
        <v>9.0000000000000006E-5</v>
      </c>
      <c r="AI392" s="189">
        <v>2.8405443293824701E-3</v>
      </c>
      <c r="AJ392" s="189">
        <v>5.4254481148388405E-4</v>
      </c>
    </row>
    <row r="393" spans="1:36">
      <c r="A393" s="11" t="s">
        <v>256</v>
      </c>
      <c r="B393" s="11">
        <v>556</v>
      </c>
      <c r="C393" s="11" t="s">
        <v>2781</v>
      </c>
      <c r="D393" s="11" t="s">
        <v>2782</v>
      </c>
      <c r="E393" s="4" t="s">
        <v>505</v>
      </c>
      <c r="F393" s="11" t="s">
        <v>2786</v>
      </c>
      <c r="G393" s="11" t="s">
        <v>2787</v>
      </c>
      <c r="H393" s="11" t="s">
        <v>511</v>
      </c>
      <c r="I393" s="11" t="s">
        <v>364</v>
      </c>
      <c r="J393" s="11" t="s">
        <v>154</v>
      </c>
      <c r="K393" s="11" t="s">
        <v>155</v>
      </c>
      <c r="L393" s="11" t="s">
        <v>517</v>
      </c>
      <c r="M393" s="11" t="s">
        <v>156</v>
      </c>
      <c r="N393" s="11" t="s">
        <v>1999</v>
      </c>
      <c r="O393" s="11" t="s">
        <v>312</v>
      </c>
      <c r="P393" s="11" t="s">
        <v>2354</v>
      </c>
      <c r="Q393" s="11" t="s">
        <v>621</v>
      </c>
      <c r="R393" s="11" t="s">
        <v>596</v>
      </c>
      <c r="S393" s="11" t="s">
        <v>159</v>
      </c>
      <c r="T393" s="158">
        <v>6.91</v>
      </c>
      <c r="U393" s="11" t="s">
        <v>2788</v>
      </c>
      <c r="V393" s="174">
        <v>5.45E-2</v>
      </c>
      <c r="W393" s="189">
        <v>5.7049999999999997E-2</v>
      </c>
      <c r="X393" s="4" t="s">
        <v>602</v>
      </c>
      <c r="Y393" s="4" t="s">
        <v>312</v>
      </c>
      <c r="Z393" s="158">
        <v>45000</v>
      </c>
      <c r="AA393" s="158">
        <v>3.7589999999999999</v>
      </c>
      <c r="AB393" s="158">
        <v>102.005</v>
      </c>
      <c r="AD393" s="158">
        <v>172.547</v>
      </c>
      <c r="AG393" s="11" t="s">
        <v>37</v>
      </c>
      <c r="AH393" s="189">
        <v>4.5000000000000003E-5</v>
      </c>
      <c r="AI393" s="189">
        <v>2.8324508215908199E-3</v>
      </c>
      <c r="AJ393" s="189">
        <v>5.4099894908925597E-4</v>
      </c>
    </row>
    <row r="394" spans="1:36">
      <c r="A394" s="11" t="s">
        <v>256</v>
      </c>
      <c r="B394" s="11">
        <v>556</v>
      </c>
      <c r="C394" s="11" t="s">
        <v>2944</v>
      </c>
      <c r="D394" s="11" t="s">
        <v>2945</v>
      </c>
      <c r="E394" s="4" t="s">
        <v>34</v>
      </c>
      <c r="F394" s="11" t="s">
        <v>2946</v>
      </c>
      <c r="G394" s="11" t="s">
        <v>2947</v>
      </c>
      <c r="H394" s="11" t="s">
        <v>511</v>
      </c>
      <c r="I394" s="11" t="s">
        <v>364</v>
      </c>
      <c r="J394" s="11" t="s">
        <v>154</v>
      </c>
      <c r="K394" s="11" t="s">
        <v>155</v>
      </c>
      <c r="L394" s="11" t="s">
        <v>517</v>
      </c>
      <c r="M394" s="11" t="s">
        <v>342</v>
      </c>
      <c r="N394" s="11" t="s">
        <v>675</v>
      </c>
      <c r="O394" s="11" t="s">
        <v>312</v>
      </c>
      <c r="P394" s="11" t="s">
        <v>2769</v>
      </c>
      <c r="Q394" s="11" t="s">
        <v>158</v>
      </c>
      <c r="R394" s="11" t="s">
        <v>596</v>
      </c>
      <c r="S394" s="11" t="s">
        <v>159</v>
      </c>
      <c r="T394" s="158">
        <v>5.34</v>
      </c>
      <c r="U394" s="11" t="s">
        <v>2948</v>
      </c>
      <c r="V394" s="174">
        <v>4.4999999999999998E-2</v>
      </c>
      <c r="W394" s="189">
        <v>5.9499999999999997E-2</v>
      </c>
      <c r="X394" s="4" t="s">
        <v>602</v>
      </c>
      <c r="Y394" s="4" t="s">
        <v>312</v>
      </c>
      <c r="Z394" s="158">
        <v>15000</v>
      </c>
      <c r="AA394" s="158">
        <v>3.7589999999999999</v>
      </c>
      <c r="AB394" s="158">
        <v>95.087000000000003</v>
      </c>
      <c r="AD394" s="158">
        <v>53.615000000000002</v>
      </c>
      <c r="AG394" s="11" t="s">
        <v>37</v>
      </c>
      <c r="AH394" s="189">
        <v>0</v>
      </c>
      <c r="AI394" s="189">
        <v>8.8011517246005698E-4</v>
      </c>
      <c r="AJ394" s="189">
        <v>1.6810225962228E-4</v>
      </c>
    </row>
    <row r="395" spans="1:36">
      <c r="A395" s="11" t="s">
        <v>256</v>
      </c>
      <c r="B395" s="11">
        <v>556</v>
      </c>
      <c r="C395" s="11" t="s">
        <v>2949</v>
      </c>
      <c r="D395" s="11" t="s">
        <v>2950</v>
      </c>
      <c r="E395" s="4" t="s">
        <v>505</v>
      </c>
      <c r="F395" s="11" t="s">
        <v>2951</v>
      </c>
      <c r="G395" s="11" t="s">
        <v>2952</v>
      </c>
      <c r="H395" s="11" t="s">
        <v>511</v>
      </c>
      <c r="I395" s="11" t="s">
        <v>364</v>
      </c>
      <c r="J395" s="11" t="s">
        <v>154</v>
      </c>
      <c r="K395" s="11" t="s">
        <v>155</v>
      </c>
      <c r="L395" s="11" t="s">
        <v>517</v>
      </c>
      <c r="M395" s="11" t="s">
        <v>156</v>
      </c>
      <c r="N395" s="11" t="s">
        <v>704</v>
      </c>
      <c r="O395" s="11" t="s">
        <v>312</v>
      </c>
      <c r="P395" s="11" t="s">
        <v>2769</v>
      </c>
      <c r="Q395" s="11" t="s">
        <v>158</v>
      </c>
      <c r="R395" s="11" t="s">
        <v>596</v>
      </c>
      <c r="S395" s="11" t="s">
        <v>159</v>
      </c>
      <c r="T395" s="158">
        <v>6.46</v>
      </c>
      <c r="U395" s="11" t="s">
        <v>2953</v>
      </c>
      <c r="V395" s="174">
        <v>3.15E-2</v>
      </c>
      <c r="W395" s="189">
        <v>5.8680000000000003E-2</v>
      </c>
      <c r="X395" s="4" t="s">
        <v>602</v>
      </c>
      <c r="Y395" s="4" t="s">
        <v>312</v>
      </c>
      <c r="Z395" s="158">
        <v>30000</v>
      </c>
      <c r="AA395" s="158">
        <v>3.7589999999999999</v>
      </c>
      <c r="AB395" s="158">
        <v>86.38</v>
      </c>
      <c r="AD395" s="158">
        <v>97.41</v>
      </c>
      <c r="AG395" s="11" t="s">
        <v>37</v>
      </c>
      <c r="AH395" s="189">
        <v>0</v>
      </c>
      <c r="AI395" s="189">
        <v>1.5990435825782E-3</v>
      </c>
      <c r="AJ395" s="189">
        <v>3.0541779971200402E-4</v>
      </c>
    </row>
    <row r="396" spans="1:36">
      <c r="A396" s="11" t="s">
        <v>256</v>
      </c>
      <c r="B396" s="11">
        <v>556</v>
      </c>
      <c r="C396" s="11" t="s">
        <v>2954</v>
      </c>
      <c r="D396" s="11" t="s">
        <v>2955</v>
      </c>
      <c r="E396" s="4" t="s">
        <v>505</v>
      </c>
      <c r="F396" s="11" t="s">
        <v>2956</v>
      </c>
      <c r="G396" s="11" t="s">
        <v>2957</v>
      </c>
      <c r="H396" s="11" t="s">
        <v>511</v>
      </c>
      <c r="I396" s="11" t="s">
        <v>364</v>
      </c>
      <c r="J396" s="11" t="s">
        <v>154</v>
      </c>
      <c r="K396" s="11" t="s">
        <v>155</v>
      </c>
      <c r="L396" s="11" t="s">
        <v>517</v>
      </c>
      <c r="M396" s="11" t="s">
        <v>156</v>
      </c>
      <c r="N396" s="11" t="s">
        <v>704</v>
      </c>
      <c r="O396" s="11" t="s">
        <v>312</v>
      </c>
      <c r="P396" s="11" t="s">
        <v>2221</v>
      </c>
      <c r="Q396" s="11" t="s">
        <v>158</v>
      </c>
      <c r="R396" s="11" t="s">
        <v>596</v>
      </c>
      <c r="S396" s="11" t="s">
        <v>159</v>
      </c>
      <c r="T396" s="158">
        <v>5.18</v>
      </c>
      <c r="U396" s="11" t="s">
        <v>2958</v>
      </c>
      <c r="V396" s="174">
        <v>2.7E-2</v>
      </c>
      <c r="W396" s="189">
        <v>5.2929999999999998E-2</v>
      </c>
      <c r="X396" s="4" t="s">
        <v>602</v>
      </c>
      <c r="Y396" s="4" t="s">
        <v>312</v>
      </c>
      <c r="Z396" s="158">
        <v>30000</v>
      </c>
      <c r="AA396" s="158">
        <v>3.7589999999999999</v>
      </c>
      <c r="AB396" s="158">
        <v>88.885999999999996</v>
      </c>
      <c r="AD396" s="158">
        <v>100.23699999999999</v>
      </c>
      <c r="AG396" s="11" t="s">
        <v>37</v>
      </c>
      <c r="AH396" s="189">
        <v>3.1999999999999999E-5</v>
      </c>
      <c r="AI396" s="189">
        <v>1.64543601660818E-3</v>
      </c>
      <c r="AJ396" s="189">
        <v>3.1427876840547399E-4</v>
      </c>
    </row>
    <row r="397" spans="1:36">
      <c r="A397" s="11" t="s">
        <v>256</v>
      </c>
      <c r="B397" s="11">
        <v>556</v>
      </c>
      <c r="C397" s="11" t="s">
        <v>2789</v>
      </c>
      <c r="D397" s="11" t="s">
        <v>2790</v>
      </c>
      <c r="E397" s="4" t="s">
        <v>505</v>
      </c>
      <c r="F397" s="11" t="s">
        <v>2791</v>
      </c>
      <c r="G397" s="11" t="s">
        <v>2792</v>
      </c>
      <c r="H397" s="11" t="s">
        <v>511</v>
      </c>
      <c r="I397" s="11" t="s">
        <v>364</v>
      </c>
      <c r="J397" s="11" t="s">
        <v>154</v>
      </c>
      <c r="K397" s="11" t="s">
        <v>474</v>
      </c>
      <c r="L397" s="11" t="s">
        <v>517</v>
      </c>
      <c r="M397" s="11" t="s">
        <v>342</v>
      </c>
      <c r="N397" s="11" t="s">
        <v>746</v>
      </c>
      <c r="O397" s="11" t="s">
        <v>312</v>
      </c>
      <c r="P397" s="11" t="s">
        <v>2354</v>
      </c>
      <c r="Q397" s="11" t="s">
        <v>621</v>
      </c>
      <c r="R397" s="11" t="s">
        <v>596</v>
      </c>
      <c r="S397" s="11" t="s">
        <v>159</v>
      </c>
      <c r="T397" s="158">
        <v>3.45</v>
      </c>
      <c r="U397" s="11" t="s">
        <v>2793</v>
      </c>
      <c r="V397" s="174">
        <v>5.7000000000000002E-2</v>
      </c>
      <c r="W397" s="189">
        <v>5.4559999999999997E-2</v>
      </c>
      <c r="X397" s="4" t="s">
        <v>602</v>
      </c>
      <c r="Y397" s="4" t="s">
        <v>312</v>
      </c>
      <c r="Z397" s="158">
        <v>60000</v>
      </c>
      <c r="AA397" s="158">
        <v>3.7589999999999999</v>
      </c>
      <c r="AB397" s="158">
        <v>101.672</v>
      </c>
      <c r="AD397" s="158">
        <v>229.31100000000001</v>
      </c>
      <c r="AG397" s="11" t="s">
        <v>37</v>
      </c>
      <c r="AH397" s="189">
        <v>6.0000000000000002E-5</v>
      </c>
      <c r="AI397" s="189">
        <v>3.7642547615761102E-3</v>
      </c>
      <c r="AJ397" s="189">
        <v>7.1897377867734605E-4</v>
      </c>
    </row>
    <row r="398" spans="1:36">
      <c r="A398" s="11" t="s">
        <v>256</v>
      </c>
      <c r="B398" s="11">
        <v>556</v>
      </c>
      <c r="C398" s="11" t="s">
        <v>2789</v>
      </c>
      <c r="D398" s="11" t="s">
        <v>2790</v>
      </c>
      <c r="E398" s="4" t="s">
        <v>505</v>
      </c>
      <c r="F398" s="11" t="s">
        <v>2794</v>
      </c>
      <c r="G398" s="11" t="s">
        <v>2795</v>
      </c>
      <c r="H398" s="11" t="s">
        <v>511</v>
      </c>
      <c r="I398" s="11" t="s">
        <v>364</v>
      </c>
      <c r="J398" s="11" t="s">
        <v>154</v>
      </c>
      <c r="K398" s="11" t="s">
        <v>155</v>
      </c>
      <c r="L398" s="11" t="s">
        <v>517</v>
      </c>
      <c r="M398" s="11" t="s">
        <v>342</v>
      </c>
      <c r="N398" s="11" t="s">
        <v>746</v>
      </c>
      <c r="O398" s="11" t="s">
        <v>312</v>
      </c>
      <c r="P398" s="11" t="s">
        <v>2354</v>
      </c>
      <c r="Q398" s="11" t="s">
        <v>621</v>
      </c>
      <c r="R398" s="11" t="s">
        <v>596</v>
      </c>
      <c r="S398" s="11" t="s">
        <v>159</v>
      </c>
      <c r="T398" s="158">
        <v>3.45</v>
      </c>
      <c r="U398" s="11" t="s">
        <v>2793</v>
      </c>
      <c r="V398" s="174">
        <v>5.7000000000000002E-2</v>
      </c>
      <c r="W398" s="189">
        <v>5.4649999999999997E-2</v>
      </c>
      <c r="X398" s="4" t="s">
        <v>602</v>
      </c>
      <c r="Y398" s="4" t="s">
        <v>312</v>
      </c>
      <c r="Z398" s="158">
        <v>25000</v>
      </c>
      <c r="AA398" s="158">
        <v>3.7589999999999999</v>
      </c>
      <c r="AB398" s="158">
        <v>101.532</v>
      </c>
      <c r="AD398" s="158">
        <v>95.415000000000006</v>
      </c>
      <c r="AG398" s="11" t="s">
        <v>37</v>
      </c>
      <c r="AH398" s="189">
        <v>2.5000000000000001E-5</v>
      </c>
      <c r="AI398" s="189">
        <v>1.56627977338304E-3</v>
      </c>
      <c r="AJ398" s="189">
        <v>2.9915990241414798E-4</v>
      </c>
    </row>
    <row r="399" spans="1:36">
      <c r="A399" s="11" t="s">
        <v>256</v>
      </c>
      <c r="B399" s="11">
        <v>556</v>
      </c>
      <c r="C399" s="11" t="s">
        <v>1678</v>
      </c>
      <c r="D399" s="11" t="s">
        <v>1679</v>
      </c>
      <c r="E399" s="4" t="s">
        <v>505</v>
      </c>
      <c r="F399" s="11" t="s">
        <v>2959</v>
      </c>
      <c r="G399" s="11" t="s">
        <v>2960</v>
      </c>
      <c r="H399" s="11" t="s">
        <v>511</v>
      </c>
      <c r="I399" s="11" t="s">
        <v>364</v>
      </c>
      <c r="J399" s="11" t="s">
        <v>154</v>
      </c>
      <c r="K399" s="11" t="s">
        <v>426</v>
      </c>
      <c r="L399" s="11" t="s">
        <v>517</v>
      </c>
      <c r="M399" s="11" t="s">
        <v>342</v>
      </c>
      <c r="N399" s="11" t="s">
        <v>675</v>
      </c>
      <c r="O399" s="11" t="s">
        <v>312</v>
      </c>
      <c r="P399" s="11" t="s">
        <v>2961</v>
      </c>
      <c r="Q399" s="11" t="s">
        <v>621</v>
      </c>
      <c r="R399" s="11" t="s">
        <v>596</v>
      </c>
      <c r="S399" s="11" t="s">
        <v>159</v>
      </c>
      <c r="T399" s="158">
        <v>2.57</v>
      </c>
      <c r="U399" s="11" t="s">
        <v>2891</v>
      </c>
      <c r="V399" s="174">
        <v>6.5000000000000002E-2</v>
      </c>
      <c r="W399" s="189">
        <v>8.5900000000000004E-2</v>
      </c>
      <c r="X399" s="4" t="s">
        <v>602</v>
      </c>
      <c r="Y399" s="4" t="s">
        <v>312</v>
      </c>
      <c r="Z399" s="158">
        <v>80000</v>
      </c>
      <c r="AA399" s="158">
        <v>3.7589999999999999</v>
      </c>
      <c r="AB399" s="158">
        <v>99.774000000000001</v>
      </c>
      <c r="AD399" s="158">
        <v>300.041</v>
      </c>
      <c r="AG399" s="11" t="s">
        <v>37</v>
      </c>
      <c r="AH399" s="189">
        <v>1.7799999999999999E-4</v>
      </c>
      <c r="AI399" s="189">
        <v>4.9253367057074298E-3</v>
      </c>
      <c r="AJ399" s="189">
        <v>9.4074077522797396E-4</v>
      </c>
    </row>
    <row r="400" spans="1:36">
      <c r="A400" s="11" t="s">
        <v>256</v>
      </c>
      <c r="B400" s="11">
        <v>556</v>
      </c>
      <c r="C400" s="11" t="s">
        <v>2962</v>
      </c>
      <c r="D400" s="11" t="s">
        <v>2963</v>
      </c>
      <c r="E400" s="4" t="s">
        <v>505</v>
      </c>
      <c r="F400" s="11" t="s">
        <v>2964</v>
      </c>
      <c r="G400" s="11" t="s">
        <v>2965</v>
      </c>
      <c r="H400" s="11" t="s">
        <v>511</v>
      </c>
      <c r="I400" s="11" t="s">
        <v>364</v>
      </c>
      <c r="J400" s="11" t="s">
        <v>154</v>
      </c>
      <c r="K400" s="11" t="s">
        <v>155</v>
      </c>
      <c r="L400" s="11" t="s">
        <v>517</v>
      </c>
      <c r="M400" s="11" t="s">
        <v>156</v>
      </c>
      <c r="N400" s="11" t="s">
        <v>698</v>
      </c>
      <c r="O400" s="11" t="s">
        <v>312</v>
      </c>
      <c r="P400" s="11" t="s">
        <v>2743</v>
      </c>
      <c r="Q400" s="11" t="s">
        <v>158</v>
      </c>
      <c r="R400" s="11" t="s">
        <v>596</v>
      </c>
      <c r="S400" s="11" t="s">
        <v>159</v>
      </c>
      <c r="T400" s="158">
        <v>5.16</v>
      </c>
      <c r="U400" s="11" t="s">
        <v>2966</v>
      </c>
      <c r="V400" s="174">
        <v>4.2500000000000003E-2</v>
      </c>
      <c r="W400" s="189">
        <v>5.1999999999999998E-2</v>
      </c>
      <c r="X400" s="4" t="s">
        <v>602</v>
      </c>
      <c r="Y400" s="4" t="s">
        <v>312</v>
      </c>
      <c r="Z400" s="158">
        <v>30000</v>
      </c>
      <c r="AA400" s="158">
        <v>3.7589999999999999</v>
      </c>
      <c r="AB400" s="158">
        <v>96.417000000000002</v>
      </c>
      <c r="AD400" s="158">
        <v>108.73</v>
      </c>
      <c r="AG400" s="11" t="s">
        <v>37</v>
      </c>
      <c r="AH400" s="189">
        <v>4.0000000000000003E-5</v>
      </c>
      <c r="AI400" s="189">
        <v>1.78485385469523E-3</v>
      </c>
      <c r="AJ400" s="189">
        <v>3.40907616932853E-4</v>
      </c>
    </row>
    <row r="401" spans="1:36">
      <c r="A401" s="11" t="s">
        <v>256</v>
      </c>
      <c r="B401" s="11">
        <v>556</v>
      </c>
      <c r="C401" s="11" t="s">
        <v>2967</v>
      </c>
      <c r="D401" s="11" t="s">
        <v>2968</v>
      </c>
      <c r="E401" s="4" t="s">
        <v>505</v>
      </c>
      <c r="F401" s="11" t="s">
        <v>2969</v>
      </c>
      <c r="G401" s="11" t="s">
        <v>2970</v>
      </c>
      <c r="H401" s="11" t="s">
        <v>511</v>
      </c>
      <c r="I401" s="11" t="s">
        <v>364</v>
      </c>
      <c r="J401" s="11" t="s">
        <v>154</v>
      </c>
      <c r="K401" s="11" t="s">
        <v>155</v>
      </c>
      <c r="L401" s="11" t="s">
        <v>517</v>
      </c>
      <c r="M401" s="11" t="s">
        <v>156</v>
      </c>
      <c r="N401" s="11" t="s">
        <v>2971</v>
      </c>
      <c r="O401" s="11" t="s">
        <v>312</v>
      </c>
      <c r="P401" s="11" t="s">
        <v>2769</v>
      </c>
      <c r="Q401" s="11" t="s">
        <v>158</v>
      </c>
      <c r="R401" s="11" t="s">
        <v>596</v>
      </c>
      <c r="S401" s="11" t="s">
        <v>159</v>
      </c>
      <c r="T401" s="158">
        <v>3.94</v>
      </c>
      <c r="U401" s="11" t="s">
        <v>2972</v>
      </c>
      <c r="V401" s="174">
        <v>3.125E-2</v>
      </c>
      <c r="W401" s="189">
        <v>6.7650000000000002E-2</v>
      </c>
      <c r="X401" s="4" t="s">
        <v>602</v>
      </c>
      <c r="Y401" s="4" t="s">
        <v>312</v>
      </c>
      <c r="Z401" s="158">
        <v>60000</v>
      </c>
      <c r="AA401" s="158">
        <v>3.7589999999999999</v>
      </c>
      <c r="AB401" s="158">
        <v>87.599000000000004</v>
      </c>
      <c r="AD401" s="158">
        <v>197.57</v>
      </c>
      <c r="AG401" s="11" t="s">
        <v>37</v>
      </c>
      <c r="AH401" s="189">
        <v>8.0000000000000007E-5</v>
      </c>
      <c r="AI401" s="189">
        <v>3.2432104557127799E-3</v>
      </c>
      <c r="AJ401" s="189">
        <v>6.1945416133667001E-4</v>
      </c>
    </row>
    <row r="402" spans="1:36">
      <c r="A402" s="11" t="s">
        <v>256</v>
      </c>
      <c r="B402" s="11">
        <v>556</v>
      </c>
      <c r="C402" s="11" t="s">
        <v>2115</v>
      </c>
      <c r="D402" s="11" t="s">
        <v>2116</v>
      </c>
      <c r="E402" s="4" t="s">
        <v>505</v>
      </c>
      <c r="F402" s="11" t="s">
        <v>2796</v>
      </c>
      <c r="G402" s="11" t="s">
        <v>2797</v>
      </c>
      <c r="H402" s="11" t="s">
        <v>511</v>
      </c>
      <c r="I402" s="11" t="s">
        <v>364</v>
      </c>
      <c r="J402" s="11" t="s">
        <v>154</v>
      </c>
      <c r="K402" s="11" t="s">
        <v>446</v>
      </c>
      <c r="L402" s="11" t="s">
        <v>517</v>
      </c>
      <c r="M402" s="11" t="s">
        <v>553</v>
      </c>
      <c r="N402" s="11" t="s">
        <v>757</v>
      </c>
      <c r="O402" s="11" t="s">
        <v>312</v>
      </c>
      <c r="P402" s="11" t="s">
        <v>2221</v>
      </c>
      <c r="Q402" s="11" t="s">
        <v>158</v>
      </c>
      <c r="R402" s="11" t="s">
        <v>596</v>
      </c>
      <c r="S402" s="11" t="s">
        <v>169</v>
      </c>
      <c r="T402" s="158">
        <v>3.43</v>
      </c>
      <c r="U402" s="11" t="s">
        <v>2798</v>
      </c>
      <c r="V402" s="174">
        <v>1.25E-3</v>
      </c>
      <c r="W402" s="189">
        <v>4.9979999999999997E-2</v>
      </c>
      <c r="X402" s="4" t="s">
        <v>602</v>
      </c>
      <c r="Y402" s="4" t="s">
        <v>312</v>
      </c>
      <c r="Z402" s="158">
        <v>50000</v>
      </c>
      <c r="AA402" s="158">
        <v>4.0199999999999996</v>
      </c>
      <c r="AB402" s="158">
        <v>85.742999999999995</v>
      </c>
      <c r="AD402" s="158">
        <v>172.35300000000001</v>
      </c>
      <c r="AG402" s="11" t="s">
        <v>37</v>
      </c>
      <c r="AH402" s="189">
        <v>5.0000000000000002E-5</v>
      </c>
      <c r="AI402" s="189">
        <v>2.8292618915277002E-3</v>
      </c>
      <c r="AJ402" s="189">
        <v>5.4038986249904403E-4</v>
      </c>
    </row>
    <row r="403" spans="1:36">
      <c r="A403" s="11" t="s">
        <v>256</v>
      </c>
      <c r="B403" s="11">
        <v>556</v>
      </c>
      <c r="C403" s="11" t="s">
        <v>2973</v>
      </c>
      <c r="D403" s="11" t="s">
        <v>2974</v>
      </c>
      <c r="E403" s="4" t="s">
        <v>505</v>
      </c>
      <c r="F403" s="11" t="s">
        <v>2975</v>
      </c>
      <c r="G403" s="11" t="s">
        <v>2976</v>
      </c>
      <c r="H403" s="11" t="s">
        <v>511</v>
      </c>
      <c r="I403" s="11" t="s">
        <v>364</v>
      </c>
      <c r="J403" s="11" t="s">
        <v>154</v>
      </c>
      <c r="K403" s="11" t="s">
        <v>426</v>
      </c>
      <c r="L403" s="11" t="s">
        <v>517</v>
      </c>
      <c r="M403" s="11" t="s">
        <v>342</v>
      </c>
      <c r="N403" s="11" t="s">
        <v>675</v>
      </c>
      <c r="O403" s="11" t="s">
        <v>312</v>
      </c>
      <c r="P403" s="11" t="s">
        <v>2977</v>
      </c>
      <c r="Q403" s="11" t="s">
        <v>158</v>
      </c>
      <c r="R403" s="11" t="s">
        <v>596</v>
      </c>
      <c r="S403" s="11" t="s">
        <v>159</v>
      </c>
      <c r="T403" s="158">
        <v>1.02</v>
      </c>
      <c r="U403" s="11" t="s">
        <v>2235</v>
      </c>
      <c r="V403" s="174">
        <v>0.09</v>
      </c>
      <c r="W403" s="189">
        <v>8.2320000000000004E-2</v>
      </c>
      <c r="X403" s="4" t="s">
        <v>602</v>
      </c>
      <c r="Y403" s="4" t="s">
        <v>312</v>
      </c>
      <c r="Z403" s="158">
        <v>20000</v>
      </c>
      <c r="AA403" s="158">
        <v>3.7589999999999999</v>
      </c>
      <c r="AB403" s="158">
        <v>105.29900000000001</v>
      </c>
      <c r="AD403" s="158">
        <v>79.164000000000001</v>
      </c>
      <c r="AG403" s="11" t="s">
        <v>37</v>
      </c>
      <c r="AH403" s="189">
        <v>0</v>
      </c>
      <c r="AI403" s="189">
        <v>1.2995151464079799E-3</v>
      </c>
      <c r="AJ403" s="189">
        <v>2.4820777934546199E-4</v>
      </c>
    </row>
    <row r="404" spans="1:36">
      <c r="A404" s="11" t="s">
        <v>256</v>
      </c>
      <c r="B404" s="11">
        <v>556</v>
      </c>
      <c r="C404" s="11" t="s">
        <v>1742</v>
      </c>
      <c r="D404" s="11" t="s">
        <v>1743</v>
      </c>
      <c r="E404" s="4" t="s">
        <v>1552</v>
      </c>
      <c r="F404" s="11" t="s">
        <v>2799</v>
      </c>
      <c r="G404" s="11" t="s">
        <v>2800</v>
      </c>
      <c r="H404" s="11" t="s">
        <v>511</v>
      </c>
      <c r="I404" s="11" t="s">
        <v>364</v>
      </c>
      <c r="J404" s="11" t="s">
        <v>31</v>
      </c>
      <c r="K404" s="11" t="s">
        <v>31</v>
      </c>
      <c r="L404" s="11" t="s">
        <v>517</v>
      </c>
      <c r="M404" s="11" t="s">
        <v>342</v>
      </c>
      <c r="N404" s="11" t="s">
        <v>725</v>
      </c>
      <c r="O404" s="11" t="s">
        <v>312</v>
      </c>
      <c r="P404" s="11" t="s">
        <v>2801</v>
      </c>
      <c r="Q404" s="11" t="s">
        <v>158</v>
      </c>
      <c r="R404" s="11" t="s">
        <v>596</v>
      </c>
      <c r="S404" s="11" t="s">
        <v>159</v>
      </c>
      <c r="T404" s="158">
        <v>3.2</v>
      </c>
      <c r="U404" s="11" t="s">
        <v>2802</v>
      </c>
      <c r="V404" s="174">
        <v>5.3749999999999999E-2</v>
      </c>
      <c r="W404" s="189">
        <v>6.182E-2</v>
      </c>
      <c r="X404" s="4" t="s">
        <v>602</v>
      </c>
      <c r="Y404" s="4" t="s">
        <v>312</v>
      </c>
      <c r="Z404" s="158">
        <v>100000</v>
      </c>
      <c r="AA404" s="158">
        <v>3.7589999999999999</v>
      </c>
      <c r="AB404" s="158">
        <v>99.41</v>
      </c>
      <c r="AD404" s="158">
        <v>373.68299999999999</v>
      </c>
      <c r="AG404" s="11" t="s">
        <v>37</v>
      </c>
      <c r="AH404" s="189">
        <v>1.25E-4</v>
      </c>
      <c r="AI404" s="189">
        <v>6.13420819932981E-3</v>
      </c>
      <c r="AJ404" s="189">
        <v>1.1716355899405401E-3</v>
      </c>
    </row>
    <row r="405" spans="1:36">
      <c r="A405" s="11" t="s">
        <v>256</v>
      </c>
      <c r="B405" s="11">
        <v>556</v>
      </c>
      <c r="C405" s="11" t="s">
        <v>2803</v>
      </c>
      <c r="D405" s="11" t="s">
        <v>2804</v>
      </c>
      <c r="E405" s="4" t="s">
        <v>505</v>
      </c>
      <c r="F405" s="11" t="s">
        <v>2805</v>
      </c>
      <c r="G405" s="11" t="s">
        <v>2806</v>
      </c>
      <c r="H405" s="11" t="s">
        <v>511</v>
      </c>
      <c r="I405" s="11" t="s">
        <v>364</v>
      </c>
      <c r="J405" s="11" t="s">
        <v>154</v>
      </c>
      <c r="K405" s="11" t="s">
        <v>155</v>
      </c>
      <c r="L405" s="11" t="s">
        <v>517</v>
      </c>
      <c r="M405" s="11" t="s">
        <v>342</v>
      </c>
      <c r="N405" s="11" t="s">
        <v>737</v>
      </c>
      <c r="O405" s="11" t="s">
        <v>312</v>
      </c>
      <c r="P405" s="11" t="s">
        <v>2206</v>
      </c>
      <c r="Q405" s="11" t="s">
        <v>158</v>
      </c>
      <c r="R405" s="11" t="s">
        <v>596</v>
      </c>
      <c r="S405" s="11" t="s">
        <v>159</v>
      </c>
      <c r="T405" s="158">
        <v>1.58</v>
      </c>
      <c r="U405" s="11" t="s">
        <v>2807</v>
      </c>
      <c r="V405" s="174">
        <v>4.8750000000000002E-2</v>
      </c>
      <c r="W405" s="189">
        <v>5.2900000000000003E-2</v>
      </c>
      <c r="X405" s="4" t="s">
        <v>602</v>
      </c>
      <c r="Y405" s="4" t="s">
        <v>312</v>
      </c>
      <c r="Z405" s="158">
        <v>30000</v>
      </c>
      <c r="AA405" s="158">
        <v>3.7589999999999999</v>
      </c>
      <c r="AB405" s="158">
        <v>101.283</v>
      </c>
      <c r="AD405" s="158">
        <v>114.217</v>
      </c>
      <c r="AG405" s="11" t="s">
        <v>37</v>
      </c>
      <c r="AH405" s="189">
        <v>0</v>
      </c>
      <c r="AI405" s="189">
        <v>1.8749262954223E-3</v>
      </c>
      <c r="AJ405" s="189">
        <v>3.5811147989273302E-4</v>
      </c>
    </row>
    <row r="406" spans="1:36">
      <c r="A406" s="11" t="s">
        <v>256</v>
      </c>
      <c r="B406" s="11">
        <v>556</v>
      </c>
      <c r="C406" s="11" t="s">
        <v>2808</v>
      </c>
      <c r="D406" s="11" t="s">
        <v>2809</v>
      </c>
      <c r="E406" s="4" t="s">
        <v>505</v>
      </c>
      <c r="F406" s="11" t="s">
        <v>2810</v>
      </c>
      <c r="G406" s="11" t="s">
        <v>2811</v>
      </c>
      <c r="H406" s="11" t="s">
        <v>511</v>
      </c>
      <c r="I406" s="11" t="s">
        <v>364</v>
      </c>
      <c r="J406" s="11" t="s">
        <v>154</v>
      </c>
      <c r="K406" s="11" t="s">
        <v>155</v>
      </c>
      <c r="L406" s="11" t="s">
        <v>517</v>
      </c>
      <c r="M406" s="11" t="s">
        <v>342</v>
      </c>
      <c r="N406" s="11" t="s">
        <v>719</v>
      </c>
      <c r="O406" s="11" t="s">
        <v>312</v>
      </c>
      <c r="P406" s="11" t="s">
        <v>2769</v>
      </c>
      <c r="Q406" s="11" t="s">
        <v>158</v>
      </c>
      <c r="R406" s="11" t="s">
        <v>596</v>
      </c>
      <c r="S406" s="11" t="s">
        <v>159</v>
      </c>
      <c r="T406" s="158">
        <v>3.42</v>
      </c>
      <c r="U406" s="11" t="s">
        <v>2175</v>
      </c>
      <c r="V406" s="174">
        <v>5.7000000000000002E-2</v>
      </c>
      <c r="W406" s="189">
        <v>5.6270000000000001E-2</v>
      </c>
      <c r="X406" s="4" t="s">
        <v>602</v>
      </c>
      <c r="Y406" s="4" t="s">
        <v>312</v>
      </c>
      <c r="Z406" s="158">
        <v>30000</v>
      </c>
      <c r="AA406" s="158">
        <v>3.7589999999999999</v>
      </c>
      <c r="AB406" s="158">
        <v>101.53100000000001</v>
      </c>
      <c r="AD406" s="158">
        <v>114.497</v>
      </c>
      <c r="AG406" s="11" t="s">
        <v>37</v>
      </c>
      <c r="AH406" s="189">
        <v>0</v>
      </c>
      <c r="AI406" s="189">
        <v>1.87952955993203E-3</v>
      </c>
      <c r="AJ406" s="189">
        <v>3.5899070478276801E-4</v>
      </c>
    </row>
    <row r="407" spans="1:36">
      <c r="A407" s="11" t="s">
        <v>256</v>
      </c>
      <c r="B407" s="11">
        <v>556</v>
      </c>
      <c r="C407" s="11" t="s">
        <v>2978</v>
      </c>
      <c r="D407" s="11" t="s">
        <v>2979</v>
      </c>
      <c r="E407" s="4" t="s">
        <v>1552</v>
      </c>
      <c r="F407" s="11" t="s">
        <v>2980</v>
      </c>
      <c r="G407" s="11" t="s">
        <v>2981</v>
      </c>
      <c r="H407" s="11" t="s">
        <v>511</v>
      </c>
      <c r="I407" s="11" t="s">
        <v>364</v>
      </c>
      <c r="J407" s="11" t="s">
        <v>154</v>
      </c>
      <c r="K407" s="11" t="s">
        <v>2114</v>
      </c>
      <c r="L407" s="11" t="s">
        <v>517</v>
      </c>
      <c r="M407" s="11" t="s">
        <v>342</v>
      </c>
      <c r="N407" s="11" t="s">
        <v>678</v>
      </c>
      <c r="O407" s="11" t="s">
        <v>312</v>
      </c>
      <c r="P407" s="11" t="s">
        <v>2734</v>
      </c>
      <c r="Q407" s="11" t="s">
        <v>621</v>
      </c>
      <c r="R407" s="11" t="s">
        <v>596</v>
      </c>
      <c r="S407" s="11" t="s">
        <v>159</v>
      </c>
      <c r="T407" s="158">
        <v>8.89</v>
      </c>
      <c r="U407" s="11" t="s">
        <v>2982</v>
      </c>
      <c r="V407" s="174">
        <v>6.3750000000000001E-2</v>
      </c>
      <c r="W407" s="189">
        <v>7.4079999999999993E-2</v>
      </c>
      <c r="X407" s="4" t="s">
        <v>602</v>
      </c>
      <c r="Y407" s="4" t="s">
        <v>312</v>
      </c>
      <c r="Z407" s="158">
        <v>250000</v>
      </c>
      <c r="AA407" s="158">
        <v>3.7589999999999999</v>
      </c>
      <c r="AB407" s="158">
        <v>91.981999999999999</v>
      </c>
      <c r="AD407" s="158">
        <v>864.40300000000002</v>
      </c>
      <c r="AG407" s="11" t="s">
        <v>37</v>
      </c>
      <c r="AH407" s="189">
        <v>3.6099999999999999E-4</v>
      </c>
      <c r="AI407" s="189">
        <v>1.41896322704495E-2</v>
      </c>
      <c r="AJ407" s="189">
        <v>2.7102239826231902E-3</v>
      </c>
    </row>
    <row r="408" spans="1:36">
      <c r="A408" s="11" t="s">
        <v>256</v>
      </c>
      <c r="B408" s="11">
        <v>556</v>
      </c>
      <c r="C408" s="11" t="s">
        <v>2983</v>
      </c>
      <c r="D408" s="11" t="s">
        <v>2984</v>
      </c>
      <c r="E408" s="4" t="s">
        <v>505</v>
      </c>
      <c r="F408" s="11" t="s">
        <v>2985</v>
      </c>
      <c r="G408" s="11" t="s">
        <v>2986</v>
      </c>
      <c r="H408" s="11" t="s">
        <v>511</v>
      </c>
      <c r="I408" s="11" t="s">
        <v>364</v>
      </c>
      <c r="J408" s="11" t="s">
        <v>154</v>
      </c>
      <c r="K408" s="11" t="s">
        <v>155</v>
      </c>
      <c r="L408" s="11" t="s">
        <v>517</v>
      </c>
      <c r="M408" s="11" t="s">
        <v>342</v>
      </c>
      <c r="N408" s="11" t="s">
        <v>714</v>
      </c>
      <c r="O408" s="11" t="s">
        <v>312</v>
      </c>
      <c r="P408" s="11" t="s">
        <v>2743</v>
      </c>
      <c r="Q408" s="11" t="s">
        <v>158</v>
      </c>
      <c r="R408" s="11" t="s">
        <v>596</v>
      </c>
      <c r="S408" s="11" t="s">
        <v>159</v>
      </c>
      <c r="T408" s="158">
        <v>5.0999999999999996</v>
      </c>
      <c r="U408" s="11" t="s">
        <v>2987</v>
      </c>
      <c r="V408" s="174">
        <v>3.7499999999999999E-2</v>
      </c>
      <c r="W408" s="189">
        <v>5.2540000000000003E-2</v>
      </c>
      <c r="X408" s="4" t="s">
        <v>602</v>
      </c>
      <c r="Y408" s="4" t="s">
        <v>312</v>
      </c>
      <c r="Z408" s="158">
        <v>30000</v>
      </c>
      <c r="AA408" s="158">
        <v>3.7589999999999999</v>
      </c>
      <c r="AB408" s="158">
        <v>94.272999999999996</v>
      </c>
      <c r="AD408" s="158">
        <v>106.312</v>
      </c>
      <c r="AG408" s="11" t="s">
        <v>37</v>
      </c>
      <c r="AH408" s="189">
        <v>3.0000000000000001E-5</v>
      </c>
      <c r="AI408" s="189">
        <v>1.74516329248495E-3</v>
      </c>
      <c r="AJ408" s="189">
        <v>3.3332670774959499E-4</v>
      </c>
    </row>
    <row r="409" spans="1:36">
      <c r="A409" s="11" t="s">
        <v>256</v>
      </c>
      <c r="B409" s="11">
        <v>556</v>
      </c>
      <c r="C409" s="11" t="s">
        <v>2988</v>
      </c>
      <c r="D409" s="11" t="s">
        <v>2989</v>
      </c>
      <c r="E409" s="4" t="s">
        <v>505</v>
      </c>
      <c r="F409" s="11" t="s">
        <v>2990</v>
      </c>
      <c r="G409" s="11" t="s">
        <v>2991</v>
      </c>
      <c r="H409" s="11" t="s">
        <v>511</v>
      </c>
      <c r="I409" s="11" t="s">
        <v>364</v>
      </c>
      <c r="J409" s="11" t="s">
        <v>154</v>
      </c>
      <c r="K409" s="11" t="s">
        <v>155</v>
      </c>
      <c r="L409" s="11" t="s">
        <v>517</v>
      </c>
      <c r="M409" s="11" t="s">
        <v>156</v>
      </c>
      <c r="N409" s="11" t="s">
        <v>706</v>
      </c>
      <c r="O409" s="11" t="s">
        <v>312</v>
      </c>
      <c r="P409" s="11" t="s">
        <v>2221</v>
      </c>
      <c r="Q409" s="11" t="s">
        <v>158</v>
      </c>
      <c r="R409" s="11" t="s">
        <v>596</v>
      </c>
      <c r="S409" s="11" t="s">
        <v>159</v>
      </c>
      <c r="T409" s="158">
        <v>5.26</v>
      </c>
      <c r="U409" s="11" t="s">
        <v>2992</v>
      </c>
      <c r="V409" s="174">
        <v>3.5999999999999997E-2</v>
      </c>
      <c r="W409" s="189">
        <v>5.2380000000000003E-2</v>
      </c>
      <c r="X409" s="4" t="s">
        <v>602</v>
      </c>
      <c r="Y409" s="4" t="s">
        <v>312</v>
      </c>
      <c r="Z409" s="158">
        <v>30000</v>
      </c>
      <c r="AA409" s="158">
        <v>3.7589999999999999</v>
      </c>
      <c r="AB409" s="158">
        <v>92.516000000000005</v>
      </c>
      <c r="AC409" s="158">
        <v>0.54</v>
      </c>
      <c r="AD409" s="158">
        <v>106.36</v>
      </c>
      <c r="AG409" s="11" t="s">
        <v>37</v>
      </c>
      <c r="AH409" s="189">
        <v>8.6000000000000003E-5</v>
      </c>
      <c r="AI409" s="189">
        <v>1.7459577567016001E-3</v>
      </c>
      <c r="AJ409" s="189">
        <v>3.3347845065119302E-4</v>
      </c>
    </row>
    <row r="410" spans="1:36">
      <c r="A410" s="11" t="s">
        <v>256</v>
      </c>
      <c r="B410" s="11">
        <v>556</v>
      </c>
      <c r="C410" s="11" t="s">
        <v>2993</v>
      </c>
      <c r="D410" s="11" t="s">
        <v>2994</v>
      </c>
      <c r="E410" s="4" t="s">
        <v>505</v>
      </c>
      <c r="F410" s="11" t="s">
        <v>2995</v>
      </c>
      <c r="G410" s="11" t="s">
        <v>2996</v>
      </c>
      <c r="H410" s="11" t="s">
        <v>511</v>
      </c>
      <c r="I410" s="11" t="s">
        <v>364</v>
      </c>
      <c r="J410" s="11" t="s">
        <v>154</v>
      </c>
      <c r="K410" s="11" t="s">
        <v>155</v>
      </c>
      <c r="L410" s="11" t="s">
        <v>517</v>
      </c>
      <c r="M410" s="11" t="s">
        <v>156</v>
      </c>
      <c r="N410" s="11" t="s">
        <v>735</v>
      </c>
      <c r="O410" s="11" t="s">
        <v>312</v>
      </c>
      <c r="P410" s="11" t="s">
        <v>2354</v>
      </c>
      <c r="Q410" s="11" t="s">
        <v>621</v>
      </c>
      <c r="R410" s="11" t="s">
        <v>596</v>
      </c>
      <c r="S410" s="11" t="s">
        <v>159</v>
      </c>
      <c r="T410" s="158">
        <v>4.37</v>
      </c>
      <c r="U410" s="11" t="s">
        <v>2997</v>
      </c>
      <c r="V410" s="174">
        <v>4.5999999999999999E-2</v>
      </c>
      <c r="W410" s="189">
        <v>5.3769999999999998E-2</v>
      </c>
      <c r="X410" s="4" t="s">
        <v>602</v>
      </c>
      <c r="Y410" s="4" t="s">
        <v>312</v>
      </c>
      <c r="Z410" s="158">
        <v>30000</v>
      </c>
      <c r="AA410" s="158">
        <v>3.7589999999999999</v>
      </c>
      <c r="AB410" s="158">
        <v>97.816000000000003</v>
      </c>
      <c r="AD410" s="158">
        <v>110.307</v>
      </c>
      <c r="AG410" s="11" t="s">
        <v>37</v>
      </c>
      <c r="AH410" s="189">
        <v>3.6999999999999998E-5</v>
      </c>
      <c r="AI410" s="189">
        <v>1.81074078780158E-3</v>
      </c>
      <c r="AJ410" s="189">
        <v>3.4585202885306301E-4</v>
      </c>
    </row>
    <row r="411" spans="1:36">
      <c r="A411" s="11" t="s">
        <v>256</v>
      </c>
      <c r="B411" s="11">
        <v>556</v>
      </c>
      <c r="C411" s="11" t="s">
        <v>2998</v>
      </c>
      <c r="D411" s="11" t="s">
        <v>2999</v>
      </c>
      <c r="E411" s="4" t="s">
        <v>505</v>
      </c>
      <c r="F411" s="11" t="s">
        <v>3000</v>
      </c>
      <c r="G411" s="11" t="s">
        <v>3001</v>
      </c>
      <c r="H411" s="11" t="s">
        <v>511</v>
      </c>
      <c r="I411" s="11" t="s">
        <v>364</v>
      </c>
      <c r="J411" s="11" t="s">
        <v>154</v>
      </c>
      <c r="K411" s="11" t="s">
        <v>155</v>
      </c>
      <c r="L411" s="11" t="s">
        <v>517</v>
      </c>
      <c r="M411" s="11" t="s">
        <v>156</v>
      </c>
      <c r="N411" s="11" t="s">
        <v>733</v>
      </c>
      <c r="O411" s="11" t="s">
        <v>312</v>
      </c>
      <c r="P411" s="11" t="s">
        <v>2743</v>
      </c>
      <c r="Q411" s="11" t="s">
        <v>158</v>
      </c>
      <c r="R411" s="11" t="s">
        <v>596</v>
      </c>
      <c r="S411" s="11" t="s">
        <v>159</v>
      </c>
      <c r="T411" s="158">
        <v>3.2</v>
      </c>
      <c r="U411" s="11" t="s">
        <v>2328</v>
      </c>
      <c r="V411" s="174">
        <v>3.2500000000000001E-2</v>
      </c>
      <c r="W411" s="189">
        <v>5.3019999999999998E-2</v>
      </c>
      <c r="X411" s="4" t="s">
        <v>602</v>
      </c>
      <c r="Y411" s="4" t="s">
        <v>312</v>
      </c>
      <c r="Z411" s="158">
        <v>30000</v>
      </c>
      <c r="AA411" s="158">
        <v>3.7589999999999999</v>
      </c>
      <c r="AB411" s="158">
        <v>94.647000000000006</v>
      </c>
      <c r="AD411" s="158">
        <v>106.73399999999999</v>
      </c>
      <c r="AG411" s="11" t="s">
        <v>37</v>
      </c>
      <c r="AH411" s="189">
        <v>1.1E-5</v>
      </c>
      <c r="AI411" s="189">
        <v>1.75209163134321E-3</v>
      </c>
      <c r="AJ411" s="189">
        <v>3.3465002253150799E-4</v>
      </c>
    </row>
    <row r="412" spans="1:36">
      <c r="A412" s="11" t="s">
        <v>256</v>
      </c>
      <c r="B412" s="11">
        <v>556</v>
      </c>
      <c r="C412" s="11" t="s">
        <v>3002</v>
      </c>
      <c r="D412" s="11" t="s">
        <v>3003</v>
      </c>
      <c r="E412" s="4" t="s">
        <v>505</v>
      </c>
      <c r="F412" s="11" t="s">
        <v>3004</v>
      </c>
      <c r="G412" s="11" t="s">
        <v>3005</v>
      </c>
      <c r="H412" s="11" t="s">
        <v>511</v>
      </c>
      <c r="I412" s="11" t="s">
        <v>364</v>
      </c>
      <c r="J412" s="11" t="s">
        <v>154</v>
      </c>
      <c r="K412" s="11" t="s">
        <v>155</v>
      </c>
      <c r="L412" s="11" t="s">
        <v>517</v>
      </c>
      <c r="M412" s="11" t="s">
        <v>156</v>
      </c>
      <c r="N412" s="11" t="s">
        <v>723</v>
      </c>
      <c r="O412" s="11" t="s">
        <v>312</v>
      </c>
      <c r="P412" s="11" t="s">
        <v>2961</v>
      </c>
      <c r="Q412" s="11" t="s">
        <v>621</v>
      </c>
      <c r="R412" s="11" t="s">
        <v>596</v>
      </c>
      <c r="S412" s="11" t="s">
        <v>159</v>
      </c>
      <c r="T412" s="158">
        <v>1.67</v>
      </c>
      <c r="U412" s="11" t="s">
        <v>3006</v>
      </c>
      <c r="V412" s="174">
        <v>4.3749999999999997E-2</v>
      </c>
      <c r="W412" s="189">
        <v>6.3939999999999997E-2</v>
      </c>
      <c r="X412" s="4" t="s">
        <v>602</v>
      </c>
      <c r="Y412" s="4" t="s">
        <v>312</v>
      </c>
      <c r="Z412" s="158">
        <v>30000</v>
      </c>
      <c r="AA412" s="158">
        <v>3.7589999999999999</v>
      </c>
      <c r="AB412" s="158">
        <v>98.013999999999996</v>
      </c>
      <c r="AD412" s="158">
        <v>110.53</v>
      </c>
      <c r="AG412" s="11" t="s">
        <v>37</v>
      </c>
      <c r="AH412" s="189">
        <v>0</v>
      </c>
      <c r="AI412" s="189">
        <v>1.8144151184697299E-3</v>
      </c>
      <c r="AJ412" s="189">
        <v>3.4655382710315798E-4</v>
      </c>
    </row>
    <row r="413" spans="1:36">
      <c r="A413" s="11" t="s">
        <v>256</v>
      </c>
      <c r="B413" s="11">
        <v>556</v>
      </c>
      <c r="C413" s="11" t="s">
        <v>1786</v>
      </c>
      <c r="D413" s="11" t="s">
        <v>1787</v>
      </c>
      <c r="E413" s="4" t="s">
        <v>1552</v>
      </c>
      <c r="F413" s="11" t="s">
        <v>3007</v>
      </c>
      <c r="G413" s="11" t="s">
        <v>3008</v>
      </c>
      <c r="H413" s="11" t="s">
        <v>511</v>
      </c>
      <c r="I413" s="11" t="s">
        <v>364</v>
      </c>
      <c r="J413" s="11" t="s">
        <v>31</v>
      </c>
      <c r="K413" s="11" t="s">
        <v>155</v>
      </c>
      <c r="L413" s="11" t="s">
        <v>517</v>
      </c>
      <c r="M413" s="11" t="s">
        <v>342</v>
      </c>
      <c r="N413" s="11" t="s">
        <v>723</v>
      </c>
      <c r="O413" s="11" t="s">
        <v>312</v>
      </c>
      <c r="P413" s="11" t="s">
        <v>2814</v>
      </c>
      <c r="Q413" s="11" t="s">
        <v>158</v>
      </c>
      <c r="R413" s="11" t="s">
        <v>596</v>
      </c>
      <c r="S413" s="11" t="s">
        <v>169</v>
      </c>
      <c r="T413" s="158">
        <v>2.73</v>
      </c>
      <c r="U413" s="11" t="s">
        <v>3009</v>
      </c>
      <c r="V413" s="174">
        <v>3.7499999999999999E-2</v>
      </c>
      <c r="W413" s="189">
        <v>4.6969999999999998E-2</v>
      </c>
      <c r="X413" s="4" t="s">
        <v>602</v>
      </c>
      <c r="Y413" s="4" t="s">
        <v>312</v>
      </c>
      <c r="Z413" s="158">
        <v>150000</v>
      </c>
      <c r="AA413" s="158">
        <v>4.0199999999999996</v>
      </c>
      <c r="AB413" s="158">
        <v>98.337999999999994</v>
      </c>
      <c r="AD413" s="158">
        <v>593.00900000000001</v>
      </c>
      <c r="AG413" s="11" t="s">
        <v>37</v>
      </c>
      <c r="AH413" s="189">
        <v>1.36E-4</v>
      </c>
      <c r="AI413" s="189">
        <v>9.7345565260799106E-3</v>
      </c>
      <c r="AJ413" s="189">
        <v>1.8593031908322301E-3</v>
      </c>
    </row>
    <row r="414" spans="1:36">
      <c r="A414" s="11" t="s">
        <v>256</v>
      </c>
      <c r="B414" s="11">
        <v>556</v>
      </c>
      <c r="C414" s="11" t="s">
        <v>1786</v>
      </c>
      <c r="D414" s="11" t="s">
        <v>1787</v>
      </c>
      <c r="E414" s="4" t="s">
        <v>1552</v>
      </c>
      <c r="F414" s="11" t="s">
        <v>3010</v>
      </c>
      <c r="G414" s="11" t="s">
        <v>3011</v>
      </c>
      <c r="H414" s="11" t="s">
        <v>511</v>
      </c>
      <c r="I414" s="11" t="s">
        <v>364</v>
      </c>
      <c r="J414" s="11" t="s">
        <v>31</v>
      </c>
      <c r="K414" s="11" t="s">
        <v>155</v>
      </c>
      <c r="L414" s="11" t="s">
        <v>517</v>
      </c>
      <c r="M414" s="11" t="s">
        <v>156</v>
      </c>
      <c r="N414" s="11" t="s">
        <v>723</v>
      </c>
      <c r="O414" s="11" t="s">
        <v>312</v>
      </c>
      <c r="P414" s="11" t="s">
        <v>2814</v>
      </c>
      <c r="Q414" s="11" t="s">
        <v>158</v>
      </c>
      <c r="R414" s="11" t="s">
        <v>596</v>
      </c>
      <c r="S414" s="11" t="s">
        <v>169</v>
      </c>
      <c r="T414" s="158">
        <v>5.13</v>
      </c>
      <c r="U414" s="11" t="s">
        <v>3012</v>
      </c>
      <c r="V414" s="174">
        <v>4.3749999999999997E-2</v>
      </c>
      <c r="W414" s="189">
        <v>5.033E-2</v>
      </c>
      <c r="X414" s="4" t="s">
        <v>602</v>
      </c>
      <c r="Y414" s="4" t="s">
        <v>312</v>
      </c>
      <c r="Z414" s="158">
        <v>70000</v>
      </c>
      <c r="AA414" s="158">
        <v>4.0199999999999996</v>
      </c>
      <c r="AB414" s="158">
        <v>97.528999999999996</v>
      </c>
      <c r="AD414" s="158">
        <v>274.459</v>
      </c>
      <c r="AG414" s="11" t="s">
        <v>37</v>
      </c>
      <c r="AH414" s="189">
        <v>9.2999999999999997E-5</v>
      </c>
      <c r="AI414" s="189">
        <v>4.5053900834914297E-3</v>
      </c>
      <c r="AJ414" s="189">
        <v>8.6053084552305498E-4</v>
      </c>
    </row>
    <row r="415" spans="1:36">
      <c r="A415" s="11" t="s">
        <v>256</v>
      </c>
      <c r="B415" s="11">
        <v>556</v>
      </c>
      <c r="C415" s="11" t="s">
        <v>1786</v>
      </c>
      <c r="D415" s="11" t="s">
        <v>1787</v>
      </c>
      <c r="E415" s="4" t="s">
        <v>1552</v>
      </c>
      <c r="F415" s="11" t="s">
        <v>2812</v>
      </c>
      <c r="G415" s="11" t="s">
        <v>2813</v>
      </c>
      <c r="H415" s="11" t="s">
        <v>511</v>
      </c>
      <c r="I415" s="11" t="s">
        <v>364</v>
      </c>
      <c r="J415" s="11" t="s">
        <v>31</v>
      </c>
      <c r="K415" s="11" t="s">
        <v>155</v>
      </c>
      <c r="L415" s="11" t="s">
        <v>517</v>
      </c>
      <c r="M415" s="11" t="s">
        <v>342</v>
      </c>
      <c r="N415" s="11" t="s">
        <v>723</v>
      </c>
      <c r="O415" s="11" t="s">
        <v>312</v>
      </c>
      <c r="P415" s="11" t="s">
        <v>2814</v>
      </c>
      <c r="Q415" s="11" t="s">
        <v>158</v>
      </c>
      <c r="R415" s="11" t="s">
        <v>596</v>
      </c>
      <c r="S415" s="11" t="s">
        <v>169</v>
      </c>
      <c r="T415" s="158">
        <v>4.17</v>
      </c>
      <c r="U415" s="11" t="s">
        <v>2815</v>
      </c>
      <c r="V415" s="174">
        <v>7.3749999999999996E-2</v>
      </c>
      <c r="W415" s="189">
        <v>5.0279999999999998E-2</v>
      </c>
      <c r="X415" s="4" t="s">
        <v>602</v>
      </c>
      <c r="Y415" s="4" t="s">
        <v>312</v>
      </c>
      <c r="Z415" s="158">
        <v>7000</v>
      </c>
      <c r="AA415" s="158">
        <v>4.0199999999999996</v>
      </c>
      <c r="AB415" s="158">
        <v>113.035</v>
      </c>
      <c r="AD415" s="158">
        <v>31.81</v>
      </c>
      <c r="AG415" s="11" t="s">
        <v>37</v>
      </c>
      <c r="AH415" s="189">
        <v>9.0000000000000002E-6</v>
      </c>
      <c r="AI415" s="189">
        <v>5.2217199319691597E-4</v>
      </c>
      <c r="AJ415" s="189">
        <v>9.9735005956683598E-5</v>
      </c>
    </row>
    <row r="416" spans="1:36">
      <c r="A416" s="11" t="s">
        <v>256</v>
      </c>
      <c r="B416" s="11">
        <v>556</v>
      </c>
      <c r="C416" s="11" t="s">
        <v>1786</v>
      </c>
      <c r="D416" s="11" t="s">
        <v>1787</v>
      </c>
      <c r="E416" s="4" t="s">
        <v>1552</v>
      </c>
      <c r="F416" s="11" t="s">
        <v>2816</v>
      </c>
      <c r="G416" s="11" t="s">
        <v>2817</v>
      </c>
      <c r="H416" s="11" t="s">
        <v>511</v>
      </c>
      <c r="I416" s="11" t="s">
        <v>364</v>
      </c>
      <c r="J416" s="11" t="s">
        <v>31</v>
      </c>
      <c r="K416" s="11" t="s">
        <v>155</v>
      </c>
      <c r="L416" s="11" t="s">
        <v>517</v>
      </c>
      <c r="M416" s="11" t="s">
        <v>342</v>
      </c>
      <c r="N416" s="11" t="s">
        <v>723</v>
      </c>
      <c r="O416" s="11" t="s">
        <v>312</v>
      </c>
      <c r="P416" s="11" t="s">
        <v>2814</v>
      </c>
      <c r="Q416" s="11" t="s">
        <v>158</v>
      </c>
      <c r="R416" s="11" t="s">
        <v>596</v>
      </c>
      <c r="S416" s="11" t="s">
        <v>169</v>
      </c>
      <c r="T416" s="158">
        <v>5.43</v>
      </c>
      <c r="U416" s="11" t="s">
        <v>2818</v>
      </c>
      <c r="V416" s="174">
        <v>7.8750000000000001E-2</v>
      </c>
      <c r="W416" s="189">
        <v>5.2429999999999997E-2</v>
      </c>
      <c r="X416" s="4" t="s">
        <v>602</v>
      </c>
      <c r="Y416" s="4" t="s">
        <v>312</v>
      </c>
      <c r="Z416" s="158">
        <v>7000</v>
      </c>
      <c r="AA416" s="158">
        <v>4.0199999999999996</v>
      </c>
      <c r="AB416" s="158">
        <v>117.645</v>
      </c>
      <c r="AD416" s="158">
        <v>33.106999999999999</v>
      </c>
      <c r="AG416" s="11" t="s">
        <v>37</v>
      </c>
      <c r="AH416" s="189">
        <v>1.4E-5</v>
      </c>
      <c r="AI416" s="189">
        <v>5.43467392631082E-4</v>
      </c>
      <c r="AJ416" s="189">
        <v>1.03802433580316E-4</v>
      </c>
    </row>
    <row r="417" spans="1:36">
      <c r="A417" s="11" t="s">
        <v>256</v>
      </c>
      <c r="B417" s="11">
        <v>556</v>
      </c>
      <c r="C417" s="11" t="s">
        <v>1786</v>
      </c>
      <c r="D417" s="11" t="s">
        <v>1787</v>
      </c>
      <c r="E417" s="4" t="s">
        <v>1552</v>
      </c>
      <c r="F417" s="11" t="s">
        <v>3013</v>
      </c>
      <c r="G417" s="11" t="s">
        <v>3014</v>
      </c>
      <c r="H417" s="11" t="s">
        <v>511</v>
      </c>
      <c r="I417" s="11" t="s">
        <v>364</v>
      </c>
      <c r="J417" s="11" t="s">
        <v>31</v>
      </c>
      <c r="K417" s="11" t="s">
        <v>155</v>
      </c>
      <c r="L417" s="11" t="s">
        <v>517</v>
      </c>
      <c r="M417" s="11" t="s">
        <v>156</v>
      </c>
      <c r="N417" s="11" t="s">
        <v>723</v>
      </c>
      <c r="O417" s="11" t="s">
        <v>312</v>
      </c>
      <c r="P417" s="11" t="s">
        <v>2814</v>
      </c>
      <c r="Q417" s="11" t="s">
        <v>158</v>
      </c>
      <c r="R417" s="11" t="s">
        <v>596</v>
      </c>
      <c r="S417" s="11" t="s">
        <v>159</v>
      </c>
      <c r="T417" s="158">
        <v>2.19</v>
      </c>
      <c r="U417" s="11" t="s">
        <v>3015</v>
      </c>
      <c r="V417" s="174">
        <v>3.15E-2</v>
      </c>
      <c r="W417" s="189">
        <v>6.3009999999999997E-2</v>
      </c>
      <c r="X417" s="4" t="s">
        <v>602</v>
      </c>
      <c r="Y417" s="4" t="s">
        <v>312</v>
      </c>
      <c r="Z417" s="158">
        <v>150000</v>
      </c>
      <c r="AA417" s="158">
        <v>3.7589999999999999</v>
      </c>
      <c r="AB417" s="158">
        <v>94.74</v>
      </c>
      <c r="AD417" s="158">
        <v>534.19299999999998</v>
      </c>
      <c r="AG417" s="11" t="s">
        <v>37</v>
      </c>
      <c r="AH417" s="189">
        <v>4.3000000000000002E-5</v>
      </c>
      <c r="AI417" s="189">
        <v>8.76905198259041E-3</v>
      </c>
      <c r="AJ417" s="189">
        <v>1.67489153595473E-3</v>
      </c>
    </row>
    <row r="418" spans="1:36">
      <c r="A418" s="11" t="s">
        <v>256</v>
      </c>
      <c r="B418" s="11">
        <v>556</v>
      </c>
      <c r="C418" s="11" t="s">
        <v>3016</v>
      </c>
      <c r="D418" s="11" t="s">
        <v>3017</v>
      </c>
      <c r="E418" s="4" t="s">
        <v>505</v>
      </c>
      <c r="F418" s="11" t="s">
        <v>3018</v>
      </c>
      <c r="G418" s="11" t="s">
        <v>3019</v>
      </c>
      <c r="H418" s="11" t="s">
        <v>511</v>
      </c>
      <c r="I418" s="11" t="s">
        <v>364</v>
      </c>
      <c r="J418" s="11" t="s">
        <v>154</v>
      </c>
      <c r="K418" s="11" t="s">
        <v>155</v>
      </c>
      <c r="L418" s="11" t="s">
        <v>517</v>
      </c>
      <c r="M418" s="11" t="s">
        <v>156</v>
      </c>
      <c r="N418" s="11" t="s">
        <v>739</v>
      </c>
      <c r="O418" s="11" t="s">
        <v>312</v>
      </c>
      <c r="P418" s="11" t="s">
        <v>2221</v>
      </c>
      <c r="Q418" s="11" t="s">
        <v>158</v>
      </c>
      <c r="R418" s="11" t="s">
        <v>596</v>
      </c>
      <c r="S418" s="11" t="s">
        <v>159</v>
      </c>
      <c r="T418" s="158">
        <v>4.74</v>
      </c>
      <c r="U418" s="11" t="s">
        <v>3020</v>
      </c>
      <c r="V418" s="174">
        <v>4.0160000000000001E-2</v>
      </c>
      <c r="W418" s="189">
        <v>5.3199999999999997E-2</v>
      </c>
      <c r="X418" s="4" t="s">
        <v>602</v>
      </c>
      <c r="Y418" s="4" t="s">
        <v>312</v>
      </c>
      <c r="Z418" s="158">
        <v>30000</v>
      </c>
      <c r="AA418" s="158">
        <v>3.7589999999999999</v>
      </c>
      <c r="AB418" s="158">
        <v>94.822999999999993</v>
      </c>
      <c r="AD418" s="158">
        <v>106.932</v>
      </c>
      <c r="AG418" s="11" t="s">
        <v>37</v>
      </c>
      <c r="AH418" s="189">
        <v>7.9999999999999996E-6</v>
      </c>
      <c r="AI418" s="189">
        <v>1.7553469353584501E-3</v>
      </c>
      <c r="AJ418" s="189">
        <v>3.3527178656631099E-4</v>
      </c>
    </row>
    <row r="419" spans="1:36">
      <c r="A419" s="11" t="s">
        <v>256</v>
      </c>
      <c r="B419" s="11">
        <v>556</v>
      </c>
      <c r="C419" s="11" t="s">
        <v>3021</v>
      </c>
      <c r="D419" s="11" t="s">
        <v>3022</v>
      </c>
      <c r="E419" s="4" t="s">
        <v>505</v>
      </c>
      <c r="F419" s="11" t="s">
        <v>3023</v>
      </c>
      <c r="G419" s="11" t="s">
        <v>3024</v>
      </c>
      <c r="H419" s="11" t="s">
        <v>511</v>
      </c>
      <c r="I419" s="11" t="s">
        <v>364</v>
      </c>
      <c r="J419" s="11" t="s">
        <v>154</v>
      </c>
      <c r="K419" s="11" t="s">
        <v>155</v>
      </c>
      <c r="L419" s="11" t="s">
        <v>517</v>
      </c>
      <c r="M419" s="11" t="s">
        <v>535</v>
      </c>
      <c r="N419" s="11" t="s">
        <v>723</v>
      </c>
      <c r="O419" s="11" t="s">
        <v>312</v>
      </c>
      <c r="P419" s="11" t="s">
        <v>2769</v>
      </c>
      <c r="Q419" s="11" t="s">
        <v>158</v>
      </c>
      <c r="R419" s="11" t="s">
        <v>596</v>
      </c>
      <c r="S419" s="11" t="s">
        <v>159</v>
      </c>
      <c r="T419" s="158">
        <v>2.85</v>
      </c>
      <c r="U419" s="11" t="s">
        <v>3025</v>
      </c>
      <c r="V419" s="174">
        <v>2.3E-2</v>
      </c>
      <c r="W419" s="189">
        <v>5.7570000000000003E-2</v>
      </c>
      <c r="X419" s="4" t="s">
        <v>602</v>
      </c>
      <c r="Y419" s="4" t="s">
        <v>312</v>
      </c>
      <c r="Z419" s="158">
        <v>30000</v>
      </c>
      <c r="AA419" s="158">
        <v>3.7589999999999999</v>
      </c>
      <c r="AB419" s="158">
        <v>91.283000000000001</v>
      </c>
      <c r="AD419" s="158">
        <v>102.94</v>
      </c>
      <c r="AG419" s="11" t="s">
        <v>37</v>
      </c>
      <c r="AH419" s="189">
        <v>0</v>
      </c>
      <c r="AI419" s="189">
        <v>1.6898135598021899E-3</v>
      </c>
      <c r="AJ419" s="189">
        <v>3.22754892350193E-4</v>
      </c>
    </row>
    <row r="420" spans="1:36">
      <c r="A420" s="11" t="s">
        <v>256</v>
      </c>
      <c r="B420" s="11">
        <v>556</v>
      </c>
      <c r="C420" s="11" t="s">
        <v>1674</v>
      </c>
      <c r="D420" s="11" t="s">
        <v>1675</v>
      </c>
      <c r="E420" s="4" t="s">
        <v>1552</v>
      </c>
      <c r="F420" s="11" t="s">
        <v>2819</v>
      </c>
      <c r="G420" s="11" t="s">
        <v>2820</v>
      </c>
      <c r="H420" s="11" t="s">
        <v>511</v>
      </c>
      <c r="I420" s="11" t="s">
        <v>1154</v>
      </c>
      <c r="J420" s="11" t="s">
        <v>31</v>
      </c>
      <c r="K420" s="11" t="s">
        <v>155</v>
      </c>
      <c r="L420" s="11" t="s">
        <v>517</v>
      </c>
      <c r="M420" s="11" t="s">
        <v>32</v>
      </c>
      <c r="N420" s="11" t="s">
        <v>629</v>
      </c>
      <c r="O420" s="11" t="s">
        <v>312</v>
      </c>
      <c r="P420" s="11" t="s">
        <v>2165</v>
      </c>
      <c r="Q420" s="27" t="s">
        <v>2165</v>
      </c>
      <c r="R420" s="16" t="s">
        <v>2165</v>
      </c>
      <c r="S420" s="11" t="s">
        <v>35</v>
      </c>
      <c r="T420" s="158">
        <v>0.627</v>
      </c>
      <c r="U420" s="11" t="s">
        <v>2821</v>
      </c>
      <c r="V420" s="174">
        <v>4.2500000000000003E-2</v>
      </c>
      <c r="W420" s="189">
        <v>5.5780000000000003E-2</v>
      </c>
      <c r="X420" s="4" t="s">
        <v>602</v>
      </c>
      <c r="Y420" s="4" t="s">
        <v>312</v>
      </c>
      <c r="Z420" s="158">
        <v>197000.42</v>
      </c>
      <c r="AA420" s="158">
        <v>1</v>
      </c>
      <c r="AB420" s="158">
        <v>100.64</v>
      </c>
      <c r="AD420" s="158">
        <v>198.261</v>
      </c>
      <c r="AG420" s="11" t="s">
        <v>37</v>
      </c>
      <c r="AH420" s="189">
        <v>2.3730000000000001E-3</v>
      </c>
      <c r="AI420" s="189">
        <v>3.2545620628652702E-3</v>
      </c>
      <c r="AJ420" s="189">
        <v>6.2162232167793999E-4</v>
      </c>
    </row>
    <row r="421" spans="1:36">
      <c r="A421" s="11" t="s">
        <v>256</v>
      </c>
      <c r="B421" s="11">
        <v>556</v>
      </c>
      <c r="C421" s="11" t="s">
        <v>2323</v>
      </c>
      <c r="D421" s="11" t="s">
        <v>2324</v>
      </c>
      <c r="E421" s="4" t="s">
        <v>504</v>
      </c>
      <c r="F421" s="11" t="s">
        <v>2822</v>
      </c>
      <c r="G421" s="11" t="s">
        <v>2823</v>
      </c>
      <c r="H421" s="11" t="s">
        <v>511</v>
      </c>
      <c r="I421" s="11" t="s">
        <v>1154</v>
      </c>
      <c r="J421" s="11" t="s">
        <v>154</v>
      </c>
      <c r="K421" s="11" t="s">
        <v>155</v>
      </c>
      <c r="L421" s="11" t="s">
        <v>517</v>
      </c>
      <c r="M421" s="11" t="s">
        <v>32</v>
      </c>
      <c r="N421" s="11" t="s">
        <v>653</v>
      </c>
      <c r="O421" s="11" t="s">
        <v>312</v>
      </c>
      <c r="P421" s="11" t="s">
        <v>2161</v>
      </c>
      <c r="Q421" s="11" t="s">
        <v>358</v>
      </c>
      <c r="R421" s="11" t="s">
        <v>596</v>
      </c>
      <c r="S421" s="11" t="s">
        <v>35</v>
      </c>
      <c r="T421" s="158">
        <v>1.105</v>
      </c>
      <c r="U421" s="11" t="s">
        <v>119</v>
      </c>
      <c r="V421" s="174">
        <v>5.9499999999999997E-2</v>
      </c>
      <c r="W421" s="189">
        <v>7.4579999999999994E-2</v>
      </c>
      <c r="X421" s="4" t="s">
        <v>602</v>
      </c>
      <c r="Y421" s="4" t="s">
        <v>530</v>
      </c>
      <c r="Z421" s="158">
        <v>301881.34999999998</v>
      </c>
      <c r="AA421" s="158">
        <v>1</v>
      </c>
      <c r="AB421" s="158">
        <v>99.4</v>
      </c>
      <c r="AD421" s="158">
        <v>300.07</v>
      </c>
      <c r="AG421" s="11" t="s">
        <v>37</v>
      </c>
      <c r="AH421" s="189">
        <v>1.054E-3</v>
      </c>
      <c r="AI421" s="189">
        <v>4.9258076108923401E-3</v>
      </c>
      <c r="AJ421" s="189">
        <v>9.4083071825830605E-4</v>
      </c>
    </row>
    <row r="422" spans="1:36">
      <c r="A422" s="11" t="s">
        <v>256</v>
      </c>
      <c r="B422" s="11">
        <v>556</v>
      </c>
      <c r="C422" s="11" t="s">
        <v>1754</v>
      </c>
      <c r="D422" s="11" t="s">
        <v>1755</v>
      </c>
      <c r="E422" s="4" t="s">
        <v>1552</v>
      </c>
      <c r="F422" s="11" t="s">
        <v>2824</v>
      </c>
      <c r="G422" s="11" t="s">
        <v>2825</v>
      </c>
      <c r="H422" s="11" t="s">
        <v>511</v>
      </c>
      <c r="I422" s="11" t="s">
        <v>1154</v>
      </c>
      <c r="J422" s="11" t="s">
        <v>154</v>
      </c>
      <c r="K422" s="11" t="s">
        <v>31</v>
      </c>
      <c r="L422" s="11" t="s">
        <v>517</v>
      </c>
      <c r="M422" s="11" t="s">
        <v>32</v>
      </c>
      <c r="N422" s="11" t="s">
        <v>635</v>
      </c>
      <c r="O422" s="11" t="s">
        <v>312</v>
      </c>
      <c r="P422" s="11" t="s">
        <v>168</v>
      </c>
      <c r="Q422" s="11" t="s">
        <v>604</v>
      </c>
      <c r="R422" s="11" t="s">
        <v>596</v>
      </c>
      <c r="S422" s="11" t="s">
        <v>35</v>
      </c>
      <c r="T422" s="158">
        <v>0.98399999999999999</v>
      </c>
      <c r="U422" s="11" t="s">
        <v>2188</v>
      </c>
      <c r="V422" s="174">
        <v>4.1700000000000001E-2</v>
      </c>
      <c r="W422" s="189">
        <v>5.5230000000000001E-2</v>
      </c>
      <c r="X422" s="4" t="s">
        <v>602</v>
      </c>
      <c r="Y422" s="4" t="s">
        <v>312</v>
      </c>
      <c r="Z422" s="158">
        <v>48545.45</v>
      </c>
      <c r="AA422" s="158">
        <v>1</v>
      </c>
      <c r="AB422" s="158">
        <v>98.79</v>
      </c>
      <c r="AD422" s="158">
        <v>47.957999999999998</v>
      </c>
      <c r="AG422" s="11" t="s">
        <v>37</v>
      </c>
      <c r="AH422" s="189">
        <v>2.5399999999999999E-4</v>
      </c>
      <c r="AI422" s="189">
        <v>7.8725657091109798E-4</v>
      </c>
      <c r="AJ422" s="189">
        <v>1.5036623911701699E-4</v>
      </c>
    </row>
    <row r="423" spans="1:36">
      <c r="A423" s="11" t="s">
        <v>256</v>
      </c>
      <c r="B423" s="11">
        <v>556</v>
      </c>
      <c r="C423" s="11" t="s">
        <v>2826</v>
      </c>
      <c r="D423" s="11" t="s">
        <v>2827</v>
      </c>
      <c r="E423" s="4" t="s">
        <v>1552</v>
      </c>
      <c r="F423" s="11" t="s">
        <v>2828</v>
      </c>
      <c r="G423" s="11" t="s">
        <v>2829</v>
      </c>
      <c r="H423" s="11" t="s">
        <v>511</v>
      </c>
      <c r="I423" s="11" t="s">
        <v>1155</v>
      </c>
      <c r="J423" s="11" t="s">
        <v>31</v>
      </c>
      <c r="K423" s="11" t="s">
        <v>31</v>
      </c>
      <c r="L423" s="11" t="s">
        <v>517</v>
      </c>
      <c r="M423" s="11" t="s">
        <v>32</v>
      </c>
      <c r="N423" s="11" t="s">
        <v>667</v>
      </c>
      <c r="O423" s="11" t="s">
        <v>312</v>
      </c>
      <c r="P423" s="11" t="s">
        <v>174</v>
      </c>
      <c r="Q423" s="11" t="s">
        <v>604</v>
      </c>
      <c r="R423" s="11" t="s">
        <v>596</v>
      </c>
      <c r="S423" s="11" t="s">
        <v>35</v>
      </c>
      <c r="T423" s="158">
        <v>1.478</v>
      </c>
      <c r="U423" s="11" t="s">
        <v>2203</v>
      </c>
      <c r="V423" s="174">
        <v>1.4999999999999999E-2</v>
      </c>
      <c r="W423" s="189">
        <v>5.1529999999999999E-2</v>
      </c>
      <c r="X423" s="4" t="s">
        <v>602</v>
      </c>
      <c r="Y423" s="4" t="s">
        <v>312</v>
      </c>
      <c r="Z423" s="158">
        <v>3333.33</v>
      </c>
      <c r="AA423" s="158">
        <v>1</v>
      </c>
      <c r="AB423" s="158">
        <v>94.9</v>
      </c>
      <c r="AD423" s="158">
        <v>3.1629999999999998</v>
      </c>
      <c r="AG423" s="11" t="s">
        <v>37</v>
      </c>
      <c r="AH423" s="189">
        <v>6.4999999999999994E-5</v>
      </c>
      <c r="AI423" s="189">
        <v>5.1927725573450097E-5</v>
      </c>
      <c r="AJ423" s="189">
        <v>9.9182110240677393E-6</v>
      </c>
    </row>
    <row r="424" spans="1:36">
      <c r="A424" s="11" t="s">
        <v>256</v>
      </c>
      <c r="B424" s="11">
        <v>556</v>
      </c>
      <c r="C424" s="11" t="s">
        <v>2830</v>
      </c>
      <c r="D424" s="11" t="s">
        <v>2831</v>
      </c>
      <c r="E424" s="4" t="s">
        <v>504</v>
      </c>
      <c r="F424" s="11" t="s">
        <v>2832</v>
      </c>
      <c r="G424" s="11" t="s">
        <v>2833</v>
      </c>
      <c r="H424" s="11" t="s">
        <v>511</v>
      </c>
      <c r="I424" s="11" t="s">
        <v>364</v>
      </c>
      <c r="J424" s="11" t="s">
        <v>31</v>
      </c>
      <c r="K424" s="11" t="s">
        <v>31</v>
      </c>
      <c r="L424" s="11" t="s">
        <v>517</v>
      </c>
      <c r="M424" s="11" t="s">
        <v>32</v>
      </c>
      <c r="N424" s="11" t="s">
        <v>669</v>
      </c>
      <c r="O424" s="11" t="s">
        <v>312</v>
      </c>
      <c r="P424" s="11" t="s">
        <v>2394</v>
      </c>
      <c r="Q424" s="11" t="s">
        <v>358</v>
      </c>
      <c r="R424" s="11" t="s">
        <v>596</v>
      </c>
      <c r="S424" s="11" t="s">
        <v>35</v>
      </c>
      <c r="T424" s="158">
        <v>1</v>
      </c>
      <c r="U424" s="11" t="s">
        <v>2834</v>
      </c>
      <c r="V424" s="174">
        <v>3.3700000000000001E-2</v>
      </c>
      <c r="W424" s="189">
        <v>6.54E-2</v>
      </c>
      <c r="X424" s="4" t="s">
        <v>602</v>
      </c>
      <c r="Y424" s="4" t="s">
        <v>312</v>
      </c>
      <c r="Z424" s="158">
        <v>314000.09000000003</v>
      </c>
      <c r="AA424" s="158">
        <v>1</v>
      </c>
      <c r="AB424" s="158">
        <v>103.29</v>
      </c>
      <c r="AC424" s="158">
        <v>5.625</v>
      </c>
      <c r="AD424" s="158">
        <v>329.95499999999998</v>
      </c>
      <c r="AG424" s="11" t="s">
        <v>37</v>
      </c>
      <c r="AH424" s="189">
        <v>2.2430000000000002E-3</v>
      </c>
      <c r="AI424" s="189">
        <v>5.4163888768380998E-3</v>
      </c>
      <c r="AJ424" s="189">
        <v>1.03453188591723E-3</v>
      </c>
    </row>
    <row r="425" spans="1:36">
      <c r="A425" s="11" t="s">
        <v>256</v>
      </c>
      <c r="B425" s="11">
        <v>556</v>
      </c>
      <c r="C425" s="11" t="s">
        <v>1947</v>
      </c>
      <c r="D425" s="11" t="s">
        <v>1948</v>
      </c>
      <c r="E425" s="4" t="s">
        <v>1552</v>
      </c>
      <c r="F425" s="11" t="s">
        <v>2835</v>
      </c>
      <c r="G425" s="11" t="s">
        <v>2836</v>
      </c>
      <c r="H425" s="11" t="s">
        <v>511</v>
      </c>
      <c r="I425" s="11" t="s">
        <v>1154</v>
      </c>
      <c r="J425" s="11" t="s">
        <v>31</v>
      </c>
      <c r="K425" s="11" t="s">
        <v>31</v>
      </c>
      <c r="L425" s="11" t="s">
        <v>517</v>
      </c>
      <c r="M425" s="11" t="s">
        <v>32</v>
      </c>
      <c r="N425" s="11" t="s">
        <v>635</v>
      </c>
      <c r="O425" s="11" t="s">
        <v>312</v>
      </c>
      <c r="P425" s="11" t="s">
        <v>174</v>
      </c>
      <c r="Q425" s="11" t="s">
        <v>604</v>
      </c>
      <c r="R425" s="11" t="s">
        <v>596</v>
      </c>
      <c r="S425" s="11" t="s">
        <v>35</v>
      </c>
      <c r="T425" s="158">
        <v>1.4630000000000001</v>
      </c>
      <c r="U425" s="11" t="s">
        <v>2333</v>
      </c>
      <c r="V425" s="174">
        <v>0.02</v>
      </c>
      <c r="W425" s="189">
        <v>5.7119999999999997E-2</v>
      </c>
      <c r="X425" s="4" t="s">
        <v>602</v>
      </c>
      <c r="Y425" s="4" t="s">
        <v>312</v>
      </c>
      <c r="Z425" s="158">
        <v>23000</v>
      </c>
      <c r="AA425" s="158">
        <v>1</v>
      </c>
      <c r="AB425" s="158">
        <v>94.88</v>
      </c>
      <c r="AD425" s="158">
        <v>21.821999999999999</v>
      </c>
      <c r="AG425" s="11" t="s">
        <v>37</v>
      </c>
      <c r="AH425" s="189">
        <v>6.6000000000000005E-5</v>
      </c>
      <c r="AI425" s="189">
        <v>3.5822615334334698E-4</v>
      </c>
      <c r="AJ425" s="189">
        <v>6.8421301799051801E-5</v>
      </c>
    </row>
    <row r="426" spans="1:36">
      <c r="A426" s="11" t="s">
        <v>256</v>
      </c>
      <c r="B426" s="11">
        <v>556</v>
      </c>
      <c r="C426" s="11" t="s">
        <v>2837</v>
      </c>
      <c r="D426" s="11" t="s">
        <v>2838</v>
      </c>
      <c r="E426" s="4" t="s">
        <v>1552</v>
      </c>
      <c r="F426" s="11" t="s">
        <v>2839</v>
      </c>
      <c r="G426" s="11" t="s">
        <v>2840</v>
      </c>
      <c r="H426" s="11" t="s">
        <v>511</v>
      </c>
      <c r="I426" s="11" t="s">
        <v>945</v>
      </c>
      <c r="J426" s="11" t="s">
        <v>154</v>
      </c>
      <c r="K426" s="11" t="s">
        <v>31</v>
      </c>
      <c r="L426" s="11" t="s">
        <v>517</v>
      </c>
      <c r="M426" s="11" t="s">
        <v>32</v>
      </c>
      <c r="N426" s="11" t="s">
        <v>635</v>
      </c>
      <c r="O426" s="11" t="s">
        <v>312</v>
      </c>
      <c r="P426" s="11" t="s">
        <v>2165</v>
      </c>
      <c r="Q426" s="27" t="s">
        <v>2165</v>
      </c>
      <c r="R426" s="16" t="s">
        <v>2165</v>
      </c>
      <c r="S426" s="11" t="s">
        <v>35</v>
      </c>
      <c r="T426" s="158">
        <v>1.6639999999999999</v>
      </c>
      <c r="U426" s="11" t="s">
        <v>2235</v>
      </c>
      <c r="V426" s="174">
        <v>2.8500000000000001E-2</v>
      </c>
      <c r="W426" s="189">
        <v>2.3E-2</v>
      </c>
      <c r="X426" s="4" t="s">
        <v>602</v>
      </c>
      <c r="Y426" s="4" t="s">
        <v>312</v>
      </c>
      <c r="Z426" s="158">
        <v>433886.95</v>
      </c>
      <c r="AA426" s="158">
        <v>1</v>
      </c>
      <c r="AB426" s="158">
        <v>116.03</v>
      </c>
      <c r="AD426" s="158">
        <v>503.43900000000002</v>
      </c>
      <c r="AG426" s="11" t="s">
        <v>37</v>
      </c>
      <c r="AH426" s="189">
        <v>2.9629999999999999E-3</v>
      </c>
      <c r="AI426" s="189">
        <v>8.26421596496274E-3</v>
      </c>
      <c r="AJ426" s="189">
        <v>1.57846770648623E-3</v>
      </c>
    </row>
    <row r="427" spans="1:36">
      <c r="A427" s="11" t="s">
        <v>256</v>
      </c>
      <c r="B427" s="11">
        <v>556</v>
      </c>
      <c r="C427" s="11" t="s">
        <v>3026</v>
      </c>
      <c r="D427" s="11" t="s">
        <v>3027</v>
      </c>
      <c r="E427" s="4" t="s">
        <v>504</v>
      </c>
      <c r="F427" s="11" t="s">
        <v>3028</v>
      </c>
      <c r="G427" s="11" t="s">
        <v>3029</v>
      </c>
      <c r="H427" s="11" t="s">
        <v>511</v>
      </c>
      <c r="I427" s="11" t="s">
        <v>364</v>
      </c>
      <c r="J427" s="11" t="s">
        <v>154</v>
      </c>
      <c r="K427" s="11" t="s">
        <v>426</v>
      </c>
      <c r="L427" s="11" t="s">
        <v>517</v>
      </c>
      <c r="M427" s="11" t="s">
        <v>32</v>
      </c>
      <c r="N427" s="11" t="s">
        <v>653</v>
      </c>
      <c r="O427" s="11" t="s">
        <v>312</v>
      </c>
      <c r="P427" s="11" t="s">
        <v>2418</v>
      </c>
      <c r="Q427" s="11" t="s">
        <v>604</v>
      </c>
      <c r="R427" s="11" t="s">
        <v>596</v>
      </c>
      <c r="S427" s="11" t="s">
        <v>35</v>
      </c>
      <c r="T427" s="158">
        <v>3.13</v>
      </c>
      <c r="U427" s="11" t="s">
        <v>3030</v>
      </c>
      <c r="V427" s="174">
        <v>4.2999999999999997E-2</v>
      </c>
      <c r="W427" s="189">
        <v>7.8320000000000001E-2</v>
      </c>
      <c r="X427" s="4" t="s">
        <v>602</v>
      </c>
      <c r="Y427" s="4" t="s">
        <v>312</v>
      </c>
      <c r="Z427" s="158">
        <v>89328.79</v>
      </c>
      <c r="AA427" s="158">
        <v>1</v>
      </c>
      <c r="AB427" s="158">
        <v>90.67</v>
      </c>
      <c r="AD427" s="158">
        <v>80.994</v>
      </c>
      <c r="AG427" s="11" t="s">
        <v>37</v>
      </c>
      <c r="AH427" s="189">
        <v>7.8999999999999996E-5</v>
      </c>
      <c r="AI427" s="189">
        <v>1.3295658282859999E-3</v>
      </c>
      <c r="AJ427" s="189">
        <v>2.5394746851905702E-4</v>
      </c>
    </row>
    <row r="428" spans="1:36">
      <c r="A428" s="11" t="s">
        <v>256</v>
      </c>
      <c r="B428" s="11">
        <v>7205</v>
      </c>
      <c r="C428" s="11" t="s">
        <v>1602</v>
      </c>
      <c r="D428" s="11" t="s">
        <v>1603</v>
      </c>
      <c r="E428" s="4" t="s">
        <v>1552</v>
      </c>
      <c r="F428" s="11" t="s">
        <v>2159</v>
      </c>
      <c r="G428" s="11" t="s">
        <v>2160</v>
      </c>
      <c r="H428" s="11" t="s">
        <v>511</v>
      </c>
      <c r="I428" s="11" t="s">
        <v>1154</v>
      </c>
      <c r="J428" s="11" t="s">
        <v>31</v>
      </c>
      <c r="K428" s="11" t="s">
        <v>31</v>
      </c>
      <c r="L428" s="11" t="s">
        <v>517</v>
      </c>
      <c r="M428" s="11" t="s">
        <v>32</v>
      </c>
      <c r="N428" s="11" t="s">
        <v>654</v>
      </c>
      <c r="O428" s="11" t="s">
        <v>312</v>
      </c>
      <c r="P428" s="11" t="s">
        <v>2161</v>
      </c>
      <c r="Q428" s="11" t="s">
        <v>358</v>
      </c>
      <c r="R428" s="11" t="s">
        <v>596</v>
      </c>
      <c r="S428" s="11" t="s">
        <v>35</v>
      </c>
      <c r="T428" s="158">
        <v>0.499</v>
      </c>
      <c r="U428" s="11" t="s">
        <v>2162</v>
      </c>
      <c r="V428" s="174">
        <v>4.7500000000000001E-2</v>
      </c>
      <c r="W428" s="189">
        <v>5.5599999999999997E-2</v>
      </c>
      <c r="X428" s="4" t="s">
        <v>602</v>
      </c>
      <c r="Y428" s="4" t="s">
        <v>312</v>
      </c>
      <c r="Z428" s="158">
        <v>196968</v>
      </c>
      <c r="AA428" s="158">
        <v>1</v>
      </c>
      <c r="AB428" s="158">
        <v>99.65</v>
      </c>
      <c r="AD428" s="158">
        <v>196.279</v>
      </c>
      <c r="AG428" s="11" t="s">
        <v>37</v>
      </c>
      <c r="AH428" s="189">
        <v>2.3500000000000001E-3</v>
      </c>
      <c r="AI428" s="189">
        <v>6.4044883618336902E-4</v>
      </c>
      <c r="AJ428" s="189">
        <v>1.06715305808849E-4</v>
      </c>
    </row>
    <row r="429" spans="1:36">
      <c r="A429" s="11" t="s">
        <v>256</v>
      </c>
      <c r="B429" s="11">
        <v>7205</v>
      </c>
      <c r="C429" s="11" t="s">
        <v>2841</v>
      </c>
      <c r="D429" s="11" t="s">
        <v>2842</v>
      </c>
      <c r="E429" s="4" t="s">
        <v>1552</v>
      </c>
      <c r="F429" s="11" t="s">
        <v>2843</v>
      </c>
      <c r="G429" s="11" t="s">
        <v>2844</v>
      </c>
      <c r="H429" s="11" t="s">
        <v>511</v>
      </c>
      <c r="I429" s="11" t="s">
        <v>1154</v>
      </c>
      <c r="J429" s="11" t="s">
        <v>31</v>
      </c>
      <c r="K429" s="11" t="s">
        <v>155</v>
      </c>
      <c r="L429" s="11" t="s">
        <v>517</v>
      </c>
      <c r="M429" s="11" t="s">
        <v>32</v>
      </c>
      <c r="N429" s="11" t="s">
        <v>653</v>
      </c>
      <c r="O429" s="11" t="s">
        <v>312</v>
      </c>
      <c r="P429" s="11" t="s">
        <v>2165</v>
      </c>
      <c r="Q429" s="27" t="s">
        <v>2165</v>
      </c>
      <c r="R429" s="16" t="s">
        <v>2165</v>
      </c>
      <c r="S429" s="11" t="s">
        <v>35</v>
      </c>
      <c r="T429" s="158">
        <v>0</v>
      </c>
      <c r="U429" s="11" t="s">
        <v>2845</v>
      </c>
      <c r="V429" s="174">
        <v>7.9500000000000001E-2</v>
      </c>
      <c r="W429" s="189">
        <v>0</v>
      </c>
      <c r="X429" s="4" t="s">
        <v>602</v>
      </c>
      <c r="Y429" s="4" t="s">
        <v>312</v>
      </c>
      <c r="Z429" s="158">
        <v>2597876.85</v>
      </c>
      <c r="AA429" s="158">
        <v>1</v>
      </c>
      <c r="AB429" s="158">
        <v>106.23</v>
      </c>
      <c r="AD429" s="158">
        <v>2759.7249999999999</v>
      </c>
      <c r="AG429" s="11" t="s">
        <v>37</v>
      </c>
      <c r="AH429" s="189">
        <v>0</v>
      </c>
      <c r="AI429" s="189">
        <v>9.0048649519175808E-3</v>
      </c>
      <c r="AJ429" s="189">
        <v>1.5004429125641101E-3</v>
      </c>
    </row>
    <row r="430" spans="1:36">
      <c r="A430" s="11" t="s">
        <v>256</v>
      </c>
      <c r="B430" s="11">
        <v>7205</v>
      </c>
      <c r="C430" s="11" t="s">
        <v>2841</v>
      </c>
      <c r="D430" s="11" t="s">
        <v>2842</v>
      </c>
      <c r="E430" s="4" t="s">
        <v>1552</v>
      </c>
      <c r="F430" s="11" t="s">
        <v>2846</v>
      </c>
      <c r="G430" s="11" t="s">
        <v>2847</v>
      </c>
      <c r="H430" s="11" t="s">
        <v>511</v>
      </c>
      <c r="I430" s="11" t="s">
        <v>1154</v>
      </c>
      <c r="J430" s="11" t="s">
        <v>31</v>
      </c>
      <c r="K430" s="11" t="s">
        <v>155</v>
      </c>
      <c r="L430" s="11" t="s">
        <v>517</v>
      </c>
      <c r="M430" s="11" t="s">
        <v>32</v>
      </c>
      <c r="N430" s="11" t="s">
        <v>653</v>
      </c>
      <c r="O430" s="11" t="s">
        <v>312</v>
      </c>
      <c r="P430" s="11" t="s">
        <v>2165</v>
      </c>
      <c r="Q430" s="27" t="s">
        <v>2165</v>
      </c>
      <c r="R430" s="16" t="s">
        <v>2165</v>
      </c>
      <c r="S430" s="11" t="s">
        <v>35</v>
      </c>
      <c r="T430" s="158">
        <v>0</v>
      </c>
      <c r="U430" s="11" t="s">
        <v>45</v>
      </c>
      <c r="V430" s="174">
        <v>7.0000000000000007E-2</v>
      </c>
      <c r="W430" s="189">
        <v>0</v>
      </c>
      <c r="X430" s="4" t="s">
        <v>602</v>
      </c>
      <c r="Y430" s="4" t="s">
        <v>312</v>
      </c>
      <c r="Z430" s="158">
        <v>564420</v>
      </c>
      <c r="AA430" s="158">
        <v>1</v>
      </c>
      <c r="AB430" s="158">
        <v>4.5</v>
      </c>
      <c r="AD430" s="158">
        <v>25.399000000000001</v>
      </c>
      <c r="AG430" s="11" t="s">
        <v>37</v>
      </c>
      <c r="AH430" s="189">
        <v>0</v>
      </c>
      <c r="AI430" s="189">
        <v>8.2875539925551204E-5</v>
      </c>
      <c r="AJ430" s="189">
        <v>1.38092039325628E-5</v>
      </c>
    </row>
    <row r="431" spans="1:36">
      <c r="A431" s="11" t="s">
        <v>256</v>
      </c>
      <c r="B431" s="11">
        <v>7205</v>
      </c>
      <c r="C431" s="11" t="s">
        <v>1618</v>
      </c>
      <c r="D431" s="11" t="s">
        <v>1619</v>
      </c>
      <c r="E431" s="4" t="s">
        <v>1552</v>
      </c>
      <c r="F431" s="11" t="s">
        <v>2848</v>
      </c>
      <c r="G431" s="11" t="s">
        <v>2849</v>
      </c>
      <c r="H431" s="11" t="s">
        <v>511</v>
      </c>
      <c r="I431" s="11" t="s">
        <v>1154</v>
      </c>
      <c r="J431" s="11" t="s">
        <v>31</v>
      </c>
      <c r="K431" s="11" t="s">
        <v>31</v>
      </c>
      <c r="L431" s="11" t="s">
        <v>517</v>
      </c>
      <c r="M431" s="11" t="s">
        <v>32</v>
      </c>
      <c r="N431" s="11" t="s">
        <v>666</v>
      </c>
      <c r="O431" s="11" t="s">
        <v>312</v>
      </c>
      <c r="P431" s="11" t="s">
        <v>2327</v>
      </c>
      <c r="Q431" s="11" t="s">
        <v>358</v>
      </c>
      <c r="R431" s="11" t="s">
        <v>596</v>
      </c>
      <c r="S431" s="11" t="s">
        <v>35</v>
      </c>
      <c r="T431" s="158">
        <v>1.5</v>
      </c>
      <c r="U431" s="11" t="s">
        <v>2333</v>
      </c>
      <c r="V431" s="174">
        <v>3.2500000000000001E-2</v>
      </c>
      <c r="W431" s="189">
        <v>5.8409999999999997E-2</v>
      </c>
      <c r="X431" s="4" t="s">
        <v>602</v>
      </c>
      <c r="Y431" s="4" t="s">
        <v>312</v>
      </c>
      <c r="Z431" s="158">
        <v>853866.78</v>
      </c>
      <c r="AA431" s="158">
        <v>1</v>
      </c>
      <c r="AB431" s="158">
        <v>96.38</v>
      </c>
      <c r="AD431" s="158">
        <v>822.95699999999999</v>
      </c>
      <c r="AG431" s="11" t="s">
        <v>37</v>
      </c>
      <c r="AH431" s="189">
        <v>1.37E-2</v>
      </c>
      <c r="AI431" s="189">
        <v>2.6852733523064702E-3</v>
      </c>
      <c r="AJ431" s="189">
        <v>4.4743584620972202E-4</v>
      </c>
    </row>
    <row r="432" spans="1:36">
      <c r="A432" s="11" t="s">
        <v>256</v>
      </c>
      <c r="B432" s="11">
        <v>7205</v>
      </c>
      <c r="C432" s="11" t="s">
        <v>1638</v>
      </c>
      <c r="D432" s="11" t="s">
        <v>1639</v>
      </c>
      <c r="E432" s="4" t="s">
        <v>1552</v>
      </c>
      <c r="F432" s="11" t="s">
        <v>2163</v>
      </c>
      <c r="G432" s="11" t="s">
        <v>2164</v>
      </c>
      <c r="H432" s="11" t="s">
        <v>511</v>
      </c>
      <c r="I432" s="11" t="s">
        <v>1155</v>
      </c>
      <c r="J432" s="11" t="s">
        <v>31</v>
      </c>
      <c r="K432" s="11" t="s">
        <v>31</v>
      </c>
      <c r="L432" s="11" t="s">
        <v>517</v>
      </c>
      <c r="M432" s="11" t="s">
        <v>32</v>
      </c>
      <c r="N432" s="11" t="s">
        <v>649</v>
      </c>
      <c r="O432" s="11" t="s">
        <v>312</v>
      </c>
      <c r="P432" s="11" t="s">
        <v>2165</v>
      </c>
      <c r="Q432" s="27" t="s">
        <v>2165</v>
      </c>
      <c r="R432" s="16" t="s">
        <v>2165</v>
      </c>
      <c r="S432" s="11" t="s">
        <v>35</v>
      </c>
      <c r="T432" s="158">
        <v>3.6739999999999999</v>
      </c>
      <c r="U432" s="11" t="s">
        <v>2166</v>
      </c>
      <c r="V432" s="174">
        <v>4.8500000000000001E-2</v>
      </c>
      <c r="W432" s="189">
        <v>5.994E-2</v>
      </c>
      <c r="X432" s="4" t="s">
        <v>602</v>
      </c>
      <c r="Y432" s="4" t="s">
        <v>312</v>
      </c>
      <c r="Z432" s="158">
        <v>1100000</v>
      </c>
      <c r="AA432" s="158">
        <v>1</v>
      </c>
      <c r="AB432" s="158">
        <v>96.5</v>
      </c>
      <c r="AD432" s="158">
        <v>1061.5</v>
      </c>
      <c r="AG432" s="11" t="s">
        <v>37</v>
      </c>
      <c r="AH432" s="189">
        <v>3.6670000000000001E-3</v>
      </c>
      <c r="AI432" s="189">
        <v>3.4636297489644302E-3</v>
      </c>
      <c r="AJ432" s="189">
        <v>5.7713011092667098E-4</v>
      </c>
    </row>
    <row r="433" spans="1:36">
      <c r="A433" s="11" t="s">
        <v>256</v>
      </c>
      <c r="B433" s="11">
        <v>7205</v>
      </c>
      <c r="C433" s="11" t="s">
        <v>1642</v>
      </c>
      <c r="D433" s="11" t="s">
        <v>1643</v>
      </c>
      <c r="E433" s="4" t="s">
        <v>1552</v>
      </c>
      <c r="F433" s="11" t="s">
        <v>2850</v>
      </c>
      <c r="G433" s="11" t="s">
        <v>2851</v>
      </c>
      <c r="H433" s="11" t="s">
        <v>511</v>
      </c>
      <c r="I433" s="11" t="s">
        <v>364</v>
      </c>
      <c r="J433" s="11" t="s">
        <v>31</v>
      </c>
      <c r="K433" s="11" t="s">
        <v>31</v>
      </c>
      <c r="L433" s="11" t="s">
        <v>517</v>
      </c>
      <c r="M433" s="11" t="s">
        <v>32</v>
      </c>
      <c r="N433" s="11" t="s">
        <v>634</v>
      </c>
      <c r="O433" s="11" t="s">
        <v>312</v>
      </c>
      <c r="P433" s="11" t="s">
        <v>2169</v>
      </c>
      <c r="Q433" s="11" t="s">
        <v>358</v>
      </c>
      <c r="R433" s="11" t="s">
        <v>596</v>
      </c>
      <c r="S433" s="11" t="s">
        <v>35</v>
      </c>
      <c r="T433" s="158">
        <v>4.6500000000000004</v>
      </c>
      <c r="U433" s="11" t="s">
        <v>2852</v>
      </c>
      <c r="V433" s="174">
        <v>2.6700000000000002E-2</v>
      </c>
      <c r="W433" s="189">
        <v>6.0049999999999999E-2</v>
      </c>
      <c r="X433" s="4" t="s">
        <v>602</v>
      </c>
      <c r="Y433" s="4" t="s">
        <v>312</v>
      </c>
      <c r="Z433" s="158">
        <v>2032144.68</v>
      </c>
      <c r="AA433" s="158">
        <v>1</v>
      </c>
      <c r="AB433" s="158">
        <v>97.08</v>
      </c>
      <c r="AD433" s="158">
        <v>1972.806</v>
      </c>
      <c r="AG433" s="11" t="s">
        <v>37</v>
      </c>
      <c r="AH433" s="189">
        <v>1.1853000000000001E-2</v>
      </c>
      <c r="AI433" s="189">
        <v>6.4371829884377202E-3</v>
      </c>
      <c r="AJ433" s="189">
        <v>1.0726008267145501E-3</v>
      </c>
    </row>
    <row r="434" spans="1:36">
      <c r="A434" s="11" t="s">
        <v>256</v>
      </c>
      <c r="B434" s="11">
        <v>7205</v>
      </c>
      <c r="C434" s="11" t="s">
        <v>1642</v>
      </c>
      <c r="D434" s="11" t="s">
        <v>1643</v>
      </c>
      <c r="E434" s="4" t="s">
        <v>1552</v>
      </c>
      <c r="F434" s="11" t="s">
        <v>2167</v>
      </c>
      <c r="G434" s="11" t="s">
        <v>2168</v>
      </c>
      <c r="H434" s="11" t="s">
        <v>511</v>
      </c>
      <c r="I434" s="11" t="s">
        <v>1154</v>
      </c>
      <c r="J434" s="11" t="s">
        <v>31</v>
      </c>
      <c r="K434" s="11" t="s">
        <v>31</v>
      </c>
      <c r="L434" s="11" t="s">
        <v>517</v>
      </c>
      <c r="M434" s="11" t="s">
        <v>32</v>
      </c>
      <c r="N434" s="11" t="s">
        <v>634</v>
      </c>
      <c r="O434" s="11" t="s">
        <v>312</v>
      </c>
      <c r="P434" s="11" t="s">
        <v>2169</v>
      </c>
      <c r="Q434" s="11" t="s">
        <v>358</v>
      </c>
      <c r="R434" s="11" t="s">
        <v>596</v>
      </c>
      <c r="S434" s="11" t="s">
        <v>35</v>
      </c>
      <c r="T434" s="158">
        <v>2.8690000000000002</v>
      </c>
      <c r="U434" s="11" t="s">
        <v>2170</v>
      </c>
      <c r="V434" s="174">
        <v>1.0800000000000001E-2</v>
      </c>
      <c r="W434" s="189">
        <v>5.0319999999999997E-2</v>
      </c>
      <c r="X434" s="4" t="s">
        <v>602</v>
      </c>
      <c r="Y434" s="4" t="s">
        <v>312</v>
      </c>
      <c r="Z434" s="158">
        <v>1176817.3500000001</v>
      </c>
      <c r="AA434" s="158">
        <v>1</v>
      </c>
      <c r="AB434" s="158">
        <v>89.46</v>
      </c>
      <c r="AD434" s="158">
        <v>1052.7809999999999</v>
      </c>
      <c r="AG434" s="11" t="s">
        <v>37</v>
      </c>
      <c r="AH434" s="189">
        <v>1.0460000000000001E-3</v>
      </c>
      <c r="AI434" s="189">
        <v>3.4351793712255499E-3</v>
      </c>
      <c r="AJ434" s="189">
        <v>5.7238954370373001E-4</v>
      </c>
    </row>
    <row r="435" spans="1:36">
      <c r="A435" s="11" t="s">
        <v>256</v>
      </c>
      <c r="B435" s="11">
        <v>7205</v>
      </c>
      <c r="C435" s="11" t="s">
        <v>2171</v>
      </c>
      <c r="D435" s="11" t="s">
        <v>2172</v>
      </c>
      <c r="E435" s="4" t="s">
        <v>1552</v>
      </c>
      <c r="F435" s="11" t="s">
        <v>2173</v>
      </c>
      <c r="G435" s="11" t="s">
        <v>2174</v>
      </c>
      <c r="H435" s="11" t="s">
        <v>511</v>
      </c>
      <c r="I435" s="11" t="s">
        <v>945</v>
      </c>
      <c r="J435" s="11" t="s">
        <v>31</v>
      </c>
      <c r="K435" s="11" t="s">
        <v>31</v>
      </c>
      <c r="L435" s="11" t="s">
        <v>517</v>
      </c>
      <c r="M435" s="11" t="s">
        <v>32</v>
      </c>
      <c r="N435" s="11" t="s">
        <v>666</v>
      </c>
      <c r="O435" s="11" t="s">
        <v>312</v>
      </c>
      <c r="P435" s="11" t="s">
        <v>2161</v>
      </c>
      <c r="Q435" s="11" t="s">
        <v>358</v>
      </c>
      <c r="R435" s="11" t="s">
        <v>596</v>
      </c>
      <c r="S435" s="11" t="s">
        <v>35</v>
      </c>
      <c r="T435" s="158">
        <v>1.915</v>
      </c>
      <c r="U435" s="11" t="s">
        <v>2175</v>
      </c>
      <c r="V435" s="174">
        <v>3.2000000000000001E-2</v>
      </c>
      <c r="W435" s="189">
        <v>3.2629999999999999E-2</v>
      </c>
      <c r="X435" s="4" t="s">
        <v>602</v>
      </c>
      <c r="Y435" s="4" t="s">
        <v>312</v>
      </c>
      <c r="Z435" s="158">
        <v>549904.24</v>
      </c>
      <c r="AA435" s="158">
        <v>1</v>
      </c>
      <c r="AB435" s="158">
        <v>105.65</v>
      </c>
      <c r="AD435" s="158">
        <v>580.97400000000005</v>
      </c>
      <c r="AG435" s="11" t="s">
        <v>37</v>
      </c>
      <c r="AH435" s="189">
        <v>6.9899999999999997E-4</v>
      </c>
      <c r="AI435" s="189">
        <v>1.8956931129852101E-3</v>
      </c>
      <c r="AJ435" s="189">
        <v>3.1587139962266201E-4</v>
      </c>
    </row>
    <row r="436" spans="1:36">
      <c r="A436" s="11" t="s">
        <v>256</v>
      </c>
      <c r="B436" s="11">
        <v>7205</v>
      </c>
      <c r="C436" s="11" t="s">
        <v>2176</v>
      </c>
      <c r="D436" s="11" t="s">
        <v>2177</v>
      </c>
      <c r="E436" s="4" t="s">
        <v>1552</v>
      </c>
      <c r="F436" s="11" t="s">
        <v>2178</v>
      </c>
      <c r="G436" s="11" t="s">
        <v>2179</v>
      </c>
      <c r="H436" s="11" t="s">
        <v>511</v>
      </c>
      <c r="I436" s="11" t="s">
        <v>1154</v>
      </c>
      <c r="J436" s="11" t="s">
        <v>31</v>
      </c>
      <c r="K436" s="11" t="s">
        <v>31</v>
      </c>
      <c r="L436" s="11" t="s">
        <v>517</v>
      </c>
      <c r="M436" s="11" t="s">
        <v>32</v>
      </c>
      <c r="N436" s="11" t="s">
        <v>639</v>
      </c>
      <c r="O436" s="11" t="s">
        <v>312</v>
      </c>
      <c r="P436" s="11" t="s">
        <v>2165</v>
      </c>
      <c r="Q436" s="27" t="s">
        <v>2165</v>
      </c>
      <c r="R436" s="16" t="s">
        <v>2165</v>
      </c>
      <c r="S436" s="11" t="s">
        <v>35</v>
      </c>
      <c r="T436" s="158">
        <v>2.4489999999999998</v>
      </c>
      <c r="U436" s="11" t="s">
        <v>2180</v>
      </c>
      <c r="V436" s="174">
        <v>8.2500000000000004E-2</v>
      </c>
      <c r="W436" s="189">
        <v>7.1529999999999996E-2</v>
      </c>
      <c r="X436" s="4" t="s">
        <v>602</v>
      </c>
      <c r="Y436" s="4" t="s">
        <v>312</v>
      </c>
      <c r="Z436" s="158">
        <v>743426.92</v>
      </c>
      <c r="AA436" s="158">
        <v>1</v>
      </c>
      <c r="AB436" s="158">
        <v>102.96</v>
      </c>
      <c r="AD436" s="158">
        <v>765.43200000000002</v>
      </c>
      <c r="AG436" s="11" t="s">
        <v>37</v>
      </c>
      <c r="AH436" s="189">
        <v>9.2329999999999999E-3</v>
      </c>
      <c r="AI436" s="189">
        <v>2.4975735110157999E-3</v>
      </c>
      <c r="AJ436" s="189">
        <v>4.1616020820095599E-4</v>
      </c>
    </row>
    <row r="437" spans="1:36">
      <c r="A437" s="11" t="s">
        <v>256</v>
      </c>
      <c r="B437" s="11">
        <v>7205</v>
      </c>
      <c r="C437" s="11" t="s">
        <v>1646</v>
      </c>
      <c r="D437" s="11" t="s">
        <v>1647</v>
      </c>
      <c r="E437" s="4" t="s">
        <v>1552</v>
      </c>
      <c r="F437" s="11" t="s">
        <v>2181</v>
      </c>
      <c r="G437" s="11" t="s">
        <v>2182</v>
      </c>
      <c r="H437" s="11" t="s">
        <v>511</v>
      </c>
      <c r="I437" s="11" t="s">
        <v>1154</v>
      </c>
      <c r="J437" s="11" t="s">
        <v>31</v>
      </c>
      <c r="K437" s="11" t="s">
        <v>31</v>
      </c>
      <c r="L437" s="11" t="s">
        <v>517</v>
      </c>
      <c r="M437" s="11" t="s">
        <v>32</v>
      </c>
      <c r="N437" s="11" t="s">
        <v>629</v>
      </c>
      <c r="O437" s="11" t="s">
        <v>312</v>
      </c>
      <c r="P437" s="11" t="s">
        <v>2165</v>
      </c>
      <c r="Q437" s="27" t="s">
        <v>2165</v>
      </c>
      <c r="R437" s="16" t="s">
        <v>2165</v>
      </c>
      <c r="S437" s="11" t="s">
        <v>35</v>
      </c>
      <c r="T437" s="158">
        <v>2.91</v>
      </c>
      <c r="U437" s="11" t="s">
        <v>2183</v>
      </c>
      <c r="V437" s="174">
        <v>6.0499999999999998E-2</v>
      </c>
      <c r="W437" s="189">
        <v>7.0010000000000003E-2</v>
      </c>
      <c r="X437" s="4" t="s">
        <v>602</v>
      </c>
      <c r="Y437" s="4" t="s">
        <v>312</v>
      </c>
      <c r="Z437" s="158">
        <v>1141000</v>
      </c>
      <c r="AA437" s="158">
        <v>1</v>
      </c>
      <c r="AB437" s="158">
        <v>99.16</v>
      </c>
      <c r="AD437" s="158">
        <v>1131.4159999999999</v>
      </c>
      <c r="AG437" s="11" t="s">
        <v>37</v>
      </c>
      <c r="AH437" s="189">
        <v>5.1859999999999996E-3</v>
      </c>
      <c r="AI437" s="189">
        <v>3.6917614042415799E-3</v>
      </c>
      <c r="AJ437" s="189">
        <v>6.1514273267278903E-4</v>
      </c>
    </row>
    <row r="438" spans="1:36">
      <c r="A438" s="11" t="s">
        <v>256</v>
      </c>
      <c r="B438" s="11">
        <v>7205</v>
      </c>
      <c r="C438" s="11" t="s">
        <v>1646</v>
      </c>
      <c r="D438" s="11" t="s">
        <v>1647</v>
      </c>
      <c r="E438" s="4" t="s">
        <v>1552</v>
      </c>
      <c r="F438" s="11" t="s">
        <v>2184</v>
      </c>
      <c r="G438" s="11" t="s">
        <v>2185</v>
      </c>
      <c r="H438" s="11" t="s">
        <v>511</v>
      </c>
      <c r="I438" s="11" t="s">
        <v>1154</v>
      </c>
      <c r="J438" s="11" t="s">
        <v>31</v>
      </c>
      <c r="K438" s="11" t="s">
        <v>31</v>
      </c>
      <c r="L438" s="11" t="s">
        <v>517</v>
      </c>
      <c r="M438" s="11" t="s">
        <v>32</v>
      </c>
      <c r="N438" s="11" t="s">
        <v>629</v>
      </c>
      <c r="O438" s="11" t="s">
        <v>312</v>
      </c>
      <c r="P438" s="11" t="s">
        <v>2165</v>
      </c>
      <c r="Q438" s="27" t="s">
        <v>2165</v>
      </c>
      <c r="R438" s="16" t="s">
        <v>2165</v>
      </c>
      <c r="S438" s="11" t="s">
        <v>35</v>
      </c>
      <c r="T438" s="158">
        <v>3.544</v>
      </c>
      <c r="U438" s="11" t="s">
        <v>149</v>
      </c>
      <c r="V438" s="174">
        <v>5.5E-2</v>
      </c>
      <c r="W438" s="189">
        <v>7.1720000000000006E-2</v>
      </c>
      <c r="X438" s="4" t="s">
        <v>602</v>
      </c>
      <c r="Y438" s="4" t="s">
        <v>312</v>
      </c>
      <c r="Z438" s="158">
        <v>253000</v>
      </c>
      <c r="AA438" s="158">
        <v>1</v>
      </c>
      <c r="AB438" s="158">
        <v>96.11</v>
      </c>
      <c r="AD438" s="158">
        <v>243.15799999999999</v>
      </c>
      <c r="AG438" s="11" t="s">
        <v>37</v>
      </c>
      <c r="AH438" s="189">
        <v>1.2049999999999999E-3</v>
      </c>
      <c r="AI438" s="189">
        <v>7.9341528175941301E-4</v>
      </c>
      <c r="AJ438" s="189">
        <v>1.32203463638003E-4</v>
      </c>
    </row>
    <row r="439" spans="1:36">
      <c r="A439" s="11" t="s">
        <v>256</v>
      </c>
      <c r="B439" s="11">
        <v>7205</v>
      </c>
      <c r="C439" s="11" t="s">
        <v>1646</v>
      </c>
      <c r="D439" s="11" t="s">
        <v>1647</v>
      </c>
      <c r="E439" s="4" t="s">
        <v>1552</v>
      </c>
      <c r="F439" s="11" t="s">
        <v>2186</v>
      </c>
      <c r="G439" s="11" t="s">
        <v>2187</v>
      </c>
      <c r="H439" s="11" t="s">
        <v>511</v>
      </c>
      <c r="I439" s="11" t="s">
        <v>1154</v>
      </c>
      <c r="J439" s="11" t="s">
        <v>31</v>
      </c>
      <c r="K439" s="11" t="s">
        <v>31</v>
      </c>
      <c r="L439" s="11" t="s">
        <v>517</v>
      </c>
      <c r="M439" s="11" t="s">
        <v>32</v>
      </c>
      <c r="N439" s="11" t="s">
        <v>629</v>
      </c>
      <c r="O439" s="11" t="s">
        <v>312</v>
      </c>
      <c r="P439" s="11" t="s">
        <v>2165</v>
      </c>
      <c r="Q439" s="27" t="s">
        <v>2165</v>
      </c>
      <c r="R439" s="16" t="s">
        <v>2165</v>
      </c>
      <c r="S439" s="11" t="s">
        <v>35</v>
      </c>
      <c r="T439" s="158">
        <v>0.98599999999999999</v>
      </c>
      <c r="U439" s="11" t="s">
        <v>2188</v>
      </c>
      <c r="V439" s="174">
        <v>3.5499999999999997E-2</v>
      </c>
      <c r="W439" s="189">
        <v>5.9659999999999998E-2</v>
      </c>
      <c r="X439" s="4" t="s">
        <v>602</v>
      </c>
      <c r="Y439" s="4" t="s">
        <v>312</v>
      </c>
      <c r="Z439" s="158">
        <v>1910842.97</v>
      </c>
      <c r="AA439" s="158">
        <v>1</v>
      </c>
      <c r="AB439" s="158">
        <v>97.8</v>
      </c>
      <c r="AD439" s="158">
        <v>1868.8040000000001</v>
      </c>
      <c r="AG439" s="11" t="s">
        <v>37</v>
      </c>
      <c r="AH439" s="189">
        <v>6.672E-3</v>
      </c>
      <c r="AI439" s="189">
        <v>6.0978300520477804E-3</v>
      </c>
      <c r="AJ439" s="189">
        <v>1.01605586896305E-3</v>
      </c>
    </row>
    <row r="440" spans="1:36">
      <c r="A440" s="11" t="s">
        <v>256</v>
      </c>
      <c r="B440" s="11">
        <v>7205</v>
      </c>
      <c r="C440" s="11" t="s">
        <v>2189</v>
      </c>
      <c r="D440" s="11" t="s">
        <v>2190</v>
      </c>
      <c r="E440" s="4" t="s">
        <v>1552</v>
      </c>
      <c r="F440" s="11" t="s">
        <v>2191</v>
      </c>
      <c r="G440" s="11" t="s">
        <v>2192</v>
      </c>
      <c r="H440" s="11" t="s">
        <v>511</v>
      </c>
      <c r="I440" s="11" t="s">
        <v>945</v>
      </c>
      <c r="J440" s="11" t="s">
        <v>31</v>
      </c>
      <c r="K440" s="11" t="s">
        <v>31</v>
      </c>
      <c r="L440" s="11" t="s">
        <v>517</v>
      </c>
      <c r="M440" s="11" t="s">
        <v>32</v>
      </c>
      <c r="N440" s="11" t="s">
        <v>639</v>
      </c>
      <c r="O440" s="11" t="s">
        <v>312</v>
      </c>
      <c r="P440" s="11" t="s">
        <v>2161</v>
      </c>
      <c r="Q440" s="11" t="s">
        <v>358</v>
      </c>
      <c r="R440" s="11" t="s">
        <v>596</v>
      </c>
      <c r="S440" s="11" t="s">
        <v>35</v>
      </c>
      <c r="T440" s="158">
        <v>4.2439999999999998</v>
      </c>
      <c r="U440" s="11" t="s">
        <v>2193</v>
      </c>
      <c r="V440" s="174">
        <v>0.03</v>
      </c>
      <c r="W440" s="189">
        <v>3.5970000000000002E-2</v>
      </c>
      <c r="X440" s="4" t="s">
        <v>602</v>
      </c>
      <c r="Y440" s="4" t="s">
        <v>312</v>
      </c>
      <c r="Z440" s="158">
        <v>335111</v>
      </c>
      <c r="AA440" s="158">
        <v>1</v>
      </c>
      <c r="AB440" s="158">
        <v>100.49</v>
      </c>
      <c r="AD440" s="158">
        <v>336.75299999999999</v>
      </c>
      <c r="AG440" s="11" t="s">
        <v>37</v>
      </c>
      <c r="AH440" s="189">
        <v>7.5299999999999998E-4</v>
      </c>
      <c r="AI440" s="189">
        <v>1.0988109853098101E-3</v>
      </c>
      <c r="AJ440" s="189">
        <v>1.8309026997729701E-4</v>
      </c>
    </row>
    <row r="441" spans="1:36">
      <c r="A441" s="11" t="s">
        <v>256</v>
      </c>
      <c r="B441" s="11">
        <v>7205</v>
      </c>
      <c r="C441" s="11" t="s">
        <v>2189</v>
      </c>
      <c r="D441" s="11" t="s">
        <v>2190</v>
      </c>
      <c r="E441" s="4" t="s">
        <v>1552</v>
      </c>
      <c r="F441" s="11" t="s">
        <v>2194</v>
      </c>
      <c r="G441" s="11" t="s">
        <v>2192</v>
      </c>
      <c r="H441" s="11" t="s">
        <v>511</v>
      </c>
      <c r="I441" s="11" t="s">
        <v>945</v>
      </c>
      <c r="J441" s="11" t="s">
        <v>31</v>
      </c>
      <c r="K441" s="18" t="s">
        <v>31</v>
      </c>
      <c r="L441" s="16" t="s">
        <v>519</v>
      </c>
      <c r="M441" s="11" t="s">
        <v>342</v>
      </c>
      <c r="N441" s="11" t="s">
        <v>639</v>
      </c>
      <c r="O441" s="11" t="s">
        <v>312</v>
      </c>
      <c r="P441" s="11" t="s">
        <v>2161</v>
      </c>
      <c r="Q441" s="11" t="s">
        <v>358</v>
      </c>
      <c r="R441" s="11" t="s">
        <v>596</v>
      </c>
      <c r="S441" s="11" t="s">
        <v>35</v>
      </c>
      <c r="T441" s="158">
        <v>4.21</v>
      </c>
      <c r="U441" s="11" t="s">
        <v>2193</v>
      </c>
      <c r="V441" s="174">
        <v>0.03</v>
      </c>
      <c r="W441" s="189">
        <v>3.4880000000000001E-2</v>
      </c>
      <c r="X441" s="4" t="s">
        <v>602</v>
      </c>
      <c r="Y441" s="4" t="s">
        <v>312</v>
      </c>
      <c r="Z441" s="158">
        <v>708610</v>
      </c>
      <c r="AA441" s="158">
        <v>1</v>
      </c>
      <c r="AB441" s="158">
        <v>100.247</v>
      </c>
      <c r="AD441" s="158">
        <v>710.35900000000004</v>
      </c>
      <c r="AG441" s="11" t="s">
        <v>37</v>
      </c>
      <c r="AH441" s="189">
        <v>0</v>
      </c>
      <c r="AI441" s="189">
        <v>2.3178713066590402E-3</v>
      </c>
      <c r="AJ441" s="189">
        <v>3.8621718292084601E-4</v>
      </c>
    </row>
    <row r="442" spans="1:36">
      <c r="A442" s="11" t="s">
        <v>256</v>
      </c>
      <c r="B442" s="11">
        <v>7205</v>
      </c>
      <c r="C442" s="11" t="s">
        <v>2189</v>
      </c>
      <c r="D442" s="11" t="s">
        <v>2190</v>
      </c>
      <c r="E442" s="4" t="s">
        <v>1552</v>
      </c>
      <c r="F442" s="11" t="s">
        <v>2195</v>
      </c>
      <c r="G442" s="11" t="s">
        <v>2192</v>
      </c>
      <c r="H442" s="11" t="s">
        <v>511</v>
      </c>
      <c r="I442" s="11" t="s">
        <v>945</v>
      </c>
      <c r="J442" s="11" t="s">
        <v>31</v>
      </c>
      <c r="K442" s="11" t="s">
        <v>31</v>
      </c>
      <c r="L442" s="16" t="s">
        <v>519</v>
      </c>
      <c r="M442" s="11" t="s">
        <v>32</v>
      </c>
      <c r="N442" s="11" t="s">
        <v>639</v>
      </c>
      <c r="O442" s="11" t="s">
        <v>312</v>
      </c>
      <c r="P442" s="11" t="s">
        <v>2161</v>
      </c>
      <c r="Q442" s="11" t="s">
        <v>358</v>
      </c>
      <c r="R442" s="11" t="s">
        <v>596</v>
      </c>
      <c r="S442" s="11" t="s">
        <v>35</v>
      </c>
      <c r="T442" s="158">
        <v>4.21</v>
      </c>
      <c r="U442" s="11" t="s">
        <v>2193</v>
      </c>
      <c r="V442" s="174">
        <v>0.03</v>
      </c>
      <c r="W442" s="189">
        <v>3.4880000000000001E-2</v>
      </c>
      <c r="X442" s="4" t="s">
        <v>602</v>
      </c>
      <c r="Y442" s="4" t="s">
        <v>312</v>
      </c>
      <c r="Z442" s="158">
        <v>1538037</v>
      </c>
      <c r="AA442" s="158">
        <v>1</v>
      </c>
      <c r="AB442" s="158">
        <v>100.22199999999999</v>
      </c>
      <c r="AD442" s="158">
        <v>1541.4590000000001</v>
      </c>
      <c r="AG442" s="11" t="s">
        <v>37</v>
      </c>
      <c r="AH442" s="189">
        <v>0</v>
      </c>
      <c r="AI442" s="189">
        <v>5.0297159436672699E-3</v>
      </c>
      <c r="AJ442" s="189">
        <v>8.3808049095496695E-4</v>
      </c>
    </row>
    <row r="443" spans="1:36">
      <c r="A443" s="11" t="s">
        <v>256</v>
      </c>
      <c r="B443" s="11">
        <v>7205</v>
      </c>
      <c r="C443" s="11" t="s">
        <v>2189</v>
      </c>
      <c r="D443" s="11" t="s">
        <v>2190</v>
      </c>
      <c r="E443" s="4" t="s">
        <v>1552</v>
      </c>
      <c r="F443" s="11" t="s">
        <v>2196</v>
      </c>
      <c r="G443" s="11" t="s">
        <v>2197</v>
      </c>
      <c r="H443" s="11" t="s">
        <v>511</v>
      </c>
      <c r="I443" s="11" t="s">
        <v>1154</v>
      </c>
      <c r="J443" s="11" t="s">
        <v>31</v>
      </c>
      <c r="K443" s="11" t="s">
        <v>31</v>
      </c>
      <c r="L443" s="11" t="s">
        <v>517</v>
      </c>
      <c r="M443" s="11" t="s">
        <v>32</v>
      </c>
      <c r="N443" s="11" t="s">
        <v>639</v>
      </c>
      <c r="O443" s="11" t="s">
        <v>312</v>
      </c>
      <c r="P443" s="11" t="s">
        <v>2161</v>
      </c>
      <c r="Q443" s="11" t="s">
        <v>358</v>
      </c>
      <c r="R443" s="11" t="s">
        <v>596</v>
      </c>
      <c r="S443" s="11" t="s">
        <v>35</v>
      </c>
      <c r="T443" s="158">
        <v>1.3160000000000001</v>
      </c>
      <c r="U443" s="11" t="s">
        <v>2198</v>
      </c>
      <c r="V443" s="174">
        <v>3.9E-2</v>
      </c>
      <c r="W443" s="189">
        <v>5.5669999999999997E-2</v>
      </c>
      <c r="X443" s="4" t="s">
        <v>602</v>
      </c>
      <c r="Y443" s="4" t="s">
        <v>312</v>
      </c>
      <c r="Z443" s="158">
        <v>50400</v>
      </c>
      <c r="AA443" s="158">
        <v>1</v>
      </c>
      <c r="AB443" s="158">
        <v>98.89</v>
      </c>
      <c r="AD443" s="158">
        <v>49.841000000000001</v>
      </c>
      <c r="AG443" s="11" t="s">
        <v>37</v>
      </c>
      <c r="AH443" s="189">
        <v>6.6000000000000005E-5</v>
      </c>
      <c r="AI443" s="189">
        <v>1.6262764608671401E-4</v>
      </c>
      <c r="AJ443" s="189">
        <v>2.7097963185536901E-5</v>
      </c>
    </row>
    <row r="444" spans="1:36">
      <c r="A444" s="11" t="s">
        <v>256</v>
      </c>
      <c r="B444" s="11">
        <v>7205</v>
      </c>
      <c r="C444" s="11" t="s">
        <v>2199</v>
      </c>
      <c r="D444" s="11" t="s">
        <v>2200</v>
      </c>
      <c r="E444" s="4" t="s">
        <v>1552</v>
      </c>
      <c r="F444" s="11" t="s">
        <v>2201</v>
      </c>
      <c r="G444" s="11" t="s">
        <v>2202</v>
      </c>
      <c r="H444" s="11" t="s">
        <v>511</v>
      </c>
      <c r="I444" s="11" t="s">
        <v>1154</v>
      </c>
      <c r="J444" s="11" t="s">
        <v>31</v>
      </c>
      <c r="K444" s="11" t="s">
        <v>31</v>
      </c>
      <c r="L444" s="11" t="s">
        <v>517</v>
      </c>
      <c r="M444" s="11" t="s">
        <v>32</v>
      </c>
      <c r="N444" s="11" t="s">
        <v>639</v>
      </c>
      <c r="O444" s="11" t="s">
        <v>312</v>
      </c>
      <c r="P444" s="11" t="s">
        <v>168</v>
      </c>
      <c r="Q444" s="11" t="s">
        <v>604</v>
      </c>
      <c r="R444" s="11" t="s">
        <v>596</v>
      </c>
      <c r="S444" s="11" t="s">
        <v>35</v>
      </c>
      <c r="T444" s="158">
        <v>1.4590000000000001</v>
      </c>
      <c r="U444" s="11" t="s">
        <v>2203</v>
      </c>
      <c r="V444" s="174">
        <v>0.04</v>
      </c>
      <c r="W444" s="189">
        <v>4.9189999999999998E-2</v>
      </c>
      <c r="X444" s="4" t="s">
        <v>602</v>
      </c>
      <c r="Y444" s="4" t="s">
        <v>312</v>
      </c>
      <c r="Z444" s="158">
        <v>215741.51</v>
      </c>
      <c r="AA444" s="158">
        <v>1</v>
      </c>
      <c r="AB444" s="158">
        <v>98.76</v>
      </c>
      <c r="AD444" s="158">
        <v>213.066</v>
      </c>
      <c r="AG444" s="11" t="s">
        <v>37</v>
      </c>
      <c r="AH444" s="189">
        <v>1.637E-3</v>
      </c>
      <c r="AI444" s="189">
        <v>6.9522640423192404E-4</v>
      </c>
      <c r="AJ444" s="189">
        <v>1.15842662430499E-4</v>
      </c>
    </row>
    <row r="445" spans="1:36">
      <c r="A445" s="11" t="s">
        <v>256</v>
      </c>
      <c r="B445" s="11">
        <v>7205</v>
      </c>
      <c r="C445" s="11" t="s">
        <v>1662</v>
      </c>
      <c r="D445" s="11" t="s">
        <v>1663</v>
      </c>
      <c r="E445" s="4" t="s">
        <v>1552</v>
      </c>
      <c r="F445" s="11" t="s">
        <v>2204</v>
      </c>
      <c r="G445" s="11" t="s">
        <v>2205</v>
      </c>
      <c r="H445" s="11" t="s">
        <v>511</v>
      </c>
      <c r="I445" s="11" t="s">
        <v>1154</v>
      </c>
      <c r="J445" s="11" t="s">
        <v>31</v>
      </c>
      <c r="K445" s="11" t="s">
        <v>31</v>
      </c>
      <c r="L445" s="11" t="s">
        <v>517</v>
      </c>
      <c r="M445" s="11" t="s">
        <v>32</v>
      </c>
      <c r="N445" s="11" t="s">
        <v>653</v>
      </c>
      <c r="O445" s="11" t="s">
        <v>312</v>
      </c>
      <c r="P445" s="11" t="s">
        <v>2206</v>
      </c>
      <c r="Q445" s="11" t="s">
        <v>604</v>
      </c>
      <c r="R445" s="11" t="s">
        <v>596</v>
      </c>
      <c r="S445" s="11" t="s">
        <v>35</v>
      </c>
      <c r="T445" s="158">
        <v>8.0000000000000002E-3</v>
      </c>
      <c r="U445" s="11" t="s">
        <v>361</v>
      </c>
      <c r="V445" s="174">
        <v>5.5500000000000001E-2</v>
      </c>
      <c r="W445" s="189">
        <v>-0.20596</v>
      </c>
      <c r="X445" s="4" t="s">
        <v>602</v>
      </c>
      <c r="Y445" s="4" t="s">
        <v>312</v>
      </c>
      <c r="Z445" s="158">
        <v>139840.88</v>
      </c>
      <c r="AA445" s="158">
        <v>1</v>
      </c>
      <c r="AB445" s="158">
        <v>102.57</v>
      </c>
      <c r="AD445" s="158">
        <v>143.435</v>
      </c>
      <c r="AG445" s="11" t="s">
        <v>37</v>
      </c>
      <c r="AH445" s="189">
        <v>4.1339999999999997E-3</v>
      </c>
      <c r="AI445" s="189">
        <v>4.6802167481305802E-4</v>
      </c>
      <c r="AJ445" s="189">
        <v>7.7984490455917E-5</v>
      </c>
    </row>
    <row r="446" spans="1:36">
      <c r="A446" s="11" t="s">
        <v>256</v>
      </c>
      <c r="B446" s="11">
        <v>7205</v>
      </c>
      <c r="C446" s="11" t="s">
        <v>2207</v>
      </c>
      <c r="D446" s="11" t="s">
        <v>2208</v>
      </c>
      <c r="E446" s="4" t="s">
        <v>1552</v>
      </c>
      <c r="F446" s="11" t="s">
        <v>2209</v>
      </c>
      <c r="G446" s="11" t="s">
        <v>2210</v>
      </c>
      <c r="H446" s="11" t="s">
        <v>511</v>
      </c>
      <c r="I446" s="11" t="s">
        <v>1154</v>
      </c>
      <c r="J446" s="11" t="s">
        <v>31</v>
      </c>
      <c r="K446" s="11" t="s">
        <v>489</v>
      </c>
      <c r="L446" s="11" t="s">
        <v>517</v>
      </c>
      <c r="M446" s="11" t="s">
        <v>32</v>
      </c>
      <c r="N446" s="11" t="s">
        <v>653</v>
      </c>
      <c r="O446" s="11" t="s">
        <v>312</v>
      </c>
      <c r="P446" s="11" t="s">
        <v>2165</v>
      </c>
      <c r="Q446" s="27" t="s">
        <v>2165</v>
      </c>
      <c r="R446" s="16" t="s">
        <v>2165</v>
      </c>
      <c r="S446" s="11" t="s">
        <v>35</v>
      </c>
      <c r="T446" s="158">
        <v>0.68200000000000005</v>
      </c>
      <c r="U446" s="11" t="s">
        <v>2211</v>
      </c>
      <c r="V446" s="174">
        <v>7.2499999999999995E-2</v>
      </c>
      <c r="W446" s="189">
        <v>6.9190000000000002E-2</v>
      </c>
      <c r="X446" s="4" t="s">
        <v>602</v>
      </c>
      <c r="Y446" s="4" t="s">
        <v>312</v>
      </c>
      <c r="Z446" s="158">
        <v>1691934.55</v>
      </c>
      <c r="AA446" s="158">
        <v>1</v>
      </c>
      <c r="AB446" s="158">
        <v>102.43</v>
      </c>
      <c r="AD446" s="158">
        <v>1733.049</v>
      </c>
      <c r="AG446" s="11" t="s">
        <v>37</v>
      </c>
      <c r="AH446" s="189">
        <v>1.1334E-2</v>
      </c>
      <c r="AI446" s="189">
        <v>5.6548643874793003E-3</v>
      </c>
      <c r="AJ446" s="189">
        <v>9.4224635649840403E-4</v>
      </c>
    </row>
    <row r="447" spans="1:36">
      <c r="A447" s="11" t="s">
        <v>256</v>
      </c>
      <c r="B447" s="11">
        <v>7205</v>
      </c>
      <c r="C447" s="11" t="s">
        <v>2212</v>
      </c>
      <c r="D447" s="11" t="s">
        <v>2213</v>
      </c>
      <c r="E447" s="4" t="s">
        <v>1552</v>
      </c>
      <c r="F447" s="11" t="s">
        <v>2214</v>
      </c>
      <c r="G447" s="11" t="s">
        <v>2215</v>
      </c>
      <c r="H447" s="11" t="s">
        <v>511</v>
      </c>
      <c r="I447" s="11" t="s">
        <v>1154</v>
      </c>
      <c r="J447" s="11" t="s">
        <v>31</v>
      </c>
      <c r="K447" s="11" t="s">
        <v>155</v>
      </c>
      <c r="L447" s="11" t="s">
        <v>517</v>
      </c>
      <c r="M447" s="11" t="s">
        <v>32</v>
      </c>
      <c r="N447" s="11" t="s">
        <v>631</v>
      </c>
      <c r="O447" s="11" t="s">
        <v>312</v>
      </c>
      <c r="P447" s="11" t="s">
        <v>2161</v>
      </c>
      <c r="Q447" s="11" t="s">
        <v>358</v>
      </c>
      <c r="R447" s="11" t="s">
        <v>596</v>
      </c>
      <c r="S447" s="11" t="s">
        <v>35</v>
      </c>
      <c r="T447" s="158">
        <v>0.95399999999999996</v>
      </c>
      <c r="U447" s="11" t="s">
        <v>2216</v>
      </c>
      <c r="V447" s="174">
        <v>4.7500000000000001E-2</v>
      </c>
      <c r="W447" s="189">
        <v>6.0749999999999998E-2</v>
      </c>
      <c r="X447" s="4" t="s">
        <v>602</v>
      </c>
      <c r="Y447" s="4" t="s">
        <v>312</v>
      </c>
      <c r="Z447" s="158">
        <v>3001026.6</v>
      </c>
      <c r="AA447" s="158">
        <v>1</v>
      </c>
      <c r="AB447" s="158">
        <v>99.82</v>
      </c>
      <c r="AD447" s="158">
        <v>2995.625</v>
      </c>
      <c r="AG447" s="11" t="s">
        <v>37</v>
      </c>
      <c r="AH447" s="189">
        <v>3.6229999999999999E-3</v>
      </c>
      <c r="AI447" s="189">
        <v>9.7745972757202204E-3</v>
      </c>
      <c r="AJ447" s="189">
        <v>1.62870018415986E-3</v>
      </c>
    </row>
    <row r="448" spans="1:36">
      <c r="A448" s="11" t="s">
        <v>256</v>
      </c>
      <c r="B448" s="11">
        <v>7205</v>
      </c>
      <c r="C448" s="11" t="s">
        <v>2217</v>
      </c>
      <c r="D448" s="11" t="s">
        <v>2218</v>
      </c>
      <c r="E448" s="4" t="s">
        <v>504</v>
      </c>
      <c r="F448" s="11" t="s">
        <v>2219</v>
      </c>
      <c r="G448" s="11" t="s">
        <v>2220</v>
      </c>
      <c r="H448" s="11" t="s">
        <v>511</v>
      </c>
      <c r="I448" s="11" t="s">
        <v>1154</v>
      </c>
      <c r="J448" s="11" t="s">
        <v>31</v>
      </c>
      <c r="K448" s="11" t="s">
        <v>31</v>
      </c>
      <c r="L448" s="11" t="s">
        <v>517</v>
      </c>
      <c r="M448" s="11" t="s">
        <v>32</v>
      </c>
      <c r="N448" s="11" t="s">
        <v>653</v>
      </c>
      <c r="O448" s="11" t="s">
        <v>312</v>
      </c>
      <c r="P448" s="11" t="s">
        <v>2221</v>
      </c>
      <c r="Q448" s="11" t="s">
        <v>604</v>
      </c>
      <c r="R448" s="11" t="s">
        <v>596</v>
      </c>
      <c r="S448" s="11" t="s">
        <v>35</v>
      </c>
      <c r="T448" s="158">
        <v>0.59899999999999998</v>
      </c>
      <c r="U448" s="11" t="s">
        <v>2222</v>
      </c>
      <c r="V448" s="174">
        <v>7.7499999999999999E-2</v>
      </c>
      <c r="W448" s="189">
        <v>7.6840000000000006E-2</v>
      </c>
      <c r="X448" s="4" t="s">
        <v>602</v>
      </c>
      <c r="Y448" s="4" t="s">
        <v>312</v>
      </c>
      <c r="Z448" s="158">
        <v>1272124.6599999999</v>
      </c>
      <c r="AA448" s="158">
        <v>1</v>
      </c>
      <c r="AB448" s="158">
        <v>103</v>
      </c>
      <c r="AD448" s="158">
        <v>1310.288</v>
      </c>
      <c r="AG448" s="11" t="s">
        <v>37</v>
      </c>
      <c r="AH448" s="189">
        <v>8.4840000000000002E-3</v>
      </c>
      <c r="AI448" s="189">
        <v>4.2754158090158E-3</v>
      </c>
      <c r="AJ448" s="189">
        <v>7.1239462036976303E-4</v>
      </c>
    </row>
    <row r="449" spans="1:36">
      <c r="A449" s="11" t="s">
        <v>256</v>
      </c>
      <c r="B449" s="11">
        <v>7205</v>
      </c>
      <c r="C449" s="11" t="s">
        <v>1670</v>
      </c>
      <c r="D449" s="11" t="s">
        <v>1671</v>
      </c>
      <c r="E449" s="4" t="s">
        <v>1552</v>
      </c>
      <c r="F449" s="11" t="s">
        <v>2223</v>
      </c>
      <c r="G449" s="11" t="s">
        <v>2224</v>
      </c>
      <c r="H449" s="11" t="s">
        <v>511</v>
      </c>
      <c r="I449" s="11" t="s">
        <v>1154</v>
      </c>
      <c r="J449" s="11" t="s">
        <v>31</v>
      </c>
      <c r="K449" s="11" t="s">
        <v>31</v>
      </c>
      <c r="L449" s="11" t="s">
        <v>517</v>
      </c>
      <c r="M449" s="11" t="s">
        <v>32</v>
      </c>
      <c r="N449" s="11" t="s">
        <v>652</v>
      </c>
      <c r="O449" s="11" t="s">
        <v>312</v>
      </c>
      <c r="P449" s="11" t="s">
        <v>2225</v>
      </c>
      <c r="Q449" s="11" t="s">
        <v>604</v>
      </c>
      <c r="R449" s="11" t="s">
        <v>596</v>
      </c>
      <c r="S449" s="11" t="s">
        <v>35</v>
      </c>
      <c r="T449" s="158">
        <v>0.99099999999999999</v>
      </c>
      <c r="U449" s="11" t="s">
        <v>2226</v>
      </c>
      <c r="V449" s="174">
        <v>3.39E-2</v>
      </c>
      <c r="W449" s="189">
        <v>4.795E-2</v>
      </c>
      <c r="X449" s="4" t="s">
        <v>602</v>
      </c>
      <c r="Y449" s="4" t="s">
        <v>312</v>
      </c>
      <c r="Z449" s="158">
        <v>36000</v>
      </c>
      <c r="AA449" s="158">
        <v>1</v>
      </c>
      <c r="AB449" s="158">
        <v>100.14</v>
      </c>
      <c r="AD449" s="158">
        <v>36.049999999999997</v>
      </c>
      <c r="AG449" s="11" t="s">
        <v>37</v>
      </c>
      <c r="AH449" s="189">
        <v>8.2999999999999998E-5</v>
      </c>
      <c r="AI449" s="189">
        <v>1.17630935376417E-4</v>
      </c>
      <c r="AJ449" s="189">
        <v>1.9600349836034699E-5</v>
      </c>
    </row>
    <row r="450" spans="1:36">
      <c r="A450" s="11" t="s">
        <v>256</v>
      </c>
      <c r="B450" s="11">
        <v>7205</v>
      </c>
      <c r="C450" s="11" t="s">
        <v>1674</v>
      </c>
      <c r="D450" s="11" t="s">
        <v>1675</v>
      </c>
      <c r="E450" s="4" t="s">
        <v>1552</v>
      </c>
      <c r="F450" s="11" t="s">
        <v>2227</v>
      </c>
      <c r="G450" s="11" t="s">
        <v>2228</v>
      </c>
      <c r="H450" s="11" t="s">
        <v>511</v>
      </c>
      <c r="I450" s="11" t="s">
        <v>1155</v>
      </c>
      <c r="J450" s="11" t="s">
        <v>31</v>
      </c>
      <c r="K450" s="11" t="s">
        <v>155</v>
      </c>
      <c r="L450" s="11" t="s">
        <v>517</v>
      </c>
      <c r="M450" s="11" t="s">
        <v>32</v>
      </c>
      <c r="N450" s="11" t="s">
        <v>629</v>
      </c>
      <c r="O450" s="11" t="s">
        <v>312</v>
      </c>
      <c r="P450" s="11" t="s">
        <v>174</v>
      </c>
      <c r="Q450" s="11" t="s">
        <v>604</v>
      </c>
      <c r="R450" s="11" t="s">
        <v>596</v>
      </c>
      <c r="S450" s="11" t="s">
        <v>35</v>
      </c>
      <c r="T450" s="158">
        <v>4.093</v>
      </c>
      <c r="U450" s="11" t="s">
        <v>2229</v>
      </c>
      <c r="V450" s="174">
        <v>7.4999999999999997E-3</v>
      </c>
      <c r="W450" s="189">
        <v>6.0040000000000003E-2</v>
      </c>
      <c r="X450" s="4" t="s">
        <v>602</v>
      </c>
      <c r="Y450" s="4" t="s">
        <v>312</v>
      </c>
      <c r="Z450" s="158">
        <v>2828000</v>
      </c>
      <c r="AA450" s="158">
        <v>1</v>
      </c>
      <c r="AB450" s="158">
        <v>81.400000000000006</v>
      </c>
      <c r="AD450" s="158">
        <v>2301.9920000000002</v>
      </c>
      <c r="AG450" s="11" t="s">
        <v>37</v>
      </c>
      <c r="AH450" s="189">
        <v>5.3210000000000002E-3</v>
      </c>
      <c r="AI450" s="189">
        <v>7.5113028479303996E-3</v>
      </c>
      <c r="AJ450" s="189">
        <v>1.2515769178636899E-3</v>
      </c>
    </row>
    <row r="451" spans="1:36">
      <c r="A451" s="11" t="s">
        <v>256</v>
      </c>
      <c r="B451" s="11">
        <v>7205</v>
      </c>
      <c r="C451" s="11" t="s">
        <v>2230</v>
      </c>
      <c r="D451" s="11" t="s">
        <v>2231</v>
      </c>
      <c r="E451" s="4" t="s">
        <v>504</v>
      </c>
      <c r="F451" s="11" t="s">
        <v>2232</v>
      </c>
      <c r="G451" s="11" t="s">
        <v>2233</v>
      </c>
      <c r="H451" s="11" t="s">
        <v>511</v>
      </c>
      <c r="I451" s="11" t="s">
        <v>1154</v>
      </c>
      <c r="J451" s="11" t="s">
        <v>31</v>
      </c>
      <c r="K451" s="11" t="s">
        <v>155</v>
      </c>
      <c r="L451" s="11" t="s">
        <v>517</v>
      </c>
      <c r="M451" s="11" t="s">
        <v>50</v>
      </c>
      <c r="N451" s="11" t="s">
        <v>653</v>
      </c>
      <c r="O451" s="11" t="s">
        <v>312</v>
      </c>
      <c r="P451" s="11" t="s">
        <v>2234</v>
      </c>
      <c r="Q451" s="11" t="s">
        <v>358</v>
      </c>
      <c r="R451" s="11" t="s">
        <v>596</v>
      </c>
      <c r="S451" s="11" t="s">
        <v>35</v>
      </c>
      <c r="T451" s="158">
        <v>1.8839999999999999</v>
      </c>
      <c r="U451" s="11" t="s">
        <v>2235</v>
      </c>
      <c r="V451" s="174">
        <v>7.2499999999999995E-2</v>
      </c>
      <c r="W451" s="189">
        <v>7.6039999999999996E-2</v>
      </c>
      <c r="X451" s="4" t="s">
        <v>602</v>
      </c>
      <c r="Y451" s="4" t="s">
        <v>312</v>
      </c>
      <c r="Z451" s="158">
        <v>685000</v>
      </c>
      <c r="AA451" s="158">
        <v>1</v>
      </c>
      <c r="AB451" s="158">
        <v>101.9</v>
      </c>
      <c r="AD451" s="158">
        <v>698.01499999999999</v>
      </c>
      <c r="AG451" s="11" t="s">
        <v>37</v>
      </c>
      <c r="AH451" s="189">
        <v>5.2690000000000002E-3</v>
      </c>
      <c r="AI451" s="189">
        <v>2.2775935178741399E-3</v>
      </c>
      <c r="AJ451" s="189">
        <v>3.795058637574E-4</v>
      </c>
    </row>
    <row r="452" spans="1:36">
      <c r="A452" s="11" t="s">
        <v>256</v>
      </c>
      <c r="B452" s="11">
        <v>7205</v>
      </c>
      <c r="C452" s="11" t="s">
        <v>2853</v>
      </c>
      <c r="D452" s="11" t="s">
        <v>2854</v>
      </c>
      <c r="E452" s="4" t="s">
        <v>1552</v>
      </c>
      <c r="F452" s="11" t="s">
        <v>2855</v>
      </c>
      <c r="G452" s="11" t="s">
        <v>2856</v>
      </c>
      <c r="H452" s="11" t="s">
        <v>511</v>
      </c>
      <c r="I452" s="11" t="s">
        <v>1154</v>
      </c>
      <c r="J452" s="11" t="s">
        <v>31</v>
      </c>
      <c r="K452" s="11" t="s">
        <v>31</v>
      </c>
      <c r="L452" s="11" t="s">
        <v>517</v>
      </c>
      <c r="M452" s="11" t="s">
        <v>32</v>
      </c>
      <c r="N452" s="11" t="s">
        <v>631</v>
      </c>
      <c r="O452" s="11" t="s">
        <v>312</v>
      </c>
      <c r="P452" s="11" t="s">
        <v>2206</v>
      </c>
      <c r="Q452" s="11" t="s">
        <v>604</v>
      </c>
      <c r="R452" s="11" t="s">
        <v>596</v>
      </c>
      <c r="S452" s="11" t="s">
        <v>35</v>
      </c>
      <c r="T452" s="158">
        <v>0.247</v>
      </c>
      <c r="U452" s="11" t="s">
        <v>206</v>
      </c>
      <c r="V452" s="174">
        <v>3.2399999999999998E-2</v>
      </c>
      <c r="W452" s="189">
        <v>9.4060000000000005E-2</v>
      </c>
      <c r="X452" s="4" t="s">
        <v>602</v>
      </c>
      <c r="Y452" s="4" t="s">
        <v>312</v>
      </c>
      <c r="Z452" s="158">
        <v>126183.54</v>
      </c>
      <c r="AA452" s="158">
        <v>1</v>
      </c>
      <c r="AB452" s="158">
        <v>98.85</v>
      </c>
      <c r="AD452" s="158">
        <v>124.732</v>
      </c>
      <c r="AG452" s="11" t="s">
        <v>37</v>
      </c>
      <c r="AH452" s="189">
        <v>1.658E-3</v>
      </c>
      <c r="AI452" s="189">
        <v>4.0699665826608201E-4</v>
      </c>
      <c r="AJ452" s="189">
        <v>6.7816147670551801E-5</v>
      </c>
    </row>
    <row r="453" spans="1:36">
      <c r="A453" s="11" t="s">
        <v>256</v>
      </c>
      <c r="B453" s="11">
        <v>7205</v>
      </c>
      <c r="C453" s="11" t="s">
        <v>2236</v>
      </c>
      <c r="D453" s="11" t="s">
        <v>2237</v>
      </c>
      <c r="E453" s="4" t="s">
        <v>1552</v>
      </c>
      <c r="F453" s="11" t="s">
        <v>2238</v>
      </c>
      <c r="G453" s="11" t="s">
        <v>2239</v>
      </c>
      <c r="H453" s="11" t="s">
        <v>511</v>
      </c>
      <c r="I453" s="11" t="s">
        <v>945</v>
      </c>
      <c r="J453" s="11" t="s">
        <v>31</v>
      </c>
      <c r="K453" s="11" t="s">
        <v>31</v>
      </c>
      <c r="L453" s="11" t="s">
        <v>517</v>
      </c>
      <c r="M453" s="11" t="s">
        <v>32</v>
      </c>
      <c r="N453" s="11" t="s">
        <v>653</v>
      </c>
      <c r="O453" s="11" t="s">
        <v>312</v>
      </c>
      <c r="P453" s="11" t="s">
        <v>174</v>
      </c>
      <c r="Q453" s="11" t="s">
        <v>604</v>
      </c>
      <c r="R453" s="11" t="s">
        <v>596</v>
      </c>
      <c r="S453" s="11" t="s">
        <v>35</v>
      </c>
      <c r="T453" s="158">
        <v>0.99099999999999999</v>
      </c>
      <c r="U453" s="11" t="s">
        <v>2188</v>
      </c>
      <c r="V453" s="174">
        <v>1.2200000000000001E-2</v>
      </c>
      <c r="W453" s="189">
        <v>3.0630000000000001E-2</v>
      </c>
      <c r="X453" s="4" t="s">
        <v>602</v>
      </c>
      <c r="Y453" s="4" t="s">
        <v>312</v>
      </c>
      <c r="Z453" s="158">
        <v>252644.5</v>
      </c>
      <c r="AA453" s="158">
        <v>1</v>
      </c>
      <c r="AB453" s="158">
        <v>111.42</v>
      </c>
      <c r="AD453" s="158">
        <v>281.49700000000001</v>
      </c>
      <c r="AG453" s="11" t="s">
        <v>37</v>
      </c>
      <c r="AH453" s="189">
        <v>5.4900000000000001E-4</v>
      </c>
      <c r="AI453" s="189">
        <v>9.1851121828569096E-4</v>
      </c>
      <c r="AJ453" s="189">
        <v>1.5304767533397699E-4</v>
      </c>
    </row>
    <row r="454" spans="1:36">
      <c r="A454" s="11" t="s">
        <v>256</v>
      </c>
      <c r="B454" s="11">
        <v>7205</v>
      </c>
      <c r="C454" s="11" t="s">
        <v>2236</v>
      </c>
      <c r="D454" s="11" t="s">
        <v>2237</v>
      </c>
      <c r="E454" s="4" t="s">
        <v>1552</v>
      </c>
      <c r="F454" s="11" t="s">
        <v>2240</v>
      </c>
      <c r="G454" s="11" t="s">
        <v>2241</v>
      </c>
      <c r="H454" s="11" t="s">
        <v>511</v>
      </c>
      <c r="I454" s="11" t="s">
        <v>1154</v>
      </c>
      <c r="J454" s="11" t="s">
        <v>31</v>
      </c>
      <c r="K454" s="11" t="s">
        <v>31</v>
      </c>
      <c r="L454" s="11" t="s">
        <v>517</v>
      </c>
      <c r="M454" s="11" t="s">
        <v>32</v>
      </c>
      <c r="N454" s="11" t="s">
        <v>653</v>
      </c>
      <c r="O454" s="11" t="s">
        <v>312</v>
      </c>
      <c r="P454" s="11" t="s">
        <v>174</v>
      </c>
      <c r="Q454" s="11" t="s">
        <v>604</v>
      </c>
      <c r="R454" s="11" t="s">
        <v>596</v>
      </c>
      <c r="S454" s="11" t="s">
        <v>35</v>
      </c>
      <c r="T454" s="158">
        <v>2.7869999999999999</v>
      </c>
      <c r="U454" s="11" t="s">
        <v>2242</v>
      </c>
      <c r="V454" s="174">
        <v>2.3E-2</v>
      </c>
      <c r="W454" s="189">
        <v>5.5829999999999998E-2</v>
      </c>
      <c r="X454" s="4" t="s">
        <v>602</v>
      </c>
      <c r="Y454" s="4" t="s">
        <v>312</v>
      </c>
      <c r="Z454" s="158">
        <v>1016664.31</v>
      </c>
      <c r="AA454" s="158">
        <v>1</v>
      </c>
      <c r="AB454" s="158">
        <v>92.02</v>
      </c>
      <c r="AD454" s="158">
        <v>935.53399999999999</v>
      </c>
      <c r="AG454" s="11" t="s">
        <v>37</v>
      </c>
      <c r="AH454" s="189">
        <v>1.3309999999999999E-3</v>
      </c>
      <c r="AI454" s="189">
        <v>3.0526096266321702E-3</v>
      </c>
      <c r="AJ454" s="189">
        <v>5.08643550298869E-4</v>
      </c>
    </row>
    <row r="455" spans="1:36">
      <c r="A455" s="11" t="s">
        <v>256</v>
      </c>
      <c r="B455" s="11">
        <v>7205</v>
      </c>
      <c r="C455" s="11" t="s">
        <v>2243</v>
      </c>
      <c r="D455" s="11" t="s">
        <v>2244</v>
      </c>
      <c r="E455" s="4" t="s">
        <v>1552</v>
      </c>
      <c r="F455" s="11" t="s">
        <v>2245</v>
      </c>
      <c r="G455" s="11" t="s">
        <v>2246</v>
      </c>
      <c r="H455" s="11" t="s">
        <v>511</v>
      </c>
      <c r="I455" s="11" t="s">
        <v>1154</v>
      </c>
      <c r="J455" s="11" t="s">
        <v>31</v>
      </c>
      <c r="K455" s="11" t="s">
        <v>31</v>
      </c>
      <c r="L455" s="11" t="s">
        <v>517</v>
      </c>
      <c r="M455" s="11" t="s">
        <v>32</v>
      </c>
      <c r="N455" s="11" t="s">
        <v>635</v>
      </c>
      <c r="O455" s="11" t="s">
        <v>312</v>
      </c>
      <c r="P455" s="11" t="s">
        <v>2165</v>
      </c>
      <c r="Q455" s="27" t="s">
        <v>2165</v>
      </c>
      <c r="R455" s="16" t="s">
        <v>2165</v>
      </c>
      <c r="S455" s="11" t="s">
        <v>35</v>
      </c>
      <c r="T455" s="158">
        <v>2.2999999999999998</v>
      </c>
      <c r="U455" s="11" t="s">
        <v>2180</v>
      </c>
      <c r="V455" s="174">
        <v>8.5000000000000006E-2</v>
      </c>
      <c r="W455" s="189">
        <v>7.4560000000000001E-2</v>
      </c>
      <c r="X455" s="4" t="s">
        <v>602</v>
      </c>
      <c r="Y455" s="4" t="s">
        <v>312</v>
      </c>
      <c r="Z455" s="158">
        <v>1059046</v>
      </c>
      <c r="AA455" s="158">
        <v>1</v>
      </c>
      <c r="AB455" s="158">
        <v>102.62</v>
      </c>
      <c r="AD455" s="158">
        <v>1086.7929999999999</v>
      </c>
      <c r="AG455" s="11" t="s">
        <v>37</v>
      </c>
      <c r="AH455" s="189">
        <v>8.1460000000000005E-3</v>
      </c>
      <c r="AI455" s="189">
        <v>3.5461597586219202E-3</v>
      </c>
      <c r="AJ455" s="189">
        <v>5.9088174059859202E-4</v>
      </c>
    </row>
    <row r="456" spans="1:36">
      <c r="A456" s="11" t="s">
        <v>256</v>
      </c>
      <c r="B456" s="11">
        <v>7205</v>
      </c>
      <c r="C456" s="11" t="s">
        <v>2247</v>
      </c>
      <c r="D456" s="11" t="s">
        <v>2248</v>
      </c>
      <c r="E456" s="4" t="s">
        <v>1552</v>
      </c>
      <c r="F456" s="11" t="s">
        <v>2249</v>
      </c>
      <c r="G456" s="11" t="s">
        <v>2250</v>
      </c>
      <c r="H456" s="11" t="s">
        <v>511</v>
      </c>
      <c r="I456" s="11" t="s">
        <v>1154</v>
      </c>
      <c r="J456" s="11" t="s">
        <v>31</v>
      </c>
      <c r="K456" s="11" t="s">
        <v>31</v>
      </c>
      <c r="L456" s="11" t="s">
        <v>517</v>
      </c>
      <c r="M456" s="11" t="s">
        <v>32</v>
      </c>
      <c r="N456" s="11" t="s">
        <v>635</v>
      </c>
      <c r="O456" s="11" t="s">
        <v>312</v>
      </c>
      <c r="P456" s="11" t="s">
        <v>174</v>
      </c>
      <c r="Q456" s="11" t="s">
        <v>604</v>
      </c>
      <c r="R456" s="11" t="s">
        <v>596</v>
      </c>
      <c r="S456" s="11" t="s">
        <v>35</v>
      </c>
      <c r="T456" s="158">
        <v>0.73799999999999999</v>
      </c>
      <c r="U456" s="11" t="s">
        <v>2251</v>
      </c>
      <c r="V456" s="174">
        <v>2.75E-2</v>
      </c>
      <c r="W456" s="189">
        <v>5.3370000000000001E-2</v>
      </c>
      <c r="X456" s="4" t="s">
        <v>602</v>
      </c>
      <c r="Y456" s="4" t="s">
        <v>312</v>
      </c>
      <c r="Z456" s="158">
        <v>225000.58</v>
      </c>
      <c r="AA456" s="158">
        <v>1</v>
      </c>
      <c r="AB456" s="158">
        <v>98.88</v>
      </c>
      <c r="AD456" s="158">
        <v>222.48099999999999</v>
      </c>
      <c r="AG456" s="11" t="s">
        <v>37</v>
      </c>
      <c r="AH456" s="189">
        <v>2.5219999999999999E-3</v>
      </c>
      <c r="AI456" s="189">
        <v>7.2594473194076403E-4</v>
      </c>
      <c r="AJ456" s="189">
        <v>1.2096112865322E-4</v>
      </c>
    </row>
    <row r="457" spans="1:36">
      <c r="A457" s="11" t="s">
        <v>256</v>
      </c>
      <c r="B457" s="11">
        <v>7205</v>
      </c>
      <c r="C457" s="11" t="s">
        <v>1686</v>
      </c>
      <c r="D457" s="11" t="s">
        <v>1687</v>
      </c>
      <c r="E457" s="4" t="s">
        <v>1552</v>
      </c>
      <c r="F457" s="11" t="s">
        <v>2252</v>
      </c>
      <c r="G457" s="11" t="s">
        <v>2253</v>
      </c>
      <c r="H457" s="11" t="s">
        <v>511</v>
      </c>
      <c r="I457" s="11" t="s">
        <v>1155</v>
      </c>
      <c r="J457" s="11" t="s">
        <v>31</v>
      </c>
      <c r="K457" s="11" t="s">
        <v>31</v>
      </c>
      <c r="L457" s="11" t="s">
        <v>517</v>
      </c>
      <c r="M457" s="11" t="s">
        <v>32</v>
      </c>
      <c r="N457" s="11" t="s">
        <v>629</v>
      </c>
      <c r="O457" s="11" t="s">
        <v>312</v>
      </c>
      <c r="P457" s="11" t="s">
        <v>2165</v>
      </c>
      <c r="Q457" s="27" t="s">
        <v>2165</v>
      </c>
      <c r="R457" s="16" t="s">
        <v>2165</v>
      </c>
      <c r="S457" s="11" t="s">
        <v>35</v>
      </c>
      <c r="T457" s="158">
        <v>1.96</v>
      </c>
      <c r="U457" s="11" t="s">
        <v>2203</v>
      </c>
      <c r="V457" s="174">
        <v>2.5000000000000001E-2</v>
      </c>
      <c r="W457" s="189">
        <v>8.133E-2</v>
      </c>
      <c r="X457" s="4" t="s">
        <v>602</v>
      </c>
      <c r="Y457" s="4" t="s">
        <v>312</v>
      </c>
      <c r="Z457" s="158">
        <v>1412912</v>
      </c>
      <c r="AA457" s="158">
        <v>1</v>
      </c>
      <c r="AB457" s="158">
        <v>90.1</v>
      </c>
      <c r="AD457" s="158">
        <v>1273.0340000000001</v>
      </c>
      <c r="AG457" s="11" t="s">
        <v>37</v>
      </c>
      <c r="AH457" s="189">
        <v>4.2209999999999999E-3</v>
      </c>
      <c r="AI457" s="189">
        <v>4.15385533331871E-3</v>
      </c>
      <c r="AJ457" s="189">
        <v>6.9213950769661005E-4</v>
      </c>
    </row>
    <row r="458" spans="1:36">
      <c r="A458" s="11" t="s">
        <v>256</v>
      </c>
      <c r="B458" s="11">
        <v>7205</v>
      </c>
      <c r="C458" s="11" t="s">
        <v>1694</v>
      </c>
      <c r="D458" s="11" t="s">
        <v>1695</v>
      </c>
      <c r="E458" s="4" t="s">
        <v>1552</v>
      </c>
      <c r="F458" s="11" t="s">
        <v>2254</v>
      </c>
      <c r="G458" s="11" t="s">
        <v>2255</v>
      </c>
      <c r="H458" s="11" t="s">
        <v>511</v>
      </c>
      <c r="I458" s="11" t="s">
        <v>945</v>
      </c>
      <c r="J458" s="11" t="s">
        <v>31</v>
      </c>
      <c r="K458" s="11" t="s">
        <v>31</v>
      </c>
      <c r="L458" s="11" t="s">
        <v>517</v>
      </c>
      <c r="M458" s="11" t="s">
        <v>32</v>
      </c>
      <c r="N458" s="11" t="s">
        <v>652</v>
      </c>
      <c r="O458" s="11" t="s">
        <v>312</v>
      </c>
      <c r="P458" s="11" t="s">
        <v>2165</v>
      </c>
      <c r="Q458" s="27" t="s">
        <v>2165</v>
      </c>
      <c r="R458" s="16" t="s">
        <v>2165</v>
      </c>
      <c r="S458" s="11" t="s">
        <v>35</v>
      </c>
      <c r="T458" s="158">
        <v>2.5609999999999999</v>
      </c>
      <c r="U458" s="11" t="s">
        <v>2256</v>
      </c>
      <c r="V458" s="174">
        <v>1.9E-2</v>
      </c>
      <c r="W458" s="189">
        <v>3.7080000000000002E-2</v>
      </c>
      <c r="X458" s="4" t="s">
        <v>602</v>
      </c>
      <c r="Y458" s="4" t="s">
        <v>312</v>
      </c>
      <c r="Z458" s="158">
        <v>846372.85</v>
      </c>
      <c r="AA458" s="158">
        <v>1</v>
      </c>
      <c r="AB458" s="158">
        <v>104.67</v>
      </c>
      <c r="AD458" s="158">
        <v>885.89800000000002</v>
      </c>
      <c r="AG458" s="11" t="s">
        <v>37</v>
      </c>
      <c r="AH458" s="189">
        <v>1.459E-3</v>
      </c>
      <c r="AI458" s="189">
        <v>2.8906493338427498E-3</v>
      </c>
      <c r="AJ458" s="189">
        <v>4.8165678539675399E-4</v>
      </c>
    </row>
    <row r="459" spans="1:36">
      <c r="A459" s="11" t="s">
        <v>256</v>
      </c>
      <c r="B459" s="11">
        <v>7205</v>
      </c>
      <c r="C459" s="11" t="s">
        <v>1694</v>
      </c>
      <c r="D459" s="11" t="s">
        <v>1695</v>
      </c>
      <c r="E459" s="4" t="s">
        <v>1552</v>
      </c>
      <c r="F459" s="11" t="s">
        <v>2257</v>
      </c>
      <c r="G459" s="11" t="s">
        <v>2255</v>
      </c>
      <c r="H459" s="11" t="s">
        <v>511</v>
      </c>
      <c r="I459" s="11" t="s">
        <v>945</v>
      </c>
      <c r="J459" s="11" t="s">
        <v>31</v>
      </c>
      <c r="K459" s="11" t="s">
        <v>31</v>
      </c>
      <c r="L459" s="16" t="s">
        <v>519</v>
      </c>
      <c r="M459" s="11" t="s">
        <v>32</v>
      </c>
      <c r="N459" s="11" t="s">
        <v>652</v>
      </c>
      <c r="O459" s="11" t="s">
        <v>312</v>
      </c>
      <c r="P459" s="11" t="s">
        <v>2165</v>
      </c>
      <c r="Q459" s="27" t="s">
        <v>2165</v>
      </c>
      <c r="R459" s="16" t="s">
        <v>2165</v>
      </c>
      <c r="S459" s="11" t="s">
        <v>35</v>
      </c>
      <c r="T459" s="158">
        <v>2.59</v>
      </c>
      <c r="U459" s="11" t="s">
        <v>2256</v>
      </c>
      <c r="V459" s="174">
        <v>1.9E-2</v>
      </c>
      <c r="W459" s="189">
        <v>3.7190000000000001E-2</v>
      </c>
      <c r="X459" s="4" t="s">
        <v>602</v>
      </c>
      <c r="Y459" s="4" t="s">
        <v>312</v>
      </c>
      <c r="Z459" s="158">
        <v>1060000</v>
      </c>
      <c r="AA459" s="158">
        <v>1</v>
      </c>
      <c r="AB459" s="158">
        <v>104.67</v>
      </c>
      <c r="AD459" s="158">
        <v>1109.502</v>
      </c>
      <c r="AG459" s="11" t="s">
        <v>37</v>
      </c>
      <c r="AH459" s="189">
        <v>0</v>
      </c>
      <c r="AI459" s="189">
        <v>3.6202582512817002E-3</v>
      </c>
      <c r="AJ459" s="189">
        <v>6.0322846192497703E-4</v>
      </c>
    </row>
    <row r="460" spans="1:36">
      <c r="A460" s="11" t="s">
        <v>256</v>
      </c>
      <c r="B460" s="11">
        <v>7205</v>
      </c>
      <c r="C460" s="11" t="s">
        <v>2258</v>
      </c>
      <c r="D460" s="11" t="s">
        <v>2259</v>
      </c>
      <c r="E460" s="4" t="s">
        <v>1552</v>
      </c>
      <c r="F460" s="11" t="s">
        <v>2260</v>
      </c>
      <c r="G460" s="11" t="s">
        <v>2261</v>
      </c>
      <c r="H460" s="11" t="s">
        <v>511</v>
      </c>
      <c r="I460" s="11" t="s">
        <v>945</v>
      </c>
      <c r="J460" s="11" t="s">
        <v>31</v>
      </c>
      <c r="K460" s="11" t="s">
        <v>31</v>
      </c>
      <c r="L460" s="11" t="s">
        <v>517</v>
      </c>
      <c r="M460" s="11" t="s">
        <v>32</v>
      </c>
      <c r="N460" s="11" t="s">
        <v>652</v>
      </c>
      <c r="O460" s="11" t="s">
        <v>312</v>
      </c>
      <c r="P460" s="11" t="s">
        <v>2161</v>
      </c>
      <c r="Q460" s="11" t="s">
        <v>358</v>
      </c>
      <c r="R460" s="11" t="s">
        <v>596</v>
      </c>
      <c r="S460" s="11" t="s">
        <v>35</v>
      </c>
      <c r="T460" s="158">
        <v>3.6779999999999999</v>
      </c>
      <c r="U460" s="11" t="s">
        <v>2262</v>
      </c>
      <c r="V460" s="174">
        <v>1.83E-2</v>
      </c>
      <c r="W460" s="189">
        <v>3.1600000000000003E-2</v>
      </c>
      <c r="X460" s="4" t="s">
        <v>602</v>
      </c>
      <c r="Y460" s="4" t="s">
        <v>312</v>
      </c>
      <c r="Z460" s="158">
        <v>72618.75</v>
      </c>
      <c r="AA460" s="158">
        <v>1</v>
      </c>
      <c r="AB460" s="158">
        <v>108.49</v>
      </c>
      <c r="AD460" s="158">
        <v>78.784000000000006</v>
      </c>
      <c r="AG460" s="11" t="s">
        <v>37</v>
      </c>
      <c r="AH460" s="189">
        <v>3.7199999999999999E-4</v>
      </c>
      <c r="AI460" s="189">
        <v>2.5706913775515701E-4</v>
      </c>
      <c r="AJ460" s="189">
        <v>4.28343531905555E-5</v>
      </c>
    </row>
    <row r="461" spans="1:36">
      <c r="A461" s="11" t="s">
        <v>256</v>
      </c>
      <c r="B461" s="11">
        <v>7205</v>
      </c>
      <c r="C461" s="11" t="s">
        <v>2258</v>
      </c>
      <c r="D461" s="11" t="s">
        <v>2259</v>
      </c>
      <c r="E461" s="4" t="s">
        <v>1552</v>
      </c>
      <c r="F461" s="11" t="s">
        <v>2263</v>
      </c>
      <c r="G461" s="11" t="s">
        <v>2264</v>
      </c>
      <c r="H461" s="11" t="s">
        <v>511</v>
      </c>
      <c r="I461" s="11" t="s">
        <v>945</v>
      </c>
      <c r="J461" s="11" t="s">
        <v>31</v>
      </c>
      <c r="K461" s="11" t="s">
        <v>31</v>
      </c>
      <c r="L461" s="11" t="s">
        <v>517</v>
      </c>
      <c r="M461" s="11" t="s">
        <v>32</v>
      </c>
      <c r="N461" s="11" t="s">
        <v>652</v>
      </c>
      <c r="O461" s="11" t="s">
        <v>312</v>
      </c>
      <c r="P461" s="11" t="s">
        <v>2161</v>
      </c>
      <c r="Q461" s="11" t="s">
        <v>358</v>
      </c>
      <c r="R461" s="11" t="s">
        <v>596</v>
      </c>
      <c r="S461" s="11" t="s">
        <v>35</v>
      </c>
      <c r="T461" s="158">
        <v>4.1399999999999997</v>
      </c>
      <c r="U461" s="11" t="s">
        <v>2170</v>
      </c>
      <c r="V461" s="174">
        <v>1.5299999999999999E-2</v>
      </c>
      <c r="W461" s="189">
        <v>3.2820000000000002E-2</v>
      </c>
      <c r="X461" s="4" t="s">
        <v>602</v>
      </c>
      <c r="Y461" s="4" t="s">
        <v>312</v>
      </c>
      <c r="Z461" s="158">
        <v>355945.06</v>
      </c>
      <c r="AA461" s="158">
        <v>1</v>
      </c>
      <c r="AB461" s="158">
        <v>105.9</v>
      </c>
      <c r="AC461" s="158">
        <v>14.609</v>
      </c>
      <c r="AD461" s="158">
        <v>391.55500000000001</v>
      </c>
      <c r="AG461" s="11" t="s">
        <v>37</v>
      </c>
      <c r="AH461" s="189">
        <v>9.2699999999999998E-4</v>
      </c>
      <c r="AI461" s="189">
        <v>1.2776267024625801E-3</v>
      </c>
      <c r="AJ461" s="189">
        <v>2.1288558360938001E-4</v>
      </c>
    </row>
    <row r="462" spans="1:36">
      <c r="A462" s="11" t="s">
        <v>256</v>
      </c>
      <c r="B462" s="11">
        <v>7205</v>
      </c>
      <c r="C462" s="11" t="s">
        <v>1698</v>
      </c>
      <c r="D462" s="11" t="s">
        <v>1699</v>
      </c>
      <c r="E462" s="4" t="s">
        <v>1552</v>
      </c>
      <c r="F462" s="11" t="s">
        <v>2265</v>
      </c>
      <c r="G462" s="11" t="s">
        <v>2266</v>
      </c>
      <c r="H462" s="11" t="s">
        <v>511</v>
      </c>
      <c r="I462" s="11" t="s">
        <v>364</v>
      </c>
      <c r="J462" s="11" t="s">
        <v>31</v>
      </c>
      <c r="K462" s="11" t="s">
        <v>31</v>
      </c>
      <c r="L462" s="11" t="s">
        <v>517</v>
      </c>
      <c r="M462" s="11" t="s">
        <v>32</v>
      </c>
      <c r="N462" s="11" t="s">
        <v>628</v>
      </c>
      <c r="O462" s="11" t="s">
        <v>312</v>
      </c>
      <c r="P462" s="11" t="s">
        <v>2161</v>
      </c>
      <c r="Q462" s="11" t="s">
        <v>358</v>
      </c>
      <c r="R462" s="11" t="s">
        <v>596</v>
      </c>
      <c r="S462" s="11" t="s">
        <v>35</v>
      </c>
      <c r="T462" s="158">
        <v>0.76</v>
      </c>
      <c r="U462" s="11" t="s">
        <v>2267</v>
      </c>
      <c r="V462" s="174">
        <v>4.7E-2</v>
      </c>
      <c r="W462" s="189">
        <v>7.9450000000000007E-2</v>
      </c>
      <c r="X462" s="4" t="s">
        <v>602</v>
      </c>
      <c r="Y462" s="4" t="s">
        <v>312</v>
      </c>
      <c r="Z462" s="158">
        <v>160890</v>
      </c>
      <c r="AA462" s="158">
        <v>1</v>
      </c>
      <c r="AB462" s="158">
        <v>102.06</v>
      </c>
      <c r="AD462" s="158">
        <v>164.20400000000001</v>
      </c>
      <c r="AG462" s="11" t="s">
        <v>37</v>
      </c>
      <c r="AH462" s="189">
        <v>4.37E-4</v>
      </c>
      <c r="AI462" s="189">
        <v>5.3579181926640697E-4</v>
      </c>
      <c r="AJ462" s="189">
        <v>8.9276745639246395E-5</v>
      </c>
    </row>
    <row r="463" spans="1:36">
      <c r="A463" s="11" t="s">
        <v>256</v>
      </c>
      <c r="B463" s="11">
        <v>7205</v>
      </c>
      <c r="C463" s="11" t="s">
        <v>2857</v>
      </c>
      <c r="D463" s="11" t="s">
        <v>2858</v>
      </c>
      <c r="E463" s="4" t="s">
        <v>1552</v>
      </c>
      <c r="F463" s="11" t="s">
        <v>2859</v>
      </c>
      <c r="G463" s="11" t="s">
        <v>2860</v>
      </c>
      <c r="H463" s="11" t="s">
        <v>511</v>
      </c>
      <c r="I463" s="11" t="s">
        <v>1154</v>
      </c>
      <c r="J463" s="11" t="s">
        <v>31</v>
      </c>
      <c r="K463" s="11" t="s">
        <v>31</v>
      </c>
      <c r="L463" s="11" t="s">
        <v>517</v>
      </c>
      <c r="M463" s="11" t="s">
        <v>32</v>
      </c>
      <c r="N463" s="11" t="s">
        <v>673</v>
      </c>
      <c r="O463" s="11" t="s">
        <v>312</v>
      </c>
      <c r="P463" s="11" t="s">
        <v>2206</v>
      </c>
      <c r="Q463" s="11" t="s">
        <v>604</v>
      </c>
      <c r="R463" s="11" t="s">
        <v>596</v>
      </c>
      <c r="S463" s="11" t="s">
        <v>35</v>
      </c>
      <c r="T463" s="158">
        <v>2.323</v>
      </c>
      <c r="U463" s="11" t="s">
        <v>2670</v>
      </c>
      <c r="V463" s="174">
        <v>3.6499999999999998E-2</v>
      </c>
      <c r="W463" s="189">
        <v>5.7189999999999998E-2</v>
      </c>
      <c r="X463" s="4" t="s">
        <v>602</v>
      </c>
      <c r="Y463" s="4" t="s">
        <v>312</v>
      </c>
      <c r="Z463" s="158">
        <v>1296493</v>
      </c>
      <c r="AA463" s="158">
        <v>1</v>
      </c>
      <c r="AB463" s="158">
        <v>95.7</v>
      </c>
      <c r="AD463" s="158">
        <v>1240.7439999999999</v>
      </c>
      <c r="AG463" s="11" t="s">
        <v>37</v>
      </c>
      <c r="AH463" s="189">
        <v>6.4499999999999996E-4</v>
      </c>
      <c r="AI463" s="189">
        <v>4.04849471501347E-3</v>
      </c>
      <c r="AJ463" s="189">
        <v>6.7458370937607999E-4</v>
      </c>
    </row>
    <row r="464" spans="1:36">
      <c r="A464" s="11" t="s">
        <v>256</v>
      </c>
      <c r="B464" s="11">
        <v>7205</v>
      </c>
      <c r="C464" s="11" t="s">
        <v>1706</v>
      </c>
      <c r="D464" s="11" t="s">
        <v>1707</v>
      </c>
      <c r="E464" s="4" t="s">
        <v>1552</v>
      </c>
      <c r="F464" s="11" t="s">
        <v>2268</v>
      </c>
      <c r="G464" s="11" t="s">
        <v>2269</v>
      </c>
      <c r="H464" s="11" t="s">
        <v>511</v>
      </c>
      <c r="I464" s="11" t="s">
        <v>945</v>
      </c>
      <c r="J464" s="11" t="s">
        <v>31</v>
      </c>
      <c r="K464" s="11" t="s">
        <v>31</v>
      </c>
      <c r="L464" s="11" t="s">
        <v>517</v>
      </c>
      <c r="M464" s="11" t="s">
        <v>32</v>
      </c>
      <c r="N464" s="11" t="s">
        <v>652</v>
      </c>
      <c r="O464" s="11" t="s">
        <v>312</v>
      </c>
      <c r="P464" s="11" t="s">
        <v>2225</v>
      </c>
      <c r="Q464" s="11" t="s">
        <v>604</v>
      </c>
      <c r="R464" s="11" t="s">
        <v>596</v>
      </c>
      <c r="S464" s="11" t="s">
        <v>35</v>
      </c>
      <c r="T464" s="158">
        <v>1.6759999999999999</v>
      </c>
      <c r="U464" s="11" t="s">
        <v>2270</v>
      </c>
      <c r="V464" s="174">
        <v>1.34E-2</v>
      </c>
      <c r="W464" s="189">
        <v>2.4400000000000002E-2</v>
      </c>
      <c r="X464" s="4" t="s">
        <v>602</v>
      </c>
      <c r="Y464" s="4" t="s">
        <v>312</v>
      </c>
      <c r="Z464" s="158">
        <v>1112011.51</v>
      </c>
      <c r="AA464" s="158">
        <v>1</v>
      </c>
      <c r="AB464" s="158">
        <v>112.6</v>
      </c>
      <c r="AD464" s="158">
        <v>1252.125</v>
      </c>
      <c r="AG464" s="11" t="s">
        <v>37</v>
      </c>
      <c r="AH464" s="189">
        <v>2.2590000000000002E-3</v>
      </c>
      <c r="AI464" s="189">
        <v>4.0856309578685204E-3</v>
      </c>
      <c r="AJ464" s="189">
        <v>6.8077156590570602E-4</v>
      </c>
    </row>
    <row r="465" spans="1:36">
      <c r="A465" s="11" t="s">
        <v>256</v>
      </c>
      <c r="B465" s="11">
        <v>7205</v>
      </c>
      <c r="C465" s="11" t="s">
        <v>1706</v>
      </c>
      <c r="D465" s="11" t="s">
        <v>1707</v>
      </c>
      <c r="E465" s="4" t="s">
        <v>1552</v>
      </c>
      <c r="F465" s="11" t="s">
        <v>2271</v>
      </c>
      <c r="G465" s="11" t="s">
        <v>2272</v>
      </c>
      <c r="H465" s="11" t="s">
        <v>511</v>
      </c>
      <c r="I465" s="11" t="s">
        <v>945</v>
      </c>
      <c r="J465" s="11" t="s">
        <v>31</v>
      </c>
      <c r="K465" s="11" t="s">
        <v>31</v>
      </c>
      <c r="L465" s="11" t="s">
        <v>517</v>
      </c>
      <c r="M465" s="11" t="s">
        <v>32</v>
      </c>
      <c r="N465" s="11" t="s">
        <v>652</v>
      </c>
      <c r="O465" s="11" t="s">
        <v>312</v>
      </c>
      <c r="P465" s="11" t="s">
        <v>2169</v>
      </c>
      <c r="Q465" s="11" t="s">
        <v>358</v>
      </c>
      <c r="R465" s="11" t="s">
        <v>596</v>
      </c>
      <c r="S465" s="11" t="s">
        <v>35</v>
      </c>
      <c r="T465" s="158">
        <v>5.5919999999999996</v>
      </c>
      <c r="U465" s="11" t="s">
        <v>2273</v>
      </c>
      <c r="V465" s="174">
        <v>2.5999999999999999E-2</v>
      </c>
      <c r="W465" s="189">
        <v>3.1829999999999997E-2</v>
      </c>
      <c r="X465" s="4" t="s">
        <v>602</v>
      </c>
      <c r="Y465" s="4" t="s">
        <v>312</v>
      </c>
      <c r="Z465" s="158">
        <v>1019480</v>
      </c>
      <c r="AA465" s="158">
        <v>1</v>
      </c>
      <c r="AB465" s="158">
        <v>98.8</v>
      </c>
      <c r="AC465" s="158">
        <v>13.986000000000001</v>
      </c>
      <c r="AD465" s="158">
        <v>1021.2329999999999</v>
      </c>
      <c r="AG465" s="11" t="s">
        <v>37</v>
      </c>
      <c r="AH465" s="189">
        <v>1.902E-3</v>
      </c>
      <c r="AI465" s="189">
        <v>3.3322391814061898E-3</v>
      </c>
      <c r="AJ465" s="189">
        <v>5.5523705123913401E-4</v>
      </c>
    </row>
    <row r="466" spans="1:36">
      <c r="A466" s="11" t="s">
        <v>256</v>
      </c>
      <c r="B466" s="11">
        <v>7205</v>
      </c>
      <c r="C466" s="11" t="s">
        <v>1706</v>
      </c>
      <c r="D466" s="11" t="s">
        <v>1707</v>
      </c>
      <c r="E466" s="4" t="s">
        <v>1552</v>
      </c>
      <c r="F466" s="11" t="s">
        <v>2274</v>
      </c>
      <c r="G466" s="11" t="s">
        <v>2275</v>
      </c>
      <c r="H466" s="11" t="s">
        <v>511</v>
      </c>
      <c r="I466" s="11" t="s">
        <v>945</v>
      </c>
      <c r="J466" s="11" t="s">
        <v>31</v>
      </c>
      <c r="K466" s="11" t="s">
        <v>31</v>
      </c>
      <c r="L466" s="11" t="s">
        <v>517</v>
      </c>
      <c r="M466" s="11" t="s">
        <v>32</v>
      </c>
      <c r="N466" s="11" t="s">
        <v>652</v>
      </c>
      <c r="O466" s="11" t="s">
        <v>312</v>
      </c>
      <c r="P466" s="11" t="s">
        <v>2169</v>
      </c>
      <c r="Q466" s="11" t="s">
        <v>358</v>
      </c>
      <c r="R466" s="11" t="s">
        <v>596</v>
      </c>
      <c r="S466" s="11" t="s">
        <v>35</v>
      </c>
      <c r="T466" s="158">
        <v>3.1429999999999998</v>
      </c>
      <c r="U466" s="11" t="s">
        <v>2276</v>
      </c>
      <c r="V466" s="174">
        <v>1.8200000000000001E-2</v>
      </c>
      <c r="W466" s="189">
        <v>2.6210000000000001E-2</v>
      </c>
      <c r="X466" s="4" t="s">
        <v>602</v>
      </c>
      <c r="Y466" s="4" t="s">
        <v>312</v>
      </c>
      <c r="Z466" s="158">
        <v>54964.19</v>
      </c>
      <c r="AA466" s="158">
        <v>1</v>
      </c>
      <c r="AB466" s="158">
        <v>110.75</v>
      </c>
      <c r="AD466" s="158">
        <v>60.872999999999998</v>
      </c>
      <c r="AG466" s="11" t="s">
        <v>37</v>
      </c>
      <c r="AH466" s="189">
        <v>1.1E-4</v>
      </c>
      <c r="AI466" s="189">
        <v>1.9862551201129899E-4</v>
      </c>
      <c r="AJ466" s="189">
        <v>3.3096136737542902E-5</v>
      </c>
    </row>
    <row r="467" spans="1:36">
      <c r="A467" s="11" t="s">
        <v>256</v>
      </c>
      <c r="B467" s="11">
        <v>7205</v>
      </c>
      <c r="C467" s="11" t="s">
        <v>1706</v>
      </c>
      <c r="D467" s="11" t="s">
        <v>1707</v>
      </c>
      <c r="E467" s="4" t="s">
        <v>1552</v>
      </c>
      <c r="F467" s="11" t="s">
        <v>2277</v>
      </c>
      <c r="G467" s="11" t="s">
        <v>2278</v>
      </c>
      <c r="H467" s="11" t="s">
        <v>511</v>
      </c>
      <c r="I467" s="11" t="s">
        <v>945</v>
      </c>
      <c r="J467" s="11" t="s">
        <v>31</v>
      </c>
      <c r="K467" s="11" t="s">
        <v>31</v>
      </c>
      <c r="L467" s="11" t="s">
        <v>517</v>
      </c>
      <c r="M467" s="11" t="s">
        <v>32</v>
      </c>
      <c r="N467" s="11" t="s">
        <v>652</v>
      </c>
      <c r="O467" s="11" t="s">
        <v>312</v>
      </c>
      <c r="P467" s="11" t="s">
        <v>2169</v>
      </c>
      <c r="Q467" s="11" t="s">
        <v>358</v>
      </c>
      <c r="R467" s="11" t="s">
        <v>596</v>
      </c>
      <c r="S467" s="11" t="s">
        <v>35</v>
      </c>
      <c r="T467" s="158">
        <v>1.3640000000000001</v>
      </c>
      <c r="U467" s="11" t="s">
        <v>2279</v>
      </c>
      <c r="V467" s="174">
        <v>2E-3</v>
      </c>
      <c r="W467" s="189">
        <v>2.3019999999999999E-2</v>
      </c>
      <c r="X467" s="4" t="s">
        <v>602</v>
      </c>
      <c r="Y467" s="4" t="s">
        <v>312</v>
      </c>
      <c r="Z467" s="158">
        <v>2744561.32</v>
      </c>
      <c r="AA467" s="158">
        <v>1</v>
      </c>
      <c r="AB467" s="158">
        <v>109.12</v>
      </c>
      <c r="AD467" s="158">
        <v>2994.8649999999998</v>
      </c>
      <c r="AG467" s="11" t="s">
        <v>37</v>
      </c>
      <c r="AH467" s="189">
        <v>8.7130000000000003E-3</v>
      </c>
      <c r="AI467" s="189">
        <v>9.7721192558783403E-3</v>
      </c>
      <c r="AJ467" s="189">
        <v>1.62828728209761E-3</v>
      </c>
    </row>
    <row r="468" spans="1:36">
      <c r="A468" s="11" t="s">
        <v>256</v>
      </c>
      <c r="B468" s="11">
        <v>7205</v>
      </c>
      <c r="C468" s="11" t="s">
        <v>2280</v>
      </c>
      <c r="D468" s="11" t="s">
        <v>2281</v>
      </c>
      <c r="E468" s="4" t="s">
        <v>1552</v>
      </c>
      <c r="F468" s="11" t="s">
        <v>2282</v>
      </c>
      <c r="G468" s="11" t="s">
        <v>2283</v>
      </c>
      <c r="H468" s="11" t="s">
        <v>511</v>
      </c>
      <c r="I468" s="11" t="s">
        <v>945</v>
      </c>
      <c r="J468" s="11" t="s">
        <v>31</v>
      </c>
      <c r="K468" s="11" t="s">
        <v>31</v>
      </c>
      <c r="L468" s="11" t="s">
        <v>517</v>
      </c>
      <c r="M468" s="11" t="s">
        <v>32</v>
      </c>
      <c r="N468" s="11" t="s">
        <v>636</v>
      </c>
      <c r="O468" s="11" t="s">
        <v>312</v>
      </c>
      <c r="P468" s="11" t="s">
        <v>157</v>
      </c>
      <c r="Q468" s="11" t="s">
        <v>604</v>
      </c>
      <c r="R468" s="11" t="s">
        <v>596</v>
      </c>
      <c r="S468" s="11" t="s">
        <v>35</v>
      </c>
      <c r="T468" s="158">
        <v>1.1910000000000001</v>
      </c>
      <c r="U468" s="11" t="s">
        <v>2284</v>
      </c>
      <c r="V468" s="174">
        <v>1E-3</v>
      </c>
      <c r="W468" s="189">
        <v>2.1839999999999998E-2</v>
      </c>
      <c r="X468" s="4" t="s">
        <v>602</v>
      </c>
      <c r="Y468" s="4" t="s">
        <v>312</v>
      </c>
      <c r="Z468" s="158">
        <v>3311027</v>
      </c>
      <c r="AA468" s="158">
        <v>1</v>
      </c>
      <c r="AB468" s="158">
        <v>110.18</v>
      </c>
      <c r="AD468" s="158">
        <v>3648.09</v>
      </c>
      <c r="AG468" s="11" t="s">
        <v>37</v>
      </c>
      <c r="AH468" s="189">
        <v>2.2070000000000002E-3</v>
      </c>
      <c r="AI468" s="189">
        <v>1.1903562399827801E-2</v>
      </c>
      <c r="AJ468" s="189">
        <v>1.9834407214827602E-3</v>
      </c>
    </row>
    <row r="469" spans="1:36">
      <c r="A469" s="11" t="s">
        <v>256</v>
      </c>
      <c r="B469" s="11">
        <v>7205</v>
      </c>
      <c r="C469" s="11" t="s">
        <v>2280</v>
      </c>
      <c r="D469" s="11" t="s">
        <v>2281</v>
      </c>
      <c r="E469" s="4" t="s">
        <v>1552</v>
      </c>
      <c r="F469" s="11" t="s">
        <v>2285</v>
      </c>
      <c r="G469" s="11" t="s">
        <v>2286</v>
      </c>
      <c r="H469" s="11" t="s">
        <v>511</v>
      </c>
      <c r="I469" s="11" t="s">
        <v>945</v>
      </c>
      <c r="J469" s="11" t="s">
        <v>31</v>
      </c>
      <c r="K469" s="11" t="s">
        <v>31</v>
      </c>
      <c r="L469" s="11" t="s">
        <v>517</v>
      </c>
      <c r="M469" s="11" t="s">
        <v>32</v>
      </c>
      <c r="N469" s="11" t="s">
        <v>636</v>
      </c>
      <c r="O469" s="11" t="s">
        <v>312</v>
      </c>
      <c r="P469" s="11" t="s">
        <v>157</v>
      </c>
      <c r="Q469" s="11" t="s">
        <v>604</v>
      </c>
      <c r="R469" s="11" t="s">
        <v>596</v>
      </c>
      <c r="S469" s="11" t="s">
        <v>35</v>
      </c>
      <c r="T469" s="158">
        <v>2.4159999999999999</v>
      </c>
      <c r="U469" s="11" t="s">
        <v>2287</v>
      </c>
      <c r="V469" s="174">
        <v>1E-3</v>
      </c>
      <c r="W469" s="189">
        <v>2.0709999999999999E-2</v>
      </c>
      <c r="X469" s="4" t="s">
        <v>602</v>
      </c>
      <c r="Y469" s="4" t="s">
        <v>312</v>
      </c>
      <c r="Z469" s="158">
        <v>4219445</v>
      </c>
      <c r="AA469" s="158">
        <v>1</v>
      </c>
      <c r="AB469" s="158">
        <v>105.49</v>
      </c>
      <c r="AD469" s="158">
        <v>4451.0929999999998</v>
      </c>
      <c r="AG469" s="11" t="s">
        <v>37</v>
      </c>
      <c r="AH469" s="189">
        <v>9.0379999999999992E-3</v>
      </c>
      <c r="AI469" s="189">
        <v>1.45237272765268E-2</v>
      </c>
      <c r="AJ469" s="189">
        <v>2.4200278152353601E-3</v>
      </c>
    </row>
    <row r="470" spans="1:36">
      <c r="A470" s="11" t="s">
        <v>256</v>
      </c>
      <c r="B470" s="11">
        <v>7205</v>
      </c>
      <c r="C470" s="11" t="s">
        <v>1911</v>
      </c>
      <c r="D470" s="11" t="s">
        <v>1912</v>
      </c>
      <c r="E470" s="4" t="s">
        <v>1552</v>
      </c>
      <c r="F470" s="11" t="s">
        <v>2288</v>
      </c>
      <c r="G470" s="11" t="s">
        <v>2289</v>
      </c>
      <c r="H470" s="11" t="s">
        <v>511</v>
      </c>
      <c r="I470" s="11" t="s">
        <v>1154</v>
      </c>
      <c r="J470" s="11" t="s">
        <v>31</v>
      </c>
      <c r="K470" s="11" t="s">
        <v>31</v>
      </c>
      <c r="L470" s="11" t="s">
        <v>517</v>
      </c>
      <c r="M470" s="11" t="s">
        <v>32</v>
      </c>
      <c r="N470" s="11" t="s">
        <v>628</v>
      </c>
      <c r="O470" s="11" t="s">
        <v>312</v>
      </c>
      <c r="P470" s="11" t="s">
        <v>2206</v>
      </c>
      <c r="Q470" s="11" t="s">
        <v>604</v>
      </c>
      <c r="R470" s="11" t="s">
        <v>596</v>
      </c>
      <c r="S470" s="11" t="s">
        <v>35</v>
      </c>
      <c r="T470" s="158">
        <v>3.2530000000000001</v>
      </c>
      <c r="U470" s="11" t="s">
        <v>2290</v>
      </c>
      <c r="V470" s="174">
        <v>7.2499999999999995E-2</v>
      </c>
      <c r="W470" s="189">
        <v>6.3E-2</v>
      </c>
      <c r="X470" s="4" t="s">
        <v>602</v>
      </c>
      <c r="Y470" s="4" t="s">
        <v>312</v>
      </c>
      <c r="Z470" s="158">
        <v>637846.6</v>
      </c>
      <c r="AA470" s="158">
        <v>1</v>
      </c>
      <c r="AB470" s="158">
        <v>104.56</v>
      </c>
      <c r="AD470" s="158">
        <v>666.93200000000002</v>
      </c>
      <c r="AG470" s="11" t="s">
        <v>37</v>
      </c>
      <c r="AH470" s="189">
        <v>8.8599999999999996E-4</v>
      </c>
      <c r="AI470" s="189">
        <v>2.17617232064799E-3</v>
      </c>
      <c r="AJ470" s="189">
        <v>3.6260647466335898E-4</v>
      </c>
    </row>
    <row r="471" spans="1:36">
      <c r="A471" s="11" t="s">
        <v>256</v>
      </c>
      <c r="B471" s="11">
        <v>7205</v>
      </c>
      <c r="C471" s="11" t="s">
        <v>2291</v>
      </c>
      <c r="D471" s="11" t="s">
        <v>2292</v>
      </c>
      <c r="E471" s="4" t="s">
        <v>1552</v>
      </c>
      <c r="F471" s="11" t="s">
        <v>2293</v>
      </c>
      <c r="G471" s="11" t="s">
        <v>2294</v>
      </c>
      <c r="H471" s="11" t="s">
        <v>511</v>
      </c>
      <c r="I471" s="11" t="s">
        <v>1154</v>
      </c>
      <c r="J471" s="11" t="s">
        <v>31</v>
      </c>
      <c r="K471" s="11" t="s">
        <v>31</v>
      </c>
      <c r="L471" s="11" t="s">
        <v>517</v>
      </c>
      <c r="M471" s="11" t="s">
        <v>32</v>
      </c>
      <c r="N471" s="11" t="s">
        <v>651</v>
      </c>
      <c r="O471" s="11" t="s">
        <v>312</v>
      </c>
      <c r="P471" s="11" t="s">
        <v>2165</v>
      </c>
      <c r="Q471" s="27" t="s">
        <v>2165</v>
      </c>
      <c r="R471" s="16" t="s">
        <v>2165</v>
      </c>
      <c r="S471" s="11" t="s">
        <v>35</v>
      </c>
      <c r="T471" s="158">
        <v>3.8330000000000002</v>
      </c>
      <c r="U471" s="11" t="s">
        <v>2193</v>
      </c>
      <c r="V471" s="174">
        <v>7.5800000000000006E-2</v>
      </c>
      <c r="W471" s="189">
        <v>7.4499999999999997E-2</v>
      </c>
      <c r="X471" s="4" t="s">
        <v>602</v>
      </c>
      <c r="Y471" s="4" t="s">
        <v>312</v>
      </c>
      <c r="Z471" s="158">
        <v>638000</v>
      </c>
      <c r="AA471" s="158">
        <v>1</v>
      </c>
      <c r="AB471" s="158">
        <v>101.98</v>
      </c>
      <c r="AD471" s="158">
        <v>650.63199999999995</v>
      </c>
      <c r="AG471" s="11" t="s">
        <v>37</v>
      </c>
      <c r="AH471" s="189">
        <v>1.2269E-2</v>
      </c>
      <c r="AI471" s="189">
        <v>2.1229860916440199E-3</v>
      </c>
      <c r="AJ471" s="189">
        <v>3.5374427619829098E-4</v>
      </c>
    </row>
    <row r="472" spans="1:36">
      <c r="A472" s="11" t="s">
        <v>256</v>
      </c>
      <c r="B472" s="11">
        <v>7205</v>
      </c>
      <c r="C472" s="11" t="s">
        <v>2300</v>
      </c>
      <c r="D472" s="11" t="s">
        <v>2301</v>
      </c>
      <c r="E472" s="4" t="s">
        <v>1552</v>
      </c>
      <c r="F472" s="11" t="s">
        <v>2302</v>
      </c>
      <c r="G472" s="11" t="s">
        <v>2303</v>
      </c>
      <c r="H472" s="11" t="s">
        <v>511</v>
      </c>
      <c r="I472" s="11" t="s">
        <v>1154</v>
      </c>
      <c r="J472" s="11" t="s">
        <v>31</v>
      </c>
      <c r="K472" s="11" t="s">
        <v>31</v>
      </c>
      <c r="L472" s="11" t="s">
        <v>517</v>
      </c>
      <c r="M472" s="11" t="s">
        <v>32</v>
      </c>
      <c r="N472" s="11" t="s">
        <v>635</v>
      </c>
      <c r="O472" s="11" t="s">
        <v>312</v>
      </c>
      <c r="P472" s="11" t="s">
        <v>2165</v>
      </c>
      <c r="Q472" s="27" t="s">
        <v>2165</v>
      </c>
      <c r="R472" s="16" t="s">
        <v>2165</v>
      </c>
      <c r="S472" s="11" t="s">
        <v>35</v>
      </c>
      <c r="T472" s="158">
        <v>1.8959999999999999</v>
      </c>
      <c r="U472" s="11" t="s">
        <v>2203</v>
      </c>
      <c r="V472" s="174">
        <v>3.8699999999999998E-2</v>
      </c>
      <c r="W472" s="189">
        <v>6.3070000000000001E-2</v>
      </c>
      <c r="X472" s="4" t="s">
        <v>602</v>
      </c>
      <c r="Y472" s="4" t="s">
        <v>312</v>
      </c>
      <c r="Z472" s="158">
        <v>688047.29</v>
      </c>
      <c r="AA472" s="158">
        <v>1</v>
      </c>
      <c r="AB472" s="158">
        <v>95.78</v>
      </c>
      <c r="AD472" s="158">
        <v>659.01199999999994</v>
      </c>
      <c r="AG472" s="11" t="s">
        <v>37</v>
      </c>
      <c r="AH472" s="189">
        <v>2.085E-3</v>
      </c>
      <c r="AI472" s="189">
        <v>2.15032737589042E-3</v>
      </c>
      <c r="AJ472" s="189">
        <v>3.5830003982017399E-4</v>
      </c>
    </row>
    <row r="473" spans="1:36">
      <c r="A473" s="11" t="s">
        <v>256</v>
      </c>
      <c r="B473" s="11">
        <v>7205</v>
      </c>
      <c r="C473" s="11" t="s">
        <v>1714</v>
      </c>
      <c r="D473" s="11" t="s">
        <v>1715</v>
      </c>
      <c r="E473" s="4" t="s">
        <v>1552</v>
      </c>
      <c r="F473" s="11" t="s">
        <v>2304</v>
      </c>
      <c r="G473" s="11" t="s">
        <v>2305</v>
      </c>
      <c r="H473" s="11" t="s">
        <v>511</v>
      </c>
      <c r="I473" s="11" t="s">
        <v>945</v>
      </c>
      <c r="J473" s="11" t="s">
        <v>31</v>
      </c>
      <c r="K473" s="11" t="s">
        <v>489</v>
      </c>
      <c r="L473" s="11" t="s">
        <v>517</v>
      </c>
      <c r="M473" s="11" t="s">
        <v>32</v>
      </c>
      <c r="N473" s="11" t="s">
        <v>653</v>
      </c>
      <c r="O473" s="11" t="s">
        <v>312</v>
      </c>
      <c r="P473" s="11" t="s">
        <v>2206</v>
      </c>
      <c r="Q473" s="11" t="s">
        <v>604</v>
      </c>
      <c r="R473" s="11" t="s">
        <v>596</v>
      </c>
      <c r="S473" s="11" t="s">
        <v>35</v>
      </c>
      <c r="T473" s="158">
        <v>3.7690000000000001</v>
      </c>
      <c r="U473" s="11" t="s">
        <v>2183</v>
      </c>
      <c r="V473" s="174">
        <v>1.7500000000000002E-2</v>
      </c>
      <c r="W473" s="189">
        <v>5.8099999999999999E-2</v>
      </c>
      <c r="X473" s="4" t="s">
        <v>602</v>
      </c>
      <c r="Y473" s="4" t="s">
        <v>312</v>
      </c>
      <c r="Z473" s="158">
        <v>646621.87</v>
      </c>
      <c r="AA473" s="158">
        <v>1</v>
      </c>
      <c r="AB473" s="158">
        <v>95.82</v>
      </c>
      <c r="AD473" s="158">
        <v>619.59299999999996</v>
      </c>
      <c r="AG473" s="11" t="s">
        <v>37</v>
      </c>
      <c r="AH473" s="189">
        <v>5.5599999999999996E-4</v>
      </c>
      <c r="AI473" s="189">
        <v>2.0217060854555002E-3</v>
      </c>
      <c r="AJ473" s="189">
        <v>3.3686841317519901E-4</v>
      </c>
    </row>
    <row r="474" spans="1:36">
      <c r="A474" s="11" t="s">
        <v>256</v>
      </c>
      <c r="B474" s="11">
        <v>7205</v>
      </c>
      <c r="C474" s="11" t="s">
        <v>1714</v>
      </c>
      <c r="D474" s="11" t="s">
        <v>1715</v>
      </c>
      <c r="E474" s="4" t="s">
        <v>1552</v>
      </c>
      <c r="F474" s="11" t="s">
        <v>2306</v>
      </c>
      <c r="G474" s="11" t="s">
        <v>2307</v>
      </c>
      <c r="H474" s="11" t="s">
        <v>511</v>
      </c>
      <c r="I474" s="11" t="s">
        <v>1155</v>
      </c>
      <c r="J474" s="11" t="s">
        <v>31</v>
      </c>
      <c r="K474" s="11" t="s">
        <v>489</v>
      </c>
      <c r="L474" s="11" t="s">
        <v>517</v>
      </c>
      <c r="M474" s="11" t="s">
        <v>32</v>
      </c>
      <c r="N474" s="11" t="s">
        <v>653</v>
      </c>
      <c r="O474" s="11" t="s">
        <v>312</v>
      </c>
      <c r="P474" s="11" t="s">
        <v>2206</v>
      </c>
      <c r="Q474" s="11" t="s">
        <v>604</v>
      </c>
      <c r="R474" s="11" t="s">
        <v>596</v>
      </c>
      <c r="S474" s="11" t="s">
        <v>35</v>
      </c>
      <c r="T474" s="158">
        <v>4.1059999999999999</v>
      </c>
      <c r="U474" s="11" t="s">
        <v>2170</v>
      </c>
      <c r="V474" s="174">
        <v>5.5E-2</v>
      </c>
      <c r="W474" s="189">
        <v>7.6819999999999999E-2</v>
      </c>
      <c r="X474" s="4" t="s">
        <v>602</v>
      </c>
      <c r="Y474" s="4" t="s">
        <v>312</v>
      </c>
      <c r="Z474" s="158">
        <v>1170000</v>
      </c>
      <c r="AA474" s="158">
        <v>1</v>
      </c>
      <c r="AB474" s="158">
        <v>90.7</v>
      </c>
      <c r="AD474" s="158">
        <v>1061.19</v>
      </c>
      <c r="AG474" s="11" t="s">
        <v>37</v>
      </c>
      <c r="AH474" s="189">
        <v>2.0379999999999999E-3</v>
      </c>
      <c r="AI474" s="189">
        <v>3.4626182320334998E-3</v>
      </c>
      <c r="AJ474" s="189">
        <v>5.7696156609917401E-4</v>
      </c>
    </row>
    <row r="475" spans="1:36">
      <c r="A475" s="11" t="s">
        <v>256</v>
      </c>
      <c r="B475" s="11">
        <v>7205</v>
      </c>
      <c r="C475" s="11" t="s">
        <v>1714</v>
      </c>
      <c r="D475" s="11" t="s">
        <v>1715</v>
      </c>
      <c r="E475" s="4" t="s">
        <v>1552</v>
      </c>
      <c r="F475" s="11" t="s">
        <v>2308</v>
      </c>
      <c r="G475" s="11" t="s">
        <v>2309</v>
      </c>
      <c r="H475" s="11" t="s">
        <v>511</v>
      </c>
      <c r="I475" s="11" t="s">
        <v>945</v>
      </c>
      <c r="J475" s="11" t="s">
        <v>31</v>
      </c>
      <c r="K475" s="11" t="s">
        <v>489</v>
      </c>
      <c r="L475" s="11" t="s">
        <v>517</v>
      </c>
      <c r="M475" s="11" t="s">
        <v>32</v>
      </c>
      <c r="N475" s="11" t="s">
        <v>653</v>
      </c>
      <c r="O475" s="11" t="s">
        <v>312</v>
      </c>
      <c r="P475" s="11" t="s">
        <v>2206</v>
      </c>
      <c r="Q475" s="11" t="s">
        <v>604</v>
      </c>
      <c r="R475" s="11" t="s">
        <v>596</v>
      </c>
      <c r="S475" s="11" t="s">
        <v>35</v>
      </c>
      <c r="T475" s="158">
        <v>2.1059999999999999</v>
      </c>
      <c r="U475" s="11" t="s">
        <v>2180</v>
      </c>
      <c r="V475" s="174">
        <v>0.04</v>
      </c>
      <c r="W475" s="189">
        <v>5.1159999999999997E-2</v>
      </c>
      <c r="X475" s="4" t="s">
        <v>602</v>
      </c>
      <c r="Y475" s="4" t="s">
        <v>312</v>
      </c>
      <c r="Z475" s="158">
        <v>1137163.08</v>
      </c>
      <c r="AA475" s="158">
        <v>1</v>
      </c>
      <c r="AB475" s="158">
        <v>110.28</v>
      </c>
      <c r="AD475" s="158">
        <v>1254.0630000000001</v>
      </c>
      <c r="AG475" s="11" t="s">
        <v>37</v>
      </c>
      <c r="AH475" s="189">
        <v>5.2599999999999999E-4</v>
      </c>
      <c r="AI475" s="189">
        <v>4.0919561506250497E-3</v>
      </c>
      <c r="AJ475" s="189">
        <v>6.81825506269366E-4</v>
      </c>
    </row>
    <row r="476" spans="1:36">
      <c r="A476" s="11" t="s">
        <v>256</v>
      </c>
      <c r="B476" s="11">
        <v>7205</v>
      </c>
      <c r="C476" s="11" t="s">
        <v>1714</v>
      </c>
      <c r="D476" s="11" t="s">
        <v>1715</v>
      </c>
      <c r="E476" s="4" t="s">
        <v>1552</v>
      </c>
      <c r="F476" s="11" t="s">
        <v>2310</v>
      </c>
      <c r="G476" s="11" t="s">
        <v>2311</v>
      </c>
      <c r="H476" s="11" t="s">
        <v>511</v>
      </c>
      <c r="I476" s="11" t="s">
        <v>945</v>
      </c>
      <c r="J476" s="11" t="s">
        <v>31</v>
      </c>
      <c r="K476" s="11" t="s">
        <v>489</v>
      </c>
      <c r="L476" s="11" t="s">
        <v>517</v>
      </c>
      <c r="M476" s="11" t="s">
        <v>32</v>
      </c>
      <c r="N476" s="11" t="s">
        <v>653</v>
      </c>
      <c r="O476" s="11" t="s">
        <v>312</v>
      </c>
      <c r="P476" s="11" t="s">
        <v>174</v>
      </c>
      <c r="Q476" s="11" t="s">
        <v>604</v>
      </c>
      <c r="R476" s="11" t="s">
        <v>596</v>
      </c>
      <c r="S476" s="11" t="s">
        <v>35</v>
      </c>
      <c r="T476" s="158">
        <v>4.8680000000000003</v>
      </c>
      <c r="U476" s="11" t="s">
        <v>2312</v>
      </c>
      <c r="V476" s="174">
        <v>4.8300000000000003E-2</v>
      </c>
      <c r="W476" s="189">
        <v>4.6039999999999998E-2</v>
      </c>
      <c r="X476" s="4" t="s">
        <v>602</v>
      </c>
      <c r="Y476" s="4" t="s">
        <v>312</v>
      </c>
      <c r="Z476" s="158">
        <v>703000</v>
      </c>
      <c r="AA476" s="158">
        <v>1</v>
      </c>
      <c r="AB476" s="158">
        <v>104.35</v>
      </c>
      <c r="AD476" s="158">
        <v>733.58100000000002</v>
      </c>
      <c r="AG476" s="11" t="s">
        <v>37</v>
      </c>
      <c r="AH476" s="189">
        <v>1.7149999999999999E-3</v>
      </c>
      <c r="AI476" s="189">
        <v>2.3936422449931201E-3</v>
      </c>
      <c r="AJ476" s="189">
        <v>3.98842576861651E-4</v>
      </c>
    </row>
    <row r="477" spans="1:36">
      <c r="A477" s="11" t="s">
        <v>256</v>
      </c>
      <c r="B477" s="11">
        <v>7205</v>
      </c>
      <c r="C477" s="11" t="s">
        <v>2313</v>
      </c>
      <c r="D477" s="11" t="s">
        <v>2314</v>
      </c>
      <c r="E477" s="4" t="s">
        <v>1552</v>
      </c>
      <c r="F477" s="11" t="s">
        <v>2315</v>
      </c>
      <c r="G477" s="11" t="s">
        <v>2316</v>
      </c>
      <c r="H477" s="11" t="s">
        <v>511</v>
      </c>
      <c r="I477" s="11" t="s">
        <v>945</v>
      </c>
      <c r="J477" s="11" t="s">
        <v>31</v>
      </c>
      <c r="K477" s="11" t="s">
        <v>31</v>
      </c>
      <c r="L477" s="11" t="s">
        <v>517</v>
      </c>
      <c r="M477" s="11" t="s">
        <v>32</v>
      </c>
      <c r="N477" s="11" t="s">
        <v>652</v>
      </c>
      <c r="O477" s="11" t="s">
        <v>312</v>
      </c>
      <c r="P477" s="11" t="s">
        <v>168</v>
      </c>
      <c r="Q477" s="11" t="s">
        <v>604</v>
      </c>
      <c r="R477" s="11" t="s">
        <v>596</v>
      </c>
      <c r="S477" s="11" t="s">
        <v>35</v>
      </c>
      <c r="T477" s="158">
        <v>1.405</v>
      </c>
      <c r="U477" s="11" t="s">
        <v>2317</v>
      </c>
      <c r="V477" s="174">
        <v>2.5000000000000001E-2</v>
      </c>
      <c r="W477" s="189">
        <v>2.4649999999999998E-2</v>
      </c>
      <c r="X477" s="4" t="s">
        <v>602</v>
      </c>
      <c r="Y477" s="4" t="s">
        <v>312</v>
      </c>
      <c r="Z477" s="158">
        <v>844444.45</v>
      </c>
      <c r="AA477" s="158">
        <v>1</v>
      </c>
      <c r="AB477" s="158">
        <v>114.98</v>
      </c>
      <c r="AD477" s="158">
        <v>970.94200000000001</v>
      </c>
      <c r="AG477" s="11" t="s">
        <v>37</v>
      </c>
      <c r="AH477" s="189">
        <v>2.5569999999999998E-3</v>
      </c>
      <c r="AI477" s="189">
        <v>3.1681435586805601E-3</v>
      </c>
      <c r="AJ477" s="189">
        <v>5.2789448525772799E-4</v>
      </c>
    </row>
    <row r="478" spans="1:36">
      <c r="A478" s="11" t="s">
        <v>256</v>
      </c>
      <c r="B478" s="11">
        <v>7205</v>
      </c>
      <c r="C478" s="11" t="s">
        <v>2318</v>
      </c>
      <c r="D478" s="11" t="s">
        <v>2319</v>
      </c>
      <c r="E478" s="4" t="s">
        <v>1552</v>
      </c>
      <c r="F478" s="11" t="s">
        <v>2320</v>
      </c>
      <c r="G478" s="11" t="s">
        <v>2321</v>
      </c>
      <c r="H478" s="11" t="s">
        <v>511</v>
      </c>
      <c r="I478" s="11" t="s">
        <v>945</v>
      </c>
      <c r="J478" s="11" t="s">
        <v>31</v>
      </c>
      <c r="K478" s="11" t="s">
        <v>31</v>
      </c>
      <c r="L478" s="11" t="s">
        <v>517</v>
      </c>
      <c r="M478" s="11" t="s">
        <v>32</v>
      </c>
      <c r="N478" s="11" t="s">
        <v>639</v>
      </c>
      <c r="O478" s="11" t="s">
        <v>312</v>
      </c>
      <c r="P478" s="11" t="s">
        <v>2161</v>
      </c>
      <c r="Q478" s="11" t="s">
        <v>358</v>
      </c>
      <c r="R478" s="11" t="s">
        <v>596</v>
      </c>
      <c r="S478" s="11" t="s">
        <v>35</v>
      </c>
      <c r="T478" s="158">
        <v>4.3819999999999997</v>
      </c>
      <c r="U478" s="11" t="s">
        <v>2322</v>
      </c>
      <c r="V478" s="174">
        <v>7.4999999999999997E-3</v>
      </c>
      <c r="W478" s="189">
        <v>3.9260000000000003E-2</v>
      </c>
      <c r="X478" s="4" t="s">
        <v>602</v>
      </c>
      <c r="Y478" s="4" t="s">
        <v>312</v>
      </c>
      <c r="Z478" s="158">
        <v>2010609</v>
      </c>
      <c r="AA478" s="158">
        <v>1</v>
      </c>
      <c r="AB478" s="158">
        <v>96.11</v>
      </c>
      <c r="AD478" s="158">
        <v>1932.396</v>
      </c>
      <c r="AG478" s="11" t="s">
        <v>37</v>
      </c>
      <c r="AH478" s="189">
        <v>1.9189999999999999E-3</v>
      </c>
      <c r="AI478" s="189">
        <v>6.3053276926601197E-3</v>
      </c>
      <c r="AJ478" s="189">
        <v>1.05063033131124E-3</v>
      </c>
    </row>
    <row r="479" spans="1:36">
      <c r="A479" s="11" t="s">
        <v>256</v>
      </c>
      <c r="B479" s="11">
        <v>7205</v>
      </c>
      <c r="C479" s="11" t="s">
        <v>2323</v>
      </c>
      <c r="D479" s="11" t="s">
        <v>2324</v>
      </c>
      <c r="E479" s="4" t="s">
        <v>504</v>
      </c>
      <c r="F479" s="11" t="s">
        <v>2325</v>
      </c>
      <c r="G479" s="11" t="s">
        <v>2326</v>
      </c>
      <c r="H479" s="11" t="s">
        <v>511</v>
      </c>
      <c r="I479" s="11" t="s">
        <v>1154</v>
      </c>
      <c r="J479" s="11" t="s">
        <v>154</v>
      </c>
      <c r="K479" s="11" t="s">
        <v>155</v>
      </c>
      <c r="L479" s="11" t="s">
        <v>517</v>
      </c>
      <c r="M479" s="11" t="s">
        <v>32</v>
      </c>
      <c r="N479" s="11" t="s">
        <v>653</v>
      </c>
      <c r="O479" s="11" t="s">
        <v>312</v>
      </c>
      <c r="P479" s="11" t="s">
        <v>2327</v>
      </c>
      <c r="Q479" s="11" t="s">
        <v>358</v>
      </c>
      <c r="R479" s="11" t="s">
        <v>596</v>
      </c>
      <c r="S479" s="11" t="s">
        <v>35</v>
      </c>
      <c r="T479" s="158">
        <v>2.3919999999999999</v>
      </c>
      <c r="U479" s="11" t="s">
        <v>2328</v>
      </c>
      <c r="V479" s="174">
        <v>0.08</v>
      </c>
      <c r="W479" s="189">
        <v>0.16452</v>
      </c>
      <c r="X479" s="4" t="s">
        <v>602</v>
      </c>
      <c r="Y479" s="4" t="s">
        <v>312</v>
      </c>
      <c r="Z479" s="158">
        <v>624869.12</v>
      </c>
      <c r="AA479" s="158">
        <v>1</v>
      </c>
      <c r="AB479" s="158">
        <v>83.99</v>
      </c>
      <c r="AD479" s="158">
        <v>524.82799999999997</v>
      </c>
      <c r="AG479" s="11" t="s">
        <v>37</v>
      </c>
      <c r="AH479" s="189">
        <v>6.9300000000000004E-4</v>
      </c>
      <c r="AI479" s="189">
        <v>1.71249024775817E-3</v>
      </c>
      <c r="AJ479" s="189">
        <v>2.8534507389105701E-4</v>
      </c>
    </row>
    <row r="480" spans="1:36">
      <c r="A480" s="11" t="s">
        <v>256</v>
      </c>
      <c r="B480" s="11">
        <v>7205</v>
      </c>
      <c r="C480" s="11" t="s">
        <v>2329</v>
      </c>
      <c r="D480" s="11" t="s">
        <v>2330</v>
      </c>
      <c r="E480" s="4" t="s">
        <v>34</v>
      </c>
      <c r="F480" s="11" t="s">
        <v>2331</v>
      </c>
      <c r="G480" s="11" t="s">
        <v>2332</v>
      </c>
      <c r="H480" s="11" t="s">
        <v>511</v>
      </c>
      <c r="I480" s="11" t="s">
        <v>1154</v>
      </c>
      <c r="J480" s="11" t="s">
        <v>31</v>
      </c>
      <c r="K480" s="11" t="s">
        <v>155</v>
      </c>
      <c r="L480" s="11" t="s">
        <v>517</v>
      </c>
      <c r="M480" s="11" t="s">
        <v>32</v>
      </c>
      <c r="N480" s="11" t="s">
        <v>653</v>
      </c>
      <c r="O480" s="11" t="s">
        <v>312</v>
      </c>
      <c r="P480" s="11" t="s">
        <v>2234</v>
      </c>
      <c r="Q480" s="11" t="s">
        <v>358</v>
      </c>
      <c r="R480" s="11" t="s">
        <v>596</v>
      </c>
      <c r="S480" s="11" t="s">
        <v>35</v>
      </c>
      <c r="T480" s="158">
        <v>2.2709999999999999</v>
      </c>
      <c r="U480" s="11" t="s">
        <v>2333</v>
      </c>
      <c r="V480" s="174">
        <v>6.8000000000000005E-2</v>
      </c>
      <c r="W480" s="189">
        <v>6.3880000000000006E-2</v>
      </c>
      <c r="X480" s="4" t="s">
        <v>602</v>
      </c>
      <c r="Y480" s="4" t="s">
        <v>312</v>
      </c>
      <c r="Z480" s="158">
        <v>941979.61</v>
      </c>
      <c r="AA480" s="158">
        <v>1</v>
      </c>
      <c r="AB480" s="158">
        <v>101.14</v>
      </c>
      <c r="AD480" s="158">
        <v>952.71799999999996</v>
      </c>
      <c r="AG480" s="11" t="s">
        <v>37</v>
      </c>
      <c r="AH480" s="189">
        <v>2.666E-3</v>
      </c>
      <c r="AI480" s="189">
        <v>3.1086792483798502E-3</v>
      </c>
      <c r="AJ480" s="189">
        <v>5.1798619641412705E-4</v>
      </c>
    </row>
    <row r="481" spans="1:36">
      <c r="A481" s="11" t="s">
        <v>256</v>
      </c>
      <c r="B481" s="11">
        <v>7205</v>
      </c>
      <c r="C481" s="11" t="s">
        <v>1738</v>
      </c>
      <c r="D481" s="11" t="s">
        <v>1739</v>
      </c>
      <c r="E481" s="4" t="s">
        <v>1552</v>
      </c>
      <c r="F481" s="11" t="s">
        <v>2334</v>
      </c>
      <c r="G481" s="11" t="s">
        <v>2335</v>
      </c>
      <c r="H481" s="11" t="s">
        <v>511</v>
      </c>
      <c r="I481" s="11" t="s">
        <v>945</v>
      </c>
      <c r="J481" s="11" t="s">
        <v>31</v>
      </c>
      <c r="K481" s="11" t="s">
        <v>31</v>
      </c>
      <c r="L481" s="11" t="s">
        <v>517</v>
      </c>
      <c r="M481" s="11" t="s">
        <v>50</v>
      </c>
      <c r="N481" s="11" t="s">
        <v>629</v>
      </c>
      <c r="O481" s="11" t="s">
        <v>312</v>
      </c>
      <c r="P481" s="11" t="s">
        <v>2165</v>
      </c>
      <c r="Q481" s="27" t="s">
        <v>2165</v>
      </c>
      <c r="R481" s="16" t="s">
        <v>2165</v>
      </c>
      <c r="S481" s="11" t="s">
        <v>35</v>
      </c>
      <c r="T481" s="158">
        <v>4.6539999999999999</v>
      </c>
      <c r="U481" s="11" t="s">
        <v>2336</v>
      </c>
      <c r="V481" s="174">
        <v>4.7E-2</v>
      </c>
      <c r="W481" s="189">
        <v>4.7539999999999999E-2</v>
      </c>
      <c r="X481" s="4" t="s">
        <v>602</v>
      </c>
      <c r="Y481" s="4" t="s">
        <v>312</v>
      </c>
      <c r="Z481" s="158">
        <v>2554215.83</v>
      </c>
      <c r="AA481" s="158">
        <v>1</v>
      </c>
      <c r="AB481" s="158">
        <v>102.67</v>
      </c>
      <c r="AD481" s="158">
        <v>2622.413</v>
      </c>
      <c r="AG481" s="11" t="s">
        <v>37</v>
      </c>
      <c r="AH481" s="189">
        <v>5.8279999999999998E-3</v>
      </c>
      <c r="AI481" s="189">
        <v>8.5568243437620095E-3</v>
      </c>
      <c r="AJ481" s="189">
        <v>1.4257877835158099E-3</v>
      </c>
    </row>
    <row r="482" spans="1:36">
      <c r="A482" s="11" t="s">
        <v>256</v>
      </c>
      <c r="B482" s="11">
        <v>7205</v>
      </c>
      <c r="C482" s="11" t="s">
        <v>2337</v>
      </c>
      <c r="D482" s="11" t="s">
        <v>2338</v>
      </c>
      <c r="E482" s="4" t="s">
        <v>1552</v>
      </c>
      <c r="F482" s="11" t="s">
        <v>2339</v>
      </c>
      <c r="G482" s="11" t="s">
        <v>2340</v>
      </c>
      <c r="H482" s="11" t="s">
        <v>511</v>
      </c>
      <c r="I482" s="11" t="s">
        <v>945</v>
      </c>
      <c r="J482" s="11" t="s">
        <v>31</v>
      </c>
      <c r="K482" s="11" t="s">
        <v>31</v>
      </c>
      <c r="L482" s="11" t="s">
        <v>517</v>
      </c>
      <c r="M482" s="11" t="s">
        <v>32</v>
      </c>
      <c r="N482" s="11" t="s">
        <v>636</v>
      </c>
      <c r="O482" s="11" t="s">
        <v>312</v>
      </c>
      <c r="P482" s="11" t="s">
        <v>157</v>
      </c>
      <c r="Q482" s="11" t="s">
        <v>604</v>
      </c>
      <c r="R482" s="11" t="s">
        <v>596</v>
      </c>
      <c r="S482" s="11" t="s">
        <v>35</v>
      </c>
      <c r="T482" s="158">
        <v>3.9630000000000001</v>
      </c>
      <c r="U482" s="11" t="s">
        <v>2341</v>
      </c>
      <c r="V482" s="174">
        <v>2E-3</v>
      </c>
      <c r="W482" s="189">
        <v>2.5309999999999999E-2</v>
      </c>
      <c r="X482" s="4" t="s">
        <v>602</v>
      </c>
      <c r="Y482" s="4" t="s">
        <v>312</v>
      </c>
      <c r="Z482" s="158">
        <v>3906720.62</v>
      </c>
      <c r="AA482" s="158">
        <v>1</v>
      </c>
      <c r="AB482" s="158">
        <v>100.85</v>
      </c>
      <c r="AD482" s="158">
        <v>3939.9279999999999</v>
      </c>
      <c r="AG482" s="11" t="s">
        <v>37</v>
      </c>
      <c r="AH482" s="189">
        <v>1.011E-3</v>
      </c>
      <c r="AI482" s="189">
        <v>1.28558181321597E-2</v>
      </c>
      <c r="AJ482" s="189">
        <v>2.1421111037877899E-3</v>
      </c>
    </row>
    <row r="483" spans="1:36">
      <c r="A483" s="11" t="s">
        <v>256</v>
      </c>
      <c r="B483" s="11">
        <v>7205</v>
      </c>
      <c r="C483" s="11" t="s">
        <v>2337</v>
      </c>
      <c r="D483" s="11" t="s">
        <v>2338</v>
      </c>
      <c r="E483" s="4" t="s">
        <v>1552</v>
      </c>
      <c r="F483" s="11" t="s">
        <v>2342</v>
      </c>
      <c r="G483" s="11" t="s">
        <v>2343</v>
      </c>
      <c r="H483" s="11" t="s">
        <v>511</v>
      </c>
      <c r="I483" s="11" t="s">
        <v>945</v>
      </c>
      <c r="J483" s="11" t="s">
        <v>31</v>
      </c>
      <c r="K483" s="11" t="s">
        <v>31</v>
      </c>
      <c r="L483" s="11" t="s">
        <v>517</v>
      </c>
      <c r="M483" s="11" t="s">
        <v>32</v>
      </c>
      <c r="N483" s="11" t="s">
        <v>636</v>
      </c>
      <c r="O483" s="11" t="s">
        <v>312</v>
      </c>
      <c r="P483" s="11" t="s">
        <v>157</v>
      </c>
      <c r="Q483" s="11" t="s">
        <v>604</v>
      </c>
      <c r="R483" s="11" t="s">
        <v>596</v>
      </c>
      <c r="S483" s="11" t="s">
        <v>35</v>
      </c>
      <c r="T483" s="158">
        <v>5.3019999999999996</v>
      </c>
      <c r="U483" s="11" t="s">
        <v>2344</v>
      </c>
      <c r="V483" s="174">
        <v>2.47E-2</v>
      </c>
      <c r="W483" s="189">
        <v>2.6040000000000001E-2</v>
      </c>
      <c r="X483" s="4" t="s">
        <v>602</v>
      </c>
      <c r="Y483" s="4" t="s">
        <v>312</v>
      </c>
      <c r="Z483" s="158">
        <v>1599100</v>
      </c>
      <c r="AA483" s="158">
        <v>1</v>
      </c>
      <c r="AB483" s="158">
        <v>100.34</v>
      </c>
      <c r="AD483" s="158">
        <v>1604.537</v>
      </c>
      <c r="AG483" s="11" t="s">
        <v>37</v>
      </c>
      <c r="AH483" s="189">
        <v>1.023E-3</v>
      </c>
      <c r="AI483" s="189">
        <v>5.2355363906701402E-3</v>
      </c>
      <c r="AJ483" s="189">
        <v>8.7237548956018904E-4</v>
      </c>
    </row>
    <row r="484" spans="1:36">
      <c r="A484" s="11" t="s">
        <v>256</v>
      </c>
      <c r="B484" s="11">
        <v>7205</v>
      </c>
      <c r="C484" s="11" t="s">
        <v>2337</v>
      </c>
      <c r="D484" s="11" t="s">
        <v>2338</v>
      </c>
      <c r="E484" s="4" t="s">
        <v>1552</v>
      </c>
      <c r="F484" s="11" t="s">
        <v>2345</v>
      </c>
      <c r="G484" s="11" t="s">
        <v>2346</v>
      </c>
      <c r="H484" s="11" t="s">
        <v>511</v>
      </c>
      <c r="I484" s="11" t="s">
        <v>1154</v>
      </c>
      <c r="J484" s="11" t="s">
        <v>31</v>
      </c>
      <c r="K484" s="11" t="s">
        <v>31</v>
      </c>
      <c r="L484" s="11" t="s">
        <v>517</v>
      </c>
      <c r="M484" s="11" t="s">
        <v>32</v>
      </c>
      <c r="N484" s="11" t="s">
        <v>636</v>
      </c>
      <c r="O484" s="11" t="s">
        <v>312</v>
      </c>
      <c r="P484" s="11" t="s">
        <v>157</v>
      </c>
      <c r="Q484" s="11" t="s">
        <v>604</v>
      </c>
      <c r="R484" s="11" t="s">
        <v>596</v>
      </c>
      <c r="S484" s="11" t="s">
        <v>35</v>
      </c>
      <c r="T484" s="158">
        <v>0.42699999999999999</v>
      </c>
      <c r="U484" s="11" t="s">
        <v>160</v>
      </c>
      <c r="V484" s="174">
        <v>1.8700000000000001E-2</v>
      </c>
      <c r="W484" s="189">
        <v>4.6260000000000003E-2</v>
      </c>
      <c r="X484" s="4" t="s">
        <v>602</v>
      </c>
      <c r="Y484" s="4" t="s">
        <v>312</v>
      </c>
      <c r="Z484" s="158">
        <v>3006055.02</v>
      </c>
      <c r="AA484" s="158">
        <v>1</v>
      </c>
      <c r="AB484" s="158">
        <v>99.98</v>
      </c>
      <c r="AD484" s="158">
        <v>3005.4540000000002</v>
      </c>
      <c r="AG484" s="11" t="s">
        <v>37</v>
      </c>
      <c r="AH484" s="189">
        <v>1.0879E-2</v>
      </c>
      <c r="AI484" s="189">
        <v>9.8066690739302808E-3</v>
      </c>
      <c r="AJ484" s="189">
        <v>1.6340441735005599E-3</v>
      </c>
    </row>
    <row r="485" spans="1:36">
      <c r="A485" s="11" t="s">
        <v>256</v>
      </c>
      <c r="B485" s="11">
        <v>7205</v>
      </c>
      <c r="C485" s="11" t="s">
        <v>2337</v>
      </c>
      <c r="D485" s="11" t="s">
        <v>2338</v>
      </c>
      <c r="E485" s="4" t="s">
        <v>1552</v>
      </c>
      <c r="F485" s="11" t="s">
        <v>2347</v>
      </c>
      <c r="G485" s="11" t="s">
        <v>2348</v>
      </c>
      <c r="H485" s="11" t="s">
        <v>511</v>
      </c>
      <c r="I485" s="11" t="s">
        <v>1154</v>
      </c>
      <c r="J485" s="11" t="s">
        <v>31</v>
      </c>
      <c r="K485" s="11" t="s">
        <v>31</v>
      </c>
      <c r="L485" s="11" t="s">
        <v>517</v>
      </c>
      <c r="M485" s="11" t="s">
        <v>32</v>
      </c>
      <c r="N485" s="11" t="s">
        <v>636</v>
      </c>
      <c r="O485" s="11" t="s">
        <v>312</v>
      </c>
      <c r="P485" s="11" t="s">
        <v>157</v>
      </c>
      <c r="Q485" s="11" t="s">
        <v>604</v>
      </c>
      <c r="R485" s="11" t="s">
        <v>596</v>
      </c>
      <c r="S485" s="11" t="s">
        <v>35</v>
      </c>
      <c r="T485" s="158">
        <v>3.1379999999999999</v>
      </c>
      <c r="U485" s="11" t="s">
        <v>2349</v>
      </c>
      <c r="V485" s="174">
        <v>2.6800000000000001E-2</v>
      </c>
      <c r="W485" s="189">
        <v>5.0459999999999998E-2</v>
      </c>
      <c r="X485" s="4" t="s">
        <v>602</v>
      </c>
      <c r="Y485" s="4" t="s">
        <v>312</v>
      </c>
      <c r="Z485" s="158">
        <v>41000</v>
      </c>
      <c r="AA485" s="158">
        <v>1</v>
      </c>
      <c r="AB485" s="158">
        <v>94.27</v>
      </c>
      <c r="AD485" s="158">
        <v>38.651000000000003</v>
      </c>
      <c r="AG485" s="11" t="s">
        <v>37</v>
      </c>
      <c r="AH485" s="189">
        <v>1.8E-5</v>
      </c>
      <c r="AI485" s="189">
        <v>1.2611560465218999E-4</v>
      </c>
      <c r="AJ485" s="189">
        <v>2.1014114722933101E-5</v>
      </c>
    </row>
    <row r="486" spans="1:36">
      <c r="A486" s="11" t="s">
        <v>256</v>
      </c>
      <c r="B486" s="11">
        <v>7205</v>
      </c>
      <c r="C486" s="11" t="s">
        <v>2350</v>
      </c>
      <c r="D486" s="11" t="s">
        <v>2351</v>
      </c>
      <c r="E486" s="4" t="s">
        <v>1552</v>
      </c>
      <c r="F486" s="11" t="s">
        <v>2352</v>
      </c>
      <c r="G486" s="11" t="s">
        <v>2353</v>
      </c>
      <c r="H486" s="11" t="s">
        <v>511</v>
      </c>
      <c r="I486" s="11" t="s">
        <v>1154</v>
      </c>
      <c r="J486" s="11" t="s">
        <v>31</v>
      </c>
      <c r="K486" s="11" t="s">
        <v>31</v>
      </c>
      <c r="L486" s="11" t="s">
        <v>517</v>
      </c>
      <c r="M486" s="11" t="s">
        <v>32</v>
      </c>
      <c r="N486" s="11" t="s">
        <v>639</v>
      </c>
      <c r="O486" s="11" t="s">
        <v>312</v>
      </c>
      <c r="P486" s="11" t="s">
        <v>2354</v>
      </c>
      <c r="Q486" s="11" t="s">
        <v>358</v>
      </c>
      <c r="R486" s="11" t="s">
        <v>596</v>
      </c>
      <c r="S486" s="11" t="s">
        <v>35</v>
      </c>
      <c r="T486" s="158">
        <v>1.4279999999999999</v>
      </c>
      <c r="U486" s="11" t="s">
        <v>2355</v>
      </c>
      <c r="V486" s="174">
        <v>5.8000000000000003E-2</v>
      </c>
      <c r="W486" s="189">
        <v>7.8689999999999996E-2</v>
      </c>
      <c r="X486" s="4" t="s">
        <v>602</v>
      </c>
      <c r="Y486" s="4" t="s">
        <v>312</v>
      </c>
      <c r="Z486" s="158">
        <v>833938.49</v>
      </c>
      <c r="AA486" s="158">
        <v>1</v>
      </c>
      <c r="AB486" s="158">
        <v>96.03</v>
      </c>
      <c r="AD486" s="158">
        <v>800.83100000000002</v>
      </c>
      <c r="AG486" s="11" t="s">
        <v>37</v>
      </c>
      <c r="AH486" s="189">
        <v>9.8299999999999993E-4</v>
      </c>
      <c r="AI486" s="189">
        <v>2.6130782218638602E-3</v>
      </c>
      <c r="AJ486" s="189">
        <v>4.3540627415365399E-4</v>
      </c>
    </row>
    <row r="487" spans="1:36">
      <c r="A487" s="11" t="s">
        <v>256</v>
      </c>
      <c r="B487" s="11">
        <v>7205</v>
      </c>
      <c r="C487" s="11" t="s">
        <v>2356</v>
      </c>
      <c r="D487" s="11" t="s">
        <v>2357</v>
      </c>
      <c r="E487" s="4" t="s">
        <v>1552</v>
      </c>
      <c r="F487" s="11" t="s">
        <v>2358</v>
      </c>
      <c r="G487" s="11" t="s">
        <v>2359</v>
      </c>
      <c r="H487" s="11" t="s">
        <v>511</v>
      </c>
      <c r="I487" s="11" t="s">
        <v>945</v>
      </c>
      <c r="J487" s="11" t="s">
        <v>31</v>
      </c>
      <c r="K487" s="11" t="s">
        <v>31</v>
      </c>
      <c r="L487" s="11" t="s">
        <v>517</v>
      </c>
      <c r="M487" s="11" t="s">
        <v>32</v>
      </c>
      <c r="N487" s="11" t="s">
        <v>628</v>
      </c>
      <c r="O487" s="11" t="s">
        <v>312</v>
      </c>
      <c r="P487" s="11" t="s">
        <v>2206</v>
      </c>
      <c r="Q487" s="11" t="s">
        <v>604</v>
      </c>
      <c r="R487" s="11" t="s">
        <v>596</v>
      </c>
      <c r="S487" s="11" t="s">
        <v>35</v>
      </c>
      <c r="T487" s="158">
        <v>5.9729999999999999</v>
      </c>
      <c r="U487" s="11" t="s">
        <v>2360</v>
      </c>
      <c r="V487" s="174">
        <v>3.3000000000000002E-2</v>
      </c>
      <c r="W487" s="189">
        <v>4.1739999999999999E-2</v>
      </c>
      <c r="X487" s="4" t="s">
        <v>602</v>
      </c>
      <c r="Y487" s="4" t="s">
        <v>312</v>
      </c>
      <c r="Z487" s="158">
        <v>63957.26</v>
      </c>
      <c r="AA487" s="158">
        <v>1</v>
      </c>
      <c r="AB487" s="158">
        <v>100.71</v>
      </c>
      <c r="AD487" s="158">
        <v>64.411000000000001</v>
      </c>
      <c r="AG487" s="11" t="s">
        <v>37</v>
      </c>
      <c r="AH487" s="189">
        <v>5.1E-5</v>
      </c>
      <c r="AI487" s="189">
        <v>2.10171540936298E-4</v>
      </c>
      <c r="AJ487" s="189">
        <v>3.5020003154338498E-5</v>
      </c>
    </row>
    <row r="488" spans="1:36">
      <c r="A488" s="11" t="s">
        <v>256</v>
      </c>
      <c r="B488" s="11">
        <v>7205</v>
      </c>
      <c r="C488" s="11" t="s">
        <v>2361</v>
      </c>
      <c r="D488" s="11" t="s">
        <v>2362</v>
      </c>
      <c r="E488" s="4" t="s">
        <v>1552</v>
      </c>
      <c r="F488" s="11" t="s">
        <v>2861</v>
      </c>
      <c r="G488" s="11" t="s">
        <v>2862</v>
      </c>
      <c r="H488" s="11" t="s">
        <v>511</v>
      </c>
      <c r="I488" s="11" t="s">
        <v>1154</v>
      </c>
      <c r="J488" s="11" t="s">
        <v>31</v>
      </c>
      <c r="K488" s="11" t="s">
        <v>31</v>
      </c>
      <c r="L488" s="11" t="s">
        <v>517</v>
      </c>
      <c r="M488" s="11" t="s">
        <v>32</v>
      </c>
      <c r="N488" s="11" t="s">
        <v>642</v>
      </c>
      <c r="O488" s="11" t="s">
        <v>312</v>
      </c>
      <c r="P488" s="11" t="s">
        <v>2206</v>
      </c>
      <c r="Q488" s="11" t="s">
        <v>604</v>
      </c>
      <c r="R488" s="11" t="s">
        <v>596</v>
      </c>
      <c r="S488" s="11" t="s">
        <v>35</v>
      </c>
      <c r="T488" s="158">
        <v>2.8809999999999998</v>
      </c>
      <c r="U488" s="11" t="s">
        <v>2863</v>
      </c>
      <c r="V488" s="174">
        <v>6.7500000000000004E-2</v>
      </c>
      <c r="W488" s="189">
        <v>6.1519999999999998E-2</v>
      </c>
      <c r="X488" s="4" t="s">
        <v>602</v>
      </c>
      <c r="Y488" s="4" t="s">
        <v>312</v>
      </c>
      <c r="Z488" s="158">
        <v>830264.16</v>
      </c>
      <c r="AA488" s="158">
        <v>1</v>
      </c>
      <c r="AB488" s="158">
        <v>104.46</v>
      </c>
      <c r="AD488" s="158">
        <v>867.29399999999998</v>
      </c>
      <c r="AG488" s="11" t="s">
        <v>37</v>
      </c>
      <c r="AH488" s="189">
        <v>4.7399999999999997E-4</v>
      </c>
      <c r="AI488" s="189">
        <v>2.8299435675936901E-3</v>
      </c>
      <c r="AJ488" s="189">
        <v>4.71541637950731E-4</v>
      </c>
    </row>
    <row r="489" spans="1:36">
      <c r="A489" s="11" t="s">
        <v>256</v>
      </c>
      <c r="B489" s="11">
        <v>7205</v>
      </c>
      <c r="C489" s="11" t="s">
        <v>2361</v>
      </c>
      <c r="D489" s="11" t="s">
        <v>2362</v>
      </c>
      <c r="E489" s="4" t="s">
        <v>1552</v>
      </c>
      <c r="F489" s="11" t="s">
        <v>2363</v>
      </c>
      <c r="G489" s="11" t="s">
        <v>2364</v>
      </c>
      <c r="H489" s="11" t="s">
        <v>511</v>
      </c>
      <c r="I489" s="11" t="s">
        <v>1154</v>
      </c>
      <c r="J489" s="11" t="s">
        <v>31</v>
      </c>
      <c r="K489" s="11" t="s">
        <v>31</v>
      </c>
      <c r="L489" s="11" t="s">
        <v>517</v>
      </c>
      <c r="M489" s="11" t="s">
        <v>32</v>
      </c>
      <c r="N489" s="11" t="s">
        <v>642</v>
      </c>
      <c r="O489" s="11" t="s">
        <v>312</v>
      </c>
      <c r="P489" s="11" t="s">
        <v>2206</v>
      </c>
      <c r="Q489" s="11" t="s">
        <v>604</v>
      </c>
      <c r="R489" s="11" t="s">
        <v>596</v>
      </c>
      <c r="S489" s="11" t="s">
        <v>35</v>
      </c>
      <c r="T489" s="158">
        <v>4.0739999999999998</v>
      </c>
      <c r="U489" s="11" t="s">
        <v>2365</v>
      </c>
      <c r="V489" s="174">
        <v>6.5199999999999994E-2</v>
      </c>
      <c r="W489" s="189">
        <v>6.3450000000000006E-2</v>
      </c>
      <c r="X489" s="4" t="s">
        <v>602</v>
      </c>
      <c r="Y489" s="4" t="s">
        <v>312</v>
      </c>
      <c r="Z489" s="158">
        <v>-2</v>
      </c>
      <c r="AA489" s="158">
        <v>1</v>
      </c>
      <c r="AB489" s="158">
        <v>101.71</v>
      </c>
      <c r="AD489" s="158">
        <v>-2E-3</v>
      </c>
      <c r="AG489" s="11" t="s">
        <v>37</v>
      </c>
      <c r="AH489" s="189">
        <v>0</v>
      </c>
      <c r="AI489" s="189">
        <v>-6.6375088415859E-9</v>
      </c>
      <c r="AJ489" s="189">
        <v>-1.1059802841705402E-9</v>
      </c>
    </row>
    <row r="490" spans="1:36">
      <c r="A490" s="11" t="s">
        <v>256</v>
      </c>
      <c r="B490" s="11">
        <v>7205</v>
      </c>
      <c r="C490" s="11" t="s">
        <v>2361</v>
      </c>
      <c r="D490" s="11" t="s">
        <v>2362</v>
      </c>
      <c r="E490" s="4" t="s">
        <v>1552</v>
      </c>
      <c r="F490" s="11" t="s">
        <v>2366</v>
      </c>
      <c r="G490" s="11" t="s">
        <v>2364</v>
      </c>
      <c r="H490" s="11" t="s">
        <v>511</v>
      </c>
      <c r="I490" s="11" t="s">
        <v>1154</v>
      </c>
      <c r="J490" s="11" t="s">
        <v>31</v>
      </c>
      <c r="K490" s="11" t="s">
        <v>31</v>
      </c>
      <c r="L490" s="16" t="s">
        <v>519</v>
      </c>
      <c r="M490" s="11" t="s">
        <v>32</v>
      </c>
      <c r="N490" s="11" t="s">
        <v>642</v>
      </c>
      <c r="O490" s="11" t="s">
        <v>312</v>
      </c>
      <c r="P490" s="11" t="s">
        <v>2206</v>
      </c>
      <c r="Q490" s="11" t="s">
        <v>604</v>
      </c>
      <c r="R490" s="11" t="s">
        <v>596</v>
      </c>
      <c r="S490" s="11" t="s">
        <v>35</v>
      </c>
      <c r="T490" s="158">
        <v>4.0999999999999996</v>
      </c>
      <c r="U490" s="11" t="s">
        <v>2365</v>
      </c>
      <c r="V490" s="174">
        <v>6.5199999999999994E-2</v>
      </c>
      <c r="W490" s="189">
        <v>6.4449999999999993E-2</v>
      </c>
      <c r="X490" s="4" t="s">
        <v>602</v>
      </c>
      <c r="Y490" s="4" t="s">
        <v>312</v>
      </c>
      <c r="Z490" s="158">
        <v>1251764.71</v>
      </c>
      <c r="AA490" s="158">
        <v>1</v>
      </c>
      <c r="AB490" s="158">
        <v>101.71</v>
      </c>
      <c r="AD490" s="158">
        <v>1273.17</v>
      </c>
      <c r="AG490" s="11" t="s">
        <v>37</v>
      </c>
      <c r="AH490" s="189">
        <v>0</v>
      </c>
      <c r="AI490" s="189">
        <v>4.1542996651051101E-3</v>
      </c>
      <c r="AJ490" s="189">
        <v>6.9221354484023001E-4</v>
      </c>
    </row>
    <row r="491" spans="1:36">
      <c r="A491" s="11" t="s">
        <v>256</v>
      </c>
      <c r="B491" s="11">
        <v>7205</v>
      </c>
      <c r="C491" s="11" t="s">
        <v>2361</v>
      </c>
      <c r="D491" s="11" t="s">
        <v>2362</v>
      </c>
      <c r="E491" s="4" t="s">
        <v>1552</v>
      </c>
      <c r="F491" s="11" t="s">
        <v>2367</v>
      </c>
      <c r="G491" s="11" t="s">
        <v>2368</v>
      </c>
      <c r="H491" s="11" t="s">
        <v>511</v>
      </c>
      <c r="I491" s="11" t="s">
        <v>1154</v>
      </c>
      <c r="J491" s="11" t="s">
        <v>31</v>
      </c>
      <c r="K491" s="11" t="s">
        <v>31</v>
      </c>
      <c r="L491" s="11" t="s">
        <v>517</v>
      </c>
      <c r="M491" s="11" t="s">
        <v>50</v>
      </c>
      <c r="N491" s="11" t="s">
        <v>642</v>
      </c>
      <c r="O491" s="11" t="s">
        <v>312</v>
      </c>
      <c r="P491" s="11" t="s">
        <v>2206</v>
      </c>
      <c r="Q491" s="11" t="s">
        <v>604</v>
      </c>
      <c r="R491" s="11" t="s">
        <v>596</v>
      </c>
      <c r="S491" s="11" t="s">
        <v>35</v>
      </c>
      <c r="T491" s="158">
        <v>5.5659999999999998</v>
      </c>
      <c r="U491" s="11" t="s">
        <v>2369</v>
      </c>
      <c r="V491" s="174">
        <v>6.3799999999999996E-2</v>
      </c>
      <c r="W491" s="189">
        <v>6.7699999999999996E-2</v>
      </c>
      <c r="X491" s="4" t="s">
        <v>602</v>
      </c>
      <c r="Y491" s="4" t="s">
        <v>312</v>
      </c>
      <c r="Z491" s="158">
        <v>716000</v>
      </c>
      <c r="AA491" s="158">
        <v>1</v>
      </c>
      <c r="AB491" s="158">
        <v>98.24</v>
      </c>
      <c r="AD491" s="158">
        <v>703.39800000000002</v>
      </c>
      <c r="AG491" s="11" t="s">
        <v>37</v>
      </c>
      <c r="AH491" s="189">
        <v>7.1599999999999995E-4</v>
      </c>
      <c r="AI491" s="189">
        <v>2.2951593251191501E-3</v>
      </c>
      <c r="AJ491" s="189">
        <v>3.8243278061011999E-4</v>
      </c>
    </row>
    <row r="492" spans="1:36">
      <c r="A492" s="11" t="s">
        <v>256</v>
      </c>
      <c r="B492" s="11">
        <v>7205</v>
      </c>
      <c r="C492" s="11" t="s">
        <v>1754</v>
      </c>
      <c r="D492" s="11" t="s">
        <v>1755</v>
      </c>
      <c r="E492" s="4" t="s">
        <v>1552</v>
      </c>
      <c r="F492" s="11" t="s">
        <v>2370</v>
      </c>
      <c r="G492" s="11" t="s">
        <v>2371</v>
      </c>
      <c r="H492" s="11" t="s">
        <v>511</v>
      </c>
      <c r="I492" s="11" t="s">
        <v>1154</v>
      </c>
      <c r="J492" s="11" t="s">
        <v>31</v>
      </c>
      <c r="K492" s="11" t="s">
        <v>31</v>
      </c>
      <c r="L492" s="11" t="s">
        <v>517</v>
      </c>
      <c r="M492" s="11" t="s">
        <v>32</v>
      </c>
      <c r="N492" s="11" t="s">
        <v>635</v>
      </c>
      <c r="O492" s="11" t="s">
        <v>312</v>
      </c>
      <c r="P492" s="11" t="s">
        <v>168</v>
      </c>
      <c r="Q492" s="11" t="s">
        <v>604</v>
      </c>
      <c r="R492" s="11" t="s">
        <v>596</v>
      </c>
      <c r="S492" s="11" t="s">
        <v>35</v>
      </c>
      <c r="T492" s="158">
        <v>0.98699999999999999</v>
      </c>
      <c r="U492" s="11" t="s">
        <v>2188</v>
      </c>
      <c r="V492" s="174">
        <v>3.0499999999999999E-2</v>
      </c>
      <c r="W492" s="189">
        <v>5.5820000000000002E-2</v>
      </c>
      <c r="X492" s="4" t="s">
        <v>602</v>
      </c>
      <c r="Y492" s="4" t="s">
        <v>312</v>
      </c>
      <c r="Z492" s="158">
        <v>212864.8</v>
      </c>
      <c r="AA492" s="158">
        <v>1</v>
      </c>
      <c r="AB492" s="158">
        <v>97.67</v>
      </c>
      <c r="AD492" s="158">
        <v>207.905</v>
      </c>
      <c r="AG492" s="11" t="s">
        <v>37</v>
      </c>
      <c r="AH492" s="189">
        <v>3.1710000000000002E-3</v>
      </c>
      <c r="AI492" s="189">
        <v>6.7838541374857998E-4</v>
      </c>
      <c r="AJ492" s="189">
        <v>1.13036518757471E-4</v>
      </c>
    </row>
    <row r="493" spans="1:36">
      <c r="A493" s="11" t="s">
        <v>256</v>
      </c>
      <c r="B493" s="11">
        <v>7205</v>
      </c>
      <c r="C493" s="11" t="s">
        <v>2372</v>
      </c>
      <c r="D493" s="11" t="s">
        <v>2373</v>
      </c>
      <c r="E493" s="4" t="s">
        <v>1552</v>
      </c>
      <c r="F493" s="11" t="s">
        <v>2374</v>
      </c>
      <c r="G493" s="11" t="s">
        <v>2375</v>
      </c>
      <c r="H493" s="11" t="s">
        <v>511</v>
      </c>
      <c r="I493" s="11" t="s">
        <v>945</v>
      </c>
      <c r="J493" s="11" t="s">
        <v>31</v>
      </c>
      <c r="K493" s="11" t="s">
        <v>31</v>
      </c>
      <c r="L493" s="11" t="s">
        <v>517</v>
      </c>
      <c r="M493" s="11" t="s">
        <v>32</v>
      </c>
      <c r="N493" s="11" t="s">
        <v>652</v>
      </c>
      <c r="O493" s="11" t="s">
        <v>312</v>
      </c>
      <c r="P493" s="11" t="s">
        <v>2234</v>
      </c>
      <c r="Q493" s="11" t="s">
        <v>358</v>
      </c>
      <c r="R493" s="11" t="s">
        <v>596</v>
      </c>
      <c r="S493" s="11" t="s">
        <v>35</v>
      </c>
      <c r="T493" s="158">
        <v>3.4430000000000001</v>
      </c>
      <c r="U493" s="11" t="s">
        <v>2376</v>
      </c>
      <c r="V493" s="174">
        <v>2.7E-2</v>
      </c>
      <c r="W493" s="189">
        <v>3.4229999999999997E-2</v>
      </c>
      <c r="X493" s="4" t="s">
        <v>602</v>
      </c>
      <c r="Y493" s="4" t="s">
        <v>312</v>
      </c>
      <c r="Z493" s="158">
        <v>778045</v>
      </c>
      <c r="AA493" s="158">
        <v>1</v>
      </c>
      <c r="AB493" s="158">
        <v>102.95</v>
      </c>
      <c r="AD493" s="158">
        <v>800.99699999999996</v>
      </c>
      <c r="AG493" s="11" t="s">
        <v>37</v>
      </c>
      <c r="AH493" s="189">
        <v>1.7780000000000001E-3</v>
      </c>
      <c r="AI493" s="189">
        <v>2.6136205109467698E-3</v>
      </c>
      <c r="AJ493" s="189">
        <v>4.3549663351110897E-4</v>
      </c>
    </row>
    <row r="494" spans="1:36">
      <c r="A494" s="11" t="s">
        <v>256</v>
      </c>
      <c r="B494" s="11">
        <v>7205</v>
      </c>
      <c r="C494" s="11" t="s">
        <v>2377</v>
      </c>
      <c r="D494" s="11" t="s">
        <v>2378</v>
      </c>
      <c r="E494" s="4" t="s">
        <v>504</v>
      </c>
      <c r="F494" s="11" t="s">
        <v>2379</v>
      </c>
      <c r="G494" s="11" t="s">
        <v>2380</v>
      </c>
      <c r="H494" s="11" t="s">
        <v>511</v>
      </c>
      <c r="I494" s="11" t="s">
        <v>1154</v>
      </c>
      <c r="J494" s="11" t="s">
        <v>31</v>
      </c>
      <c r="K494" s="11" t="s">
        <v>489</v>
      </c>
      <c r="L494" s="11" t="s">
        <v>517</v>
      </c>
      <c r="M494" s="11" t="s">
        <v>32</v>
      </c>
      <c r="N494" s="11" t="s">
        <v>653</v>
      </c>
      <c r="O494" s="11" t="s">
        <v>312</v>
      </c>
      <c r="P494" s="11" t="s">
        <v>2381</v>
      </c>
      <c r="Q494" s="11" t="s">
        <v>604</v>
      </c>
      <c r="R494" s="11" t="s">
        <v>596</v>
      </c>
      <c r="S494" s="11" t="s">
        <v>35</v>
      </c>
      <c r="T494" s="158">
        <v>1.5149999999999999</v>
      </c>
      <c r="U494" s="11" t="s">
        <v>2382</v>
      </c>
      <c r="V494" s="174">
        <v>8.9499999999999996E-2</v>
      </c>
      <c r="W494" s="189">
        <v>0.12482</v>
      </c>
      <c r="X494" s="4" t="s">
        <v>602</v>
      </c>
      <c r="Y494" s="4" t="s">
        <v>312</v>
      </c>
      <c r="Z494" s="158">
        <v>488989.22</v>
      </c>
      <c r="AA494" s="158">
        <v>1</v>
      </c>
      <c r="AB494" s="158">
        <v>98.4</v>
      </c>
      <c r="AD494" s="158">
        <v>481.16500000000002</v>
      </c>
      <c r="AG494" s="11" t="s">
        <v>37</v>
      </c>
      <c r="AH494" s="189">
        <v>2.4130000000000002E-3</v>
      </c>
      <c r="AI494" s="189">
        <v>1.5700223905472199E-3</v>
      </c>
      <c r="AJ494" s="189">
        <v>2.6160625184743999E-4</v>
      </c>
    </row>
    <row r="495" spans="1:36">
      <c r="A495" s="11" t="s">
        <v>256</v>
      </c>
      <c r="B495" s="11">
        <v>7205</v>
      </c>
      <c r="C495" s="11" t="s">
        <v>2031</v>
      </c>
      <c r="D495" s="11" t="s">
        <v>2032</v>
      </c>
      <c r="E495" s="4" t="s">
        <v>1552</v>
      </c>
      <c r="F495" s="11" t="s">
        <v>2383</v>
      </c>
      <c r="G495" s="11" t="s">
        <v>2384</v>
      </c>
      <c r="H495" s="11" t="s">
        <v>511</v>
      </c>
      <c r="I495" s="11" t="s">
        <v>1154</v>
      </c>
      <c r="J495" s="11" t="s">
        <v>31</v>
      </c>
      <c r="K495" s="11" t="s">
        <v>31</v>
      </c>
      <c r="L495" s="11" t="s">
        <v>517</v>
      </c>
      <c r="M495" s="11" t="s">
        <v>32</v>
      </c>
      <c r="N495" s="11" t="s">
        <v>652</v>
      </c>
      <c r="O495" s="11" t="s">
        <v>312</v>
      </c>
      <c r="P495" s="11" t="s">
        <v>2169</v>
      </c>
      <c r="Q495" s="11" t="s">
        <v>358</v>
      </c>
      <c r="R495" s="11" t="s">
        <v>596</v>
      </c>
      <c r="S495" s="11" t="s">
        <v>35</v>
      </c>
      <c r="T495" s="158">
        <v>0.98</v>
      </c>
      <c r="U495" s="11" t="s">
        <v>2385</v>
      </c>
      <c r="V495" s="174">
        <v>2.5499999999999998E-2</v>
      </c>
      <c r="W495" s="189">
        <v>4.9250000000000002E-2</v>
      </c>
      <c r="X495" s="4" t="s">
        <v>602</v>
      </c>
      <c r="Y495" s="4" t="s">
        <v>312</v>
      </c>
      <c r="Z495" s="158">
        <v>390792</v>
      </c>
      <c r="AA495" s="158">
        <v>1</v>
      </c>
      <c r="AB495" s="158">
        <v>97.83</v>
      </c>
      <c r="AD495" s="158">
        <v>382.31200000000001</v>
      </c>
      <c r="AG495" s="11" t="s">
        <v>37</v>
      </c>
      <c r="AH495" s="189">
        <v>1.941E-3</v>
      </c>
      <c r="AI495" s="189">
        <v>1.2474673301606199E-3</v>
      </c>
      <c r="AJ495" s="189">
        <v>2.07860253783839E-4</v>
      </c>
    </row>
    <row r="496" spans="1:36">
      <c r="A496" s="11" t="s">
        <v>256</v>
      </c>
      <c r="B496" s="11">
        <v>7205</v>
      </c>
      <c r="C496" s="11" t="s">
        <v>2864</v>
      </c>
      <c r="D496" s="11" t="s">
        <v>2865</v>
      </c>
      <c r="E496" s="4" t="s">
        <v>1552</v>
      </c>
      <c r="F496" s="11" t="s">
        <v>2866</v>
      </c>
      <c r="G496" s="11" t="s">
        <v>2867</v>
      </c>
      <c r="H496" s="11" t="s">
        <v>511</v>
      </c>
      <c r="I496" s="11" t="s">
        <v>945</v>
      </c>
      <c r="J496" s="11" t="s">
        <v>31</v>
      </c>
      <c r="K496" s="11" t="s">
        <v>31</v>
      </c>
      <c r="L496" s="11" t="s">
        <v>517</v>
      </c>
      <c r="M496" s="11" t="s">
        <v>32</v>
      </c>
      <c r="N496" s="11" t="s">
        <v>635</v>
      </c>
      <c r="O496" s="11" t="s">
        <v>312</v>
      </c>
      <c r="P496" s="11" t="s">
        <v>2165</v>
      </c>
      <c r="Q496" s="27" t="s">
        <v>2165</v>
      </c>
      <c r="R496" s="16" t="s">
        <v>2165</v>
      </c>
      <c r="S496" s="11" t="s">
        <v>35</v>
      </c>
      <c r="T496" s="158">
        <v>1.8859999999999999</v>
      </c>
      <c r="U496" s="11" t="s">
        <v>2333</v>
      </c>
      <c r="V496" s="174">
        <v>3.5000000000000003E-2</v>
      </c>
      <c r="W496" s="189">
        <v>3.9109999999999999E-2</v>
      </c>
      <c r="X496" s="4" t="s">
        <v>602</v>
      </c>
      <c r="Y496" s="4" t="s">
        <v>312</v>
      </c>
      <c r="Z496" s="158">
        <v>193554</v>
      </c>
      <c r="AA496" s="158">
        <v>1</v>
      </c>
      <c r="AB496" s="158">
        <v>106.77</v>
      </c>
      <c r="AD496" s="158">
        <v>206.65799999999999</v>
      </c>
      <c r="AG496" s="11" t="s">
        <v>37</v>
      </c>
      <c r="AH496" s="189">
        <v>1.1329999999999999E-3</v>
      </c>
      <c r="AI496" s="189">
        <v>6.7431505539203296E-4</v>
      </c>
      <c r="AJ496" s="189">
        <v>1.12358292001125E-4</v>
      </c>
    </row>
    <row r="497" spans="1:36">
      <c r="A497" s="11" t="s">
        <v>256</v>
      </c>
      <c r="B497" s="11">
        <v>7205</v>
      </c>
      <c r="C497" s="11" t="s">
        <v>2837</v>
      </c>
      <c r="D497" s="11" t="s">
        <v>2838</v>
      </c>
      <c r="E497" s="4" t="s">
        <v>1552</v>
      </c>
      <c r="F497" s="11" t="s">
        <v>2868</v>
      </c>
      <c r="G497" s="11" t="s">
        <v>2869</v>
      </c>
      <c r="H497" s="11" t="s">
        <v>511</v>
      </c>
      <c r="I497" s="11" t="s">
        <v>1154</v>
      </c>
      <c r="J497" s="11" t="s">
        <v>31</v>
      </c>
      <c r="K497" s="11" t="s">
        <v>31</v>
      </c>
      <c r="L497" s="11" t="s">
        <v>517</v>
      </c>
      <c r="M497" s="11" t="s">
        <v>32</v>
      </c>
      <c r="N497" s="11" t="s">
        <v>635</v>
      </c>
      <c r="O497" s="11" t="s">
        <v>312</v>
      </c>
      <c r="P497" s="11" t="s">
        <v>2165</v>
      </c>
      <c r="Q497" s="27" t="s">
        <v>2165</v>
      </c>
      <c r="R497" s="16" t="s">
        <v>2165</v>
      </c>
      <c r="S497" s="11" t="s">
        <v>35</v>
      </c>
      <c r="T497" s="158">
        <v>1.1040000000000001</v>
      </c>
      <c r="U497" s="11" t="s">
        <v>2203</v>
      </c>
      <c r="V497" s="174">
        <v>4.65E-2</v>
      </c>
      <c r="W497" s="189">
        <v>2.5765500000000001</v>
      </c>
      <c r="X497" s="4" t="s">
        <v>602</v>
      </c>
      <c r="Y497" s="4" t="s">
        <v>312</v>
      </c>
      <c r="Z497" s="158">
        <v>528923</v>
      </c>
      <c r="AA497" s="158">
        <v>1</v>
      </c>
      <c r="AB497" s="158">
        <v>19.86</v>
      </c>
      <c r="AD497" s="158">
        <v>105.044</v>
      </c>
      <c r="AG497" s="11" t="s">
        <v>37</v>
      </c>
      <c r="AH497" s="189">
        <v>3.114E-3</v>
      </c>
      <c r="AI497" s="189">
        <v>3.42754495270378E-4</v>
      </c>
      <c r="AJ497" s="189">
        <v>5.7111745253704298E-5</v>
      </c>
    </row>
    <row r="498" spans="1:36">
      <c r="A498" s="11" t="s">
        <v>256</v>
      </c>
      <c r="B498" s="11">
        <v>7205</v>
      </c>
      <c r="C498" s="11" t="s">
        <v>2386</v>
      </c>
      <c r="D498" s="11" t="s">
        <v>2387</v>
      </c>
      <c r="E498" s="4" t="s">
        <v>1552</v>
      </c>
      <c r="F498" s="11" t="s">
        <v>2388</v>
      </c>
      <c r="G498" s="11" t="s">
        <v>2389</v>
      </c>
      <c r="H498" s="11" t="s">
        <v>511</v>
      </c>
      <c r="I498" s="11" t="s">
        <v>1154</v>
      </c>
      <c r="J498" s="11" t="s">
        <v>31</v>
      </c>
      <c r="K498" s="11" t="s">
        <v>31</v>
      </c>
      <c r="L498" s="11" t="s">
        <v>517</v>
      </c>
      <c r="M498" s="11" t="s">
        <v>32</v>
      </c>
      <c r="N498" s="11" t="s">
        <v>647</v>
      </c>
      <c r="O498" s="11" t="s">
        <v>312</v>
      </c>
      <c r="P498" s="11" t="s">
        <v>168</v>
      </c>
      <c r="Q498" s="11" t="s">
        <v>604</v>
      </c>
      <c r="R498" s="11" t="s">
        <v>596</v>
      </c>
      <c r="S498" s="11" t="s">
        <v>35</v>
      </c>
      <c r="T498" s="158">
        <v>0.499</v>
      </c>
      <c r="U498" s="11" t="s">
        <v>2162</v>
      </c>
      <c r="V498" s="174">
        <v>3.2000000000000001E-2</v>
      </c>
      <c r="W498" s="189">
        <v>5.2510000000000001E-2</v>
      </c>
      <c r="X498" s="4" t="s">
        <v>602</v>
      </c>
      <c r="Y498" s="4" t="s">
        <v>312</v>
      </c>
      <c r="Z498" s="158">
        <v>220305</v>
      </c>
      <c r="AA498" s="158">
        <v>1</v>
      </c>
      <c r="AB498" s="158">
        <v>99.04</v>
      </c>
      <c r="AD498" s="158">
        <v>218.19</v>
      </c>
      <c r="AG498" s="11" t="s">
        <v>37</v>
      </c>
      <c r="AH498" s="189">
        <v>1.1284000000000001E-2</v>
      </c>
      <c r="AI498" s="189">
        <v>7.1194500641346195E-4</v>
      </c>
      <c r="AJ498" s="189">
        <v>1.18628413053658E-4</v>
      </c>
    </row>
    <row r="499" spans="1:36">
      <c r="A499" s="11" t="s">
        <v>256</v>
      </c>
      <c r="B499" s="11">
        <v>7205</v>
      </c>
      <c r="C499" s="11" t="s">
        <v>2390</v>
      </c>
      <c r="D499" s="11" t="s">
        <v>2391</v>
      </c>
      <c r="E499" s="4" t="s">
        <v>1552</v>
      </c>
      <c r="F499" s="11" t="s">
        <v>2392</v>
      </c>
      <c r="G499" s="11" t="s">
        <v>2393</v>
      </c>
      <c r="H499" s="11" t="s">
        <v>511</v>
      </c>
      <c r="I499" s="11" t="s">
        <v>945</v>
      </c>
      <c r="J499" s="11" t="s">
        <v>31</v>
      </c>
      <c r="K499" s="11" t="s">
        <v>31</v>
      </c>
      <c r="L499" s="11" t="s">
        <v>517</v>
      </c>
      <c r="M499" s="11" t="s">
        <v>32</v>
      </c>
      <c r="N499" s="11" t="s">
        <v>650</v>
      </c>
      <c r="O499" s="11" t="s">
        <v>312</v>
      </c>
      <c r="P499" s="11" t="s">
        <v>2394</v>
      </c>
      <c r="Q499" s="11" t="s">
        <v>358</v>
      </c>
      <c r="R499" s="11" t="s">
        <v>596</v>
      </c>
      <c r="S499" s="11" t="s">
        <v>35</v>
      </c>
      <c r="T499" s="158">
        <v>1.5760000000000001</v>
      </c>
      <c r="U499" s="11" t="s">
        <v>2395</v>
      </c>
      <c r="V499" s="174">
        <v>1.0500000000000001E-2</v>
      </c>
      <c r="W499" s="189">
        <v>2.7009999999999999E-2</v>
      </c>
      <c r="X499" s="4" t="s">
        <v>602</v>
      </c>
      <c r="Y499" s="4" t="s">
        <v>312</v>
      </c>
      <c r="Z499" s="158">
        <v>491606.29</v>
      </c>
      <c r="AA499" s="158">
        <v>1</v>
      </c>
      <c r="AB499" s="158">
        <v>109.95</v>
      </c>
      <c r="AD499" s="158">
        <v>540.52099999999996</v>
      </c>
      <c r="AG499" s="11" t="s">
        <v>37</v>
      </c>
      <c r="AH499" s="189">
        <v>2.0799999999999998E-3</v>
      </c>
      <c r="AI499" s="189">
        <v>1.76369761358344E-3</v>
      </c>
      <c r="AJ499" s="189">
        <v>2.9387754267696999E-4</v>
      </c>
    </row>
    <row r="500" spans="1:36">
      <c r="A500" s="11" t="s">
        <v>256</v>
      </c>
      <c r="B500" s="11">
        <v>7205</v>
      </c>
      <c r="C500" s="11" t="s">
        <v>2390</v>
      </c>
      <c r="D500" s="11" t="s">
        <v>2391</v>
      </c>
      <c r="E500" s="4" t="s">
        <v>1552</v>
      </c>
      <c r="F500" s="11" t="s">
        <v>2396</v>
      </c>
      <c r="G500" s="11" t="s">
        <v>2397</v>
      </c>
      <c r="H500" s="11" t="s">
        <v>511</v>
      </c>
      <c r="I500" s="11" t="s">
        <v>1154</v>
      </c>
      <c r="J500" s="11" t="s">
        <v>31</v>
      </c>
      <c r="K500" s="11" t="s">
        <v>31</v>
      </c>
      <c r="L500" s="11" t="s">
        <v>517</v>
      </c>
      <c r="M500" s="11" t="s">
        <v>32</v>
      </c>
      <c r="N500" s="11" t="s">
        <v>650</v>
      </c>
      <c r="O500" s="11" t="s">
        <v>312</v>
      </c>
      <c r="P500" s="11" t="s">
        <v>2394</v>
      </c>
      <c r="Q500" s="11" t="s">
        <v>358</v>
      </c>
      <c r="R500" s="11" t="s">
        <v>596</v>
      </c>
      <c r="S500" s="11" t="s">
        <v>35</v>
      </c>
      <c r="T500" s="158">
        <v>2.2210000000000001</v>
      </c>
      <c r="U500" s="11" t="s">
        <v>2398</v>
      </c>
      <c r="V500" s="174">
        <v>2.18E-2</v>
      </c>
      <c r="W500" s="189">
        <v>5.4399999999999997E-2</v>
      </c>
      <c r="X500" s="4" t="s">
        <v>602</v>
      </c>
      <c r="Y500" s="4" t="s">
        <v>312</v>
      </c>
      <c r="Z500" s="158">
        <v>828102.39</v>
      </c>
      <c r="AA500" s="158">
        <v>1</v>
      </c>
      <c r="AB500" s="158">
        <v>93.46</v>
      </c>
      <c r="AD500" s="158">
        <v>773.94399999999996</v>
      </c>
      <c r="AG500" s="11" t="s">
        <v>37</v>
      </c>
      <c r="AH500" s="189">
        <v>2.2899999999999999E-3</v>
      </c>
      <c r="AI500" s="189">
        <v>2.5253482547392802E-3</v>
      </c>
      <c r="AJ500" s="189">
        <v>4.2078819735911799E-4</v>
      </c>
    </row>
    <row r="501" spans="1:36">
      <c r="A501" s="11" t="s">
        <v>256</v>
      </c>
      <c r="B501" s="11">
        <v>7205</v>
      </c>
      <c r="C501" s="11" t="s">
        <v>2390</v>
      </c>
      <c r="D501" s="11" t="s">
        <v>2391</v>
      </c>
      <c r="E501" s="4" t="s">
        <v>1552</v>
      </c>
      <c r="F501" s="11" t="s">
        <v>2399</v>
      </c>
      <c r="G501" s="11" t="s">
        <v>2400</v>
      </c>
      <c r="H501" s="11" t="s">
        <v>511</v>
      </c>
      <c r="I501" s="11" t="s">
        <v>945</v>
      </c>
      <c r="J501" s="11" t="s">
        <v>31</v>
      </c>
      <c r="K501" s="11" t="s">
        <v>31</v>
      </c>
      <c r="L501" s="11" t="s">
        <v>517</v>
      </c>
      <c r="M501" s="11" t="s">
        <v>32</v>
      </c>
      <c r="N501" s="11" t="s">
        <v>650</v>
      </c>
      <c r="O501" s="11" t="s">
        <v>312</v>
      </c>
      <c r="P501" s="11" t="s">
        <v>2394</v>
      </c>
      <c r="Q501" s="11" t="s">
        <v>358</v>
      </c>
      <c r="R501" s="11" t="s">
        <v>596</v>
      </c>
      <c r="S501" s="11" t="s">
        <v>35</v>
      </c>
      <c r="T501" s="158">
        <v>3.1659999999999999</v>
      </c>
      <c r="U501" s="11" t="s">
        <v>2401</v>
      </c>
      <c r="V501" s="174">
        <v>2.1999999999999999E-2</v>
      </c>
      <c r="W501" s="189">
        <v>3.108E-2</v>
      </c>
      <c r="X501" s="4" t="s">
        <v>602</v>
      </c>
      <c r="Y501" s="4" t="s">
        <v>312</v>
      </c>
      <c r="Z501" s="158">
        <v>653906.25</v>
      </c>
      <c r="AA501" s="158">
        <v>1</v>
      </c>
      <c r="AB501" s="158">
        <v>102.76</v>
      </c>
      <c r="AD501" s="158">
        <v>671.95399999999995</v>
      </c>
      <c r="AG501" s="11" t="s">
        <v>37</v>
      </c>
      <c r="AH501" s="189">
        <v>1.864E-3</v>
      </c>
      <c r="AI501" s="189">
        <v>2.1925577774964699E-3</v>
      </c>
      <c r="AJ501" s="189">
        <v>3.65336714675697E-4</v>
      </c>
    </row>
    <row r="502" spans="1:36">
      <c r="A502" s="11" t="s">
        <v>256</v>
      </c>
      <c r="B502" s="11">
        <v>7205</v>
      </c>
      <c r="C502" s="11" t="s">
        <v>1794</v>
      </c>
      <c r="D502" s="11" t="s">
        <v>1795</v>
      </c>
      <c r="E502" s="4" t="s">
        <v>1552</v>
      </c>
      <c r="F502" s="11" t="s">
        <v>2402</v>
      </c>
      <c r="G502" s="11" t="s">
        <v>2403</v>
      </c>
      <c r="H502" s="11" t="s">
        <v>511</v>
      </c>
      <c r="I502" s="11" t="s">
        <v>364</v>
      </c>
      <c r="J502" s="11" t="s">
        <v>31</v>
      </c>
      <c r="K502" s="11" t="s">
        <v>31</v>
      </c>
      <c r="L502" s="11" t="s">
        <v>517</v>
      </c>
      <c r="M502" s="11" t="s">
        <v>32</v>
      </c>
      <c r="N502" s="11" t="s">
        <v>642</v>
      </c>
      <c r="O502" s="11" t="s">
        <v>312</v>
      </c>
      <c r="P502" s="11" t="s">
        <v>2169</v>
      </c>
      <c r="Q502" s="11" t="s">
        <v>358</v>
      </c>
      <c r="R502" s="11" t="s">
        <v>596</v>
      </c>
      <c r="S502" s="11" t="s">
        <v>35</v>
      </c>
      <c r="T502" s="158">
        <v>3.46</v>
      </c>
      <c r="U502" s="11" t="s">
        <v>2404</v>
      </c>
      <c r="V502" s="174">
        <v>3.7699999999999997E-2</v>
      </c>
      <c r="W502" s="189">
        <v>6.2239999999999997E-2</v>
      </c>
      <c r="X502" s="4" t="s">
        <v>602</v>
      </c>
      <c r="Y502" s="4" t="s">
        <v>312</v>
      </c>
      <c r="Z502" s="158">
        <v>742940.21</v>
      </c>
      <c r="AA502" s="158">
        <v>1</v>
      </c>
      <c r="AB502" s="158">
        <v>102.78</v>
      </c>
      <c r="AD502" s="158">
        <v>763.59400000000005</v>
      </c>
      <c r="AG502" s="11" t="s">
        <v>37</v>
      </c>
      <c r="AH502" s="189">
        <v>4.248E-3</v>
      </c>
      <c r="AI502" s="189">
        <v>2.49157485997257E-3</v>
      </c>
      <c r="AJ502" s="189">
        <v>4.1516067811463002E-4</v>
      </c>
    </row>
    <row r="503" spans="1:36">
      <c r="A503" s="11" t="s">
        <v>256</v>
      </c>
      <c r="B503" s="11">
        <v>7205</v>
      </c>
      <c r="C503" s="11" t="s">
        <v>1794</v>
      </c>
      <c r="D503" s="11" t="s">
        <v>1795</v>
      </c>
      <c r="E503" s="4" t="s">
        <v>1552</v>
      </c>
      <c r="F503" s="11" t="s">
        <v>2405</v>
      </c>
      <c r="G503" s="11" t="s">
        <v>2406</v>
      </c>
      <c r="H503" s="11" t="s">
        <v>511</v>
      </c>
      <c r="I503" s="11" t="s">
        <v>364</v>
      </c>
      <c r="J503" s="11" t="s">
        <v>31</v>
      </c>
      <c r="K503" s="11" t="s">
        <v>31</v>
      </c>
      <c r="L503" s="11" t="s">
        <v>517</v>
      </c>
      <c r="M503" s="11" t="s">
        <v>32</v>
      </c>
      <c r="N503" s="11" t="s">
        <v>642</v>
      </c>
      <c r="O503" s="11" t="s">
        <v>312</v>
      </c>
      <c r="P503" s="11" t="s">
        <v>2169</v>
      </c>
      <c r="Q503" s="11" t="s">
        <v>358</v>
      </c>
      <c r="R503" s="11" t="s">
        <v>596</v>
      </c>
      <c r="S503" s="11" t="s">
        <v>35</v>
      </c>
      <c r="T503" s="158">
        <v>0.79</v>
      </c>
      <c r="U503" s="11" t="s">
        <v>2407</v>
      </c>
      <c r="V503" s="174">
        <v>3.49E-2</v>
      </c>
      <c r="W503" s="189">
        <v>7.4029999999999999E-2</v>
      </c>
      <c r="X503" s="4" t="s">
        <v>602</v>
      </c>
      <c r="Y503" s="4" t="s">
        <v>312</v>
      </c>
      <c r="Z503" s="158">
        <v>1151534.29</v>
      </c>
      <c r="AA503" s="158">
        <v>1</v>
      </c>
      <c r="AB503" s="158">
        <v>102.13</v>
      </c>
      <c r="AD503" s="158">
        <v>1176.0619999999999</v>
      </c>
      <c r="AG503" s="11" t="s">
        <v>37</v>
      </c>
      <c r="AH503" s="189">
        <v>2.2859999999999998E-3</v>
      </c>
      <c r="AI503" s="189">
        <v>3.8374406285666498E-3</v>
      </c>
      <c r="AJ503" s="189">
        <v>6.3941665136157998E-4</v>
      </c>
    </row>
    <row r="504" spans="1:36">
      <c r="A504" s="11" t="s">
        <v>256</v>
      </c>
      <c r="B504" s="11">
        <v>7205</v>
      </c>
      <c r="C504" s="11" t="s">
        <v>2039</v>
      </c>
      <c r="D504" s="11" t="s">
        <v>2040</v>
      </c>
      <c r="E504" s="4" t="s">
        <v>1552</v>
      </c>
      <c r="F504" s="11" t="s">
        <v>2408</v>
      </c>
      <c r="G504" s="11" t="s">
        <v>2409</v>
      </c>
      <c r="H504" s="11" t="s">
        <v>511</v>
      </c>
      <c r="I504" s="11" t="s">
        <v>945</v>
      </c>
      <c r="J504" s="11" t="s">
        <v>31</v>
      </c>
      <c r="K504" s="11" t="s">
        <v>31</v>
      </c>
      <c r="L504" s="11" t="s">
        <v>517</v>
      </c>
      <c r="M504" s="11" t="s">
        <v>32</v>
      </c>
      <c r="N504" s="11" t="s">
        <v>652</v>
      </c>
      <c r="O504" s="11" t="s">
        <v>312</v>
      </c>
      <c r="P504" s="11" t="s">
        <v>2225</v>
      </c>
      <c r="Q504" s="11" t="s">
        <v>604</v>
      </c>
      <c r="R504" s="11" t="s">
        <v>596</v>
      </c>
      <c r="S504" s="11" t="s">
        <v>35</v>
      </c>
      <c r="T504" s="158">
        <v>4.9880000000000004</v>
      </c>
      <c r="U504" s="11" t="s">
        <v>2410</v>
      </c>
      <c r="V504" s="174">
        <v>8.3999999999999995E-3</v>
      </c>
      <c r="W504" s="189">
        <v>3.1829999999999997E-2</v>
      </c>
      <c r="X504" s="4" t="s">
        <v>602</v>
      </c>
      <c r="Y504" s="4" t="s">
        <v>312</v>
      </c>
      <c r="Z504" s="158">
        <v>1231940</v>
      </c>
      <c r="AA504" s="158">
        <v>1</v>
      </c>
      <c r="AB504" s="158">
        <v>100.43</v>
      </c>
      <c r="AD504" s="158">
        <v>1237.2370000000001</v>
      </c>
      <c r="AG504" s="11" t="s">
        <v>37</v>
      </c>
      <c r="AH504" s="189">
        <v>1.552E-3</v>
      </c>
      <c r="AI504" s="189">
        <v>4.03705328712282E-3</v>
      </c>
      <c r="AJ504" s="189">
        <v>6.72677272191313E-4</v>
      </c>
    </row>
    <row r="505" spans="1:36">
      <c r="A505" s="11" t="s">
        <v>256</v>
      </c>
      <c r="B505" s="11">
        <v>7205</v>
      </c>
      <c r="C505" s="11" t="s">
        <v>1798</v>
      </c>
      <c r="D505" s="11" t="s">
        <v>1799</v>
      </c>
      <c r="E505" s="4" t="s">
        <v>1552</v>
      </c>
      <c r="F505" s="11" t="s">
        <v>2411</v>
      </c>
      <c r="G505" s="11" t="s">
        <v>2412</v>
      </c>
      <c r="H505" s="11" t="s">
        <v>511</v>
      </c>
      <c r="I505" s="11" t="s">
        <v>1155</v>
      </c>
      <c r="J505" s="11" t="s">
        <v>31</v>
      </c>
      <c r="K505" s="11" t="s">
        <v>31</v>
      </c>
      <c r="L505" s="11" t="s">
        <v>517</v>
      </c>
      <c r="M505" s="11" t="s">
        <v>32</v>
      </c>
      <c r="N505" s="11" t="s">
        <v>633</v>
      </c>
      <c r="O505" s="11" t="s">
        <v>312</v>
      </c>
      <c r="P505" s="11" t="s">
        <v>2394</v>
      </c>
      <c r="Q505" s="11" t="s">
        <v>358</v>
      </c>
      <c r="R505" s="11" t="s">
        <v>596</v>
      </c>
      <c r="S505" s="11" t="s">
        <v>35</v>
      </c>
      <c r="T505" s="158">
        <v>3.4940000000000002</v>
      </c>
      <c r="U505" s="11" t="s">
        <v>2413</v>
      </c>
      <c r="V505" s="174">
        <v>2.8000000000000001E-2</v>
      </c>
      <c r="W505" s="189">
        <v>4.4420000000000001E-2</v>
      </c>
      <c r="X505" s="4" t="s">
        <v>602</v>
      </c>
      <c r="Y505" s="4" t="s">
        <v>312</v>
      </c>
      <c r="Z505" s="158">
        <v>233888</v>
      </c>
      <c r="AA505" s="158">
        <v>1</v>
      </c>
      <c r="AB505" s="158">
        <v>95.5</v>
      </c>
      <c r="AD505" s="158">
        <v>223.363</v>
      </c>
      <c r="AG505" s="11" t="s">
        <v>37</v>
      </c>
      <c r="AH505" s="189">
        <v>1.5590000000000001E-3</v>
      </c>
      <c r="AI505" s="189">
        <v>7.2882418291392499E-4</v>
      </c>
      <c r="AJ505" s="189">
        <v>1.21440919502702E-4</v>
      </c>
    </row>
    <row r="506" spans="1:36">
      <c r="A506" s="11" t="s">
        <v>256</v>
      </c>
      <c r="B506" s="11">
        <v>7205</v>
      </c>
      <c r="C506" s="11" t="s">
        <v>2414</v>
      </c>
      <c r="D506" s="11" t="s">
        <v>2415</v>
      </c>
      <c r="E506" s="4" t="s">
        <v>1552</v>
      </c>
      <c r="F506" s="11" t="s">
        <v>2416</v>
      </c>
      <c r="G506" s="11" t="s">
        <v>2417</v>
      </c>
      <c r="H506" s="11" t="s">
        <v>511</v>
      </c>
      <c r="I506" s="11" t="s">
        <v>1154</v>
      </c>
      <c r="J506" s="11" t="s">
        <v>31</v>
      </c>
      <c r="K506" s="11" t="s">
        <v>31</v>
      </c>
      <c r="L506" s="11" t="s">
        <v>517</v>
      </c>
      <c r="M506" s="11" t="s">
        <v>32</v>
      </c>
      <c r="N506" s="11" t="s">
        <v>633</v>
      </c>
      <c r="O506" s="11" t="s">
        <v>312</v>
      </c>
      <c r="P506" s="11" t="s">
        <v>2418</v>
      </c>
      <c r="Q506" s="11" t="s">
        <v>604</v>
      </c>
      <c r="R506" s="11" t="s">
        <v>596</v>
      </c>
      <c r="S506" s="11" t="s">
        <v>35</v>
      </c>
      <c r="T506" s="158">
        <v>7.9000000000000001E-2</v>
      </c>
      <c r="U506" s="11" t="s">
        <v>45</v>
      </c>
      <c r="V506" s="174">
        <v>3.9199999999999999E-2</v>
      </c>
      <c r="W506" s="189">
        <v>5.9880000000000003E-2</v>
      </c>
      <c r="X506" s="4" t="s">
        <v>602</v>
      </c>
      <c r="Y506" s="4" t="s">
        <v>312</v>
      </c>
      <c r="Z506" s="158">
        <v>811627</v>
      </c>
      <c r="AA506" s="158">
        <v>1</v>
      </c>
      <c r="AB506" s="158">
        <v>101.47</v>
      </c>
      <c r="AD506" s="158">
        <v>823.55799999999999</v>
      </c>
      <c r="AG506" s="11" t="s">
        <v>37</v>
      </c>
      <c r="AH506" s="189">
        <v>1.7799999999999999E-3</v>
      </c>
      <c r="AI506" s="189">
        <v>2.6872347630428799E-3</v>
      </c>
      <c r="AJ506" s="189">
        <v>4.4776266786155001E-4</v>
      </c>
    </row>
    <row r="507" spans="1:36">
      <c r="A507" s="11" t="s">
        <v>256</v>
      </c>
      <c r="B507" s="11">
        <v>7205</v>
      </c>
      <c r="C507" s="11" t="s">
        <v>362</v>
      </c>
      <c r="D507" s="11" t="s">
        <v>1802</v>
      </c>
      <c r="E507" s="4" t="s">
        <v>1552</v>
      </c>
      <c r="F507" s="11" t="s">
        <v>2419</v>
      </c>
      <c r="G507" s="11" t="s">
        <v>2420</v>
      </c>
      <c r="H507" s="11" t="s">
        <v>511</v>
      </c>
      <c r="I507" s="11" t="s">
        <v>945</v>
      </c>
      <c r="J507" s="11" t="s">
        <v>31</v>
      </c>
      <c r="K507" s="11" t="s">
        <v>31</v>
      </c>
      <c r="L507" s="11" t="s">
        <v>517</v>
      </c>
      <c r="M507" s="11" t="s">
        <v>32</v>
      </c>
      <c r="N507" s="11" t="s">
        <v>636</v>
      </c>
      <c r="O507" s="11" t="s">
        <v>312</v>
      </c>
      <c r="P507" s="11" t="s">
        <v>157</v>
      </c>
      <c r="Q507" s="11" t="s">
        <v>604</v>
      </c>
      <c r="R507" s="11" t="s">
        <v>596</v>
      </c>
      <c r="S507" s="11" t="s">
        <v>35</v>
      </c>
      <c r="T507" s="158">
        <v>1.986</v>
      </c>
      <c r="U507" s="11" t="s">
        <v>2203</v>
      </c>
      <c r="V507" s="174">
        <v>8.3000000000000001E-3</v>
      </c>
      <c r="W507" s="189">
        <v>2.0129999999999999E-2</v>
      </c>
      <c r="X507" s="4" t="s">
        <v>602</v>
      </c>
      <c r="Y507" s="4" t="s">
        <v>312</v>
      </c>
      <c r="Z507" s="158">
        <v>3618558.5</v>
      </c>
      <c r="AA507" s="158">
        <v>1</v>
      </c>
      <c r="AB507" s="158">
        <v>110.75</v>
      </c>
      <c r="AD507" s="158">
        <v>4007.5540000000001</v>
      </c>
      <c r="AG507" s="11" t="s">
        <v>37</v>
      </c>
      <c r="AH507" s="189">
        <v>1.1900000000000001E-3</v>
      </c>
      <c r="AI507" s="189">
        <v>1.30764782452964E-2</v>
      </c>
      <c r="AJ507" s="189">
        <v>2.17887877377613E-3</v>
      </c>
    </row>
    <row r="508" spans="1:36">
      <c r="A508" s="11" t="s">
        <v>256</v>
      </c>
      <c r="B508" s="11">
        <v>7205</v>
      </c>
      <c r="C508" s="11" t="s">
        <v>362</v>
      </c>
      <c r="D508" s="11" t="s">
        <v>1802</v>
      </c>
      <c r="E508" s="4" t="s">
        <v>1552</v>
      </c>
      <c r="F508" s="11" t="s">
        <v>2421</v>
      </c>
      <c r="G508" s="11" t="s">
        <v>2422</v>
      </c>
      <c r="H508" s="11" t="s">
        <v>511</v>
      </c>
      <c r="I508" s="11" t="s">
        <v>1154</v>
      </c>
      <c r="J508" s="11" t="s">
        <v>31</v>
      </c>
      <c r="K508" s="11" t="s">
        <v>31</v>
      </c>
      <c r="L508" s="11" t="s">
        <v>517</v>
      </c>
      <c r="M508" s="11" t="s">
        <v>32</v>
      </c>
      <c r="N508" s="11" t="s">
        <v>636</v>
      </c>
      <c r="O508" s="11" t="s">
        <v>312</v>
      </c>
      <c r="P508" s="11" t="s">
        <v>357</v>
      </c>
      <c r="Q508" s="11" t="s">
        <v>358</v>
      </c>
      <c r="R508" s="11" t="s">
        <v>596</v>
      </c>
      <c r="S508" s="11" t="s">
        <v>35</v>
      </c>
      <c r="T508" s="158">
        <v>0.66</v>
      </c>
      <c r="U508" s="11" t="s">
        <v>140</v>
      </c>
      <c r="V508" s="174">
        <v>2.0199999999999999E-2</v>
      </c>
      <c r="W508" s="189">
        <v>4.7199999999999999E-2</v>
      </c>
      <c r="X508" s="4" t="s">
        <v>602</v>
      </c>
      <c r="Y508" s="4" t="s">
        <v>312</v>
      </c>
      <c r="Z508" s="158">
        <v>639093</v>
      </c>
      <c r="AA508" s="158">
        <v>1</v>
      </c>
      <c r="AB508" s="158">
        <v>99.11</v>
      </c>
      <c r="AD508" s="158">
        <v>633.40499999999997</v>
      </c>
      <c r="AG508" s="11" t="s">
        <v>37</v>
      </c>
      <c r="AH508" s="189">
        <v>7.5600000000000005E-4</v>
      </c>
      <c r="AI508" s="189">
        <v>2.0667740476337701E-3</v>
      </c>
      <c r="AJ508" s="189">
        <v>3.4437789885823398E-4</v>
      </c>
    </row>
    <row r="509" spans="1:36">
      <c r="A509" s="11" t="s">
        <v>256</v>
      </c>
      <c r="B509" s="11">
        <v>7205</v>
      </c>
      <c r="C509" s="11" t="s">
        <v>362</v>
      </c>
      <c r="D509" s="11" t="s">
        <v>1802</v>
      </c>
      <c r="E509" s="4" t="s">
        <v>1552</v>
      </c>
      <c r="F509" s="11" t="s">
        <v>2423</v>
      </c>
      <c r="G509" s="11" t="s">
        <v>2424</v>
      </c>
      <c r="H509" s="11" t="s">
        <v>511</v>
      </c>
      <c r="I509" s="11" t="s">
        <v>945</v>
      </c>
      <c r="J509" s="11" t="s">
        <v>31</v>
      </c>
      <c r="K509" s="11" t="s">
        <v>31</v>
      </c>
      <c r="L509" s="11" t="s">
        <v>517</v>
      </c>
      <c r="M509" s="11" t="s">
        <v>32</v>
      </c>
      <c r="N509" s="11" t="s">
        <v>636</v>
      </c>
      <c r="O509" s="11" t="s">
        <v>312</v>
      </c>
      <c r="P509" s="11" t="s">
        <v>357</v>
      </c>
      <c r="Q509" s="11" t="s">
        <v>358</v>
      </c>
      <c r="R509" s="11" t="s">
        <v>596</v>
      </c>
      <c r="S509" s="11" t="s">
        <v>35</v>
      </c>
      <c r="T509" s="158">
        <v>2.806</v>
      </c>
      <c r="U509" s="11" t="s">
        <v>2425</v>
      </c>
      <c r="V509" s="174">
        <v>1.8599999999999998E-2</v>
      </c>
      <c r="W509" s="189">
        <v>2.2460000000000001E-2</v>
      </c>
      <c r="X509" s="4" t="s">
        <v>602</v>
      </c>
      <c r="Y509" s="4" t="s">
        <v>312</v>
      </c>
      <c r="Z509" s="158">
        <v>1389094</v>
      </c>
      <c r="AA509" s="158">
        <v>1</v>
      </c>
      <c r="AB509" s="158">
        <v>101.33</v>
      </c>
      <c r="AD509" s="158">
        <v>1407.569</v>
      </c>
      <c r="AG509" s="11" t="s">
        <v>37</v>
      </c>
      <c r="AH509" s="189">
        <v>1.1310000000000001E-3</v>
      </c>
      <c r="AI509" s="189">
        <v>4.5928381437883598E-3</v>
      </c>
      <c r="AJ509" s="189">
        <v>7.6528537387269299E-4</v>
      </c>
    </row>
    <row r="510" spans="1:36">
      <c r="A510" s="11" t="s">
        <v>256</v>
      </c>
      <c r="B510" s="11">
        <v>7205</v>
      </c>
      <c r="C510" s="11" t="s">
        <v>362</v>
      </c>
      <c r="D510" s="11" t="s">
        <v>1802</v>
      </c>
      <c r="E510" s="4" t="s">
        <v>1552</v>
      </c>
      <c r="F510" s="11" t="s">
        <v>2870</v>
      </c>
      <c r="G510" s="11" t="s">
        <v>2871</v>
      </c>
      <c r="H510" s="11" t="s">
        <v>511</v>
      </c>
      <c r="I510" s="11" t="s">
        <v>945</v>
      </c>
      <c r="J510" s="11" t="s">
        <v>31</v>
      </c>
      <c r="K510" s="11" t="s">
        <v>31</v>
      </c>
      <c r="L510" s="11" t="s">
        <v>517</v>
      </c>
      <c r="M510" s="11" t="s">
        <v>32</v>
      </c>
      <c r="N510" s="11" t="s">
        <v>636</v>
      </c>
      <c r="O510" s="11" t="s">
        <v>312</v>
      </c>
      <c r="P510" s="11" t="s">
        <v>357</v>
      </c>
      <c r="Q510" s="11" t="s">
        <v>358</v>
      </c>
      <c r="R510" s="11" t="s">
        <v>596</v>
      </c>
      <c r="S510" s="11" t="s">
        <v>35</v>
      </c>
      <c r="T510" s="158">
        <v>3.3940000000000001</v>
      </c>
      <c r="U510" s="11" t="s">
        <v>2872</v>
      </c>
      <c r="V510" s="174">
        <v>1E-3</v>
      </c>
      <c r="W510" s="189">
        <v>2.298E-2</v>
      </c>
      <c r="X510" s="4" t="s">
        <v>602</v>
      </c>
      <c r="Y510" s="4" t="s">
        <v>312</v>
      </c>
      <c r="Z510" s="158">
        <v>2557355</v>
      </c>
      <c r="AA510" s="158">
        <v>1</v>
      </c>
      <c r="AB510" s="158">
        <v>102.72</v>
      </c>
      <c r="AD510" s="158">
        <v>2626.915</v>
      </c>
      <c r="AG510" s="11" t="s">
        <v>37</v>
      </c>
      <c r="AH510" s="189">
        <v>8.1499999999999997E-4</v>
      </c>
      <c r="AI510" s="189">
        <v>8.5715130814546896E-3</v>
      </c>
      <c r="AJ510" s="189">
        <v>1.4282353063252201E-3</v>
      </c>
    </row>
    <row r="511" spans="1:36">
      <c r="A511" s="11" t="s">
        <v>256</v>
      </c>
      <c r="B511" s="11">
        <v>7205</v>
      </c>
      <c r="C511" s="11" t="s">
        <v>2426</v>
      </c>
      <c r="D511" s="11" t="s">
        <v>2427</v>
      </c>
      <c r="E511" s="4" t="s">
        <v>1552</v>
      </c>
      <c r="F511" s="11" t="s">
        <v>2428</v>
      </c>
      <c r="G511" s="11" t="s">
        <v>2429</v>
      </c>
      <c r="H511" s="11" t="s">
        <v>511</v>
      </c>
      <c r="I511" s="11" t="s">
        <v>1154</v>
      </c>
      <c r="J511" s="11" t="s">
        <v>31</v>
      </c>
      <c r="K511" s="11" t="s">
        <v>31</v>
      </c>
      <c r="L511" s="11" t="s">
        <v>517</v>
      </c>
      <c r="M511" s="11" t="s">
        <v>32</v>
      </c>
      <c r="N511" s="11" t="s">
        <v>635</v>
      </c>
      <c r="O511" s="11" t="s">
        <v>312</v>
      </c>
      <c r="P511" s="11" t="s">
        <v>2165</v>
      </c>
      <c r="Q511" s="27" t="s">
        <v>2165</v>
      </c>
      <c r="R511" s="16" t="s">
        <v>2165</v>
      </c>
      <c r="S511" s="11" t="s">
        <v>35</v>
      </c>
      <c r="T511" s="158">
        <v>4.2640000000000002</v>
      </c>
      <c r="U511" s="11" t="s">
        <v>2430</v>
      </c>
      <c r="V511" s="174">
        <v>6.7299999999999999E-2</v>
      </c>
      <c r="W511" s="189">
        <v>6.8379999999999996E-2</v>
      </c>
      <c r="X511" s="4" t="s">
        <v>602</v>
      </c>
      <c r="Y511" s="4" t="s">
        <v>312</v>
      </c>
      <c r="Z511" s="158">
        <v>852000</v>
      </c>
      <c r="AA511" s="158">
        <v>1</v>
      </c>
      <c r="AB511" s="158">
        <v>100.7</v>
      </c>
      <c r="AD511" s="158">
        <v>857.96400000000006</v>
      </c>
      <c r="AG511" s="11" t="s">
        <v>37</v>
      </c>
      <c r="AH511" s="189">
        <v>3.0980000000000001E-3</v>
      </c>
      <c r="AI511" s="189">
        <v>2.7995003616961998E-3</v>
      </c>
      <c r="AJ511" s="189">
        <v>4.6646901412255302E-4</v>
      </c>
    </row>
    <row r="512" spans="1:36">
      <c r="A512" s="11" t="s">
        <v>256</v>
      </c>
      <c r="B512" s="11">
        <v>7205</v>
      </c>
      <c r="C512" s="11" t="s">
        <v>2431</v>
      </c>
      <c r="D512" s="11" t="s">
        <v>2432</v>
      </c>
      <c r="E512" s="4" t="s">
        <v>1552</v>
      </c>
      <c r="F512" s="11" t="s">
        <v>2433</v>
      </c>
      <c r="G512" s="11" t="s">
        <v>2434</v>
      </c>
      <c r="H512" s="11" t="s">
        <v>511</v>
      </c>
      <c r="I512" s="11" t="s">
        <v>1154</v>
      </c>
      <c r="J512" s="11" t="s">
        <v>31</v>
      </c>
      <c r="K512" s="11" t="s">
        <v>31</v>
      </c>
      <c r="L512" s="11" t="s">
        <v>517</v>
      </c>
      <c r="M512" s="11" t="s">
        <v>32</v>
      </c>
      <c r="N512" s="11" t="s">
        <v>635</v>
      </c>
      <c r="O512" s="11" t="s">
        <v>312</v>
      </c>
      <c r="P512" s="11" t="s">
        <v>2165</v>
      </c>
      <c r="Q512" s="27" t="s">
        <v>2165</v>
      </c>
      <c r="R512" s="16" t="s">
        <v>2165</v>
      </c>
      <c r="S512" s="11" t="s">
        <v>35</v>
      </c>
      <c r="T512" s="158">
        <v>1.776</v>
      </c>
      <c r="U512" s="11" t="s">
        <v>110</v>
      </c>
      <c r="V512" s="174">
        <v>7.0000000000000007E-2</v>
      </c>
      <c r="W512" s="189">
        <v>9.6860000000000002E-2</v>
      </c>
      <c r="X512" s="4" t="s">
        <v>602</v>
      </c>
      <c r="Y512" s="4" t="s">
        <v>312</v>
      </c>
      <c r="Z512" s="158">
        <v>570068.46</v>
      </c>
      <c r="AA512" s="158">
        <v>1</v>
      </c>
      <c r="AB512" s="158">
        <v>99.94</v>
      </c>
      <c r="AD512" s="158">
        <v>569.726</v>
      </c>
      <c r="AG512" s="11" t="s">
        <v>37</v>
      </c>
      <c r="AH512" s="189">
        <v>8.3649999999999992E-3</v>
      </c>
      <c r="AI512" s="189">
        <v>1.8589932862516599E-3</v>
      </c>
      <c r="AJ512" s="189">
        <v>3.0975626128258401E-4</v>
      </c>
    </row>
    <row r="513" spans="1:36">
      <c r="A513" s="11" t="s">
        <v>256</v>
      </c>
      <c r="B513" s="11">
        <v>7205</v>
      </c>
      <c r="C513" s="11" t="s">
        <v>1808</v>
      </c>
      <c r="D513" s="11" t="s">
        <v>1809</v>
      </c>
      <c r="E513" s="4" t="s">
        <v>1552</v>
      </c>
      <c r="F513" s="11" t="s">
        <v>2435</v>
      </c>
      <c r="G513" s="11" t="s">
        <v>2436</v>
      </c>
      <c r="H513" s="11" t="s">
        <v>511</v>
      </c>
      <c r="I513" s="11" t="s">
        <v>1154</v>
      </c>
      <c r="J513" s="11" t="s">
        <v>31</v>
      </c>
      <c r="K513" s="11" t="s">
        <v>31</v>
      </c>
      <c r="L513" s="11" t="s">
        <v>517</v>
      </c>
      <c r="M513" s="11" t="s">
        <v>32</v>
      </c>
      <c r="N513" s="11" t="s">
        <v>639</v>
      </c>
      <c r="O513" s="11" t="s">
        <v>312</v>
      </c>
      <c r="P513" s="11" t="s">
        <v>2165</v>
      </c>
      <c r="Q513" s="27" t="s">
        <v>2165</v>
      </c>
      <c r="R513" s="16" t="s">
        <v>2165</v>
      </c>
      <c r="S513" s="11" t="s">
        <v>35</v>
      </c>
      <c r="T513" s="158">
        <v>0.98299999999999998</v>
      </c>
      <c r="U513" s="11" t="s">
        <v>2317</v>
      </c>
      <c r="V513" s="174">
        <v>3.5000000000000003E-2</v>
      </c>
      <c r="W513" s="189">
        <v>4.6519999999999999E-2</v>
      </c>
      <c r="X513" s="4" t="s">
        <v>602</v>
      </c>
      <c r="Y513" s="4" t="s">
        <v>312</v>
      </c>
      <c r="Z513" s="158">
        <v>84653</v>
      </c>
      <c r="AA513" s="158">
        <v>1</v>
      </c>
      <c r="AB513" s="158">
        <v>97.64</v>
      </c>
      <c r="AD513" s="158">
        <v>82.655000000000001</v>
      </c>
      <c r="AG513" s="11" t="s">
        <v>37</v>
      </c>
      <c r="AH513" s="189">
        <v>1.0579999999999999E-3</v>
      </c>
      <c r="AI513" s="189">
        <v>2.6970039775732799E-4</v>
      </c>
      <c r="AJ513" s="189">
        <v>4.4939047114141301E-5</v>
      </c>
    </row>
    <row r="514" spans="1:36">
      <c r="A514" s="11" t="s">
        <v>256</v>
      </c>
      <c r="B514" s="11">
        <v>7205</v>
      </c>
      <c r="C514" s="11" t="s">
        <v>2437</v>
      </c>
      <c r="D514" s="11" t="s">
        <v>2438</v>
      </c>
      <c r="E514" s="4" t="s">
        <v>1552</v>
      </c>
      <c r="F514" s="11" t="s">
        <v>2439</v>
      </c>
      <c r="G514" s="11" t="s">
        <v>2440</v>
      </c>
      <c r="H514" s="11" t="s">
        <v>511</v>
      </c>
      <c r="I514" s="11" t="s">
        <v>945</v>
      </c>
      <c r="J514" s="11" t="s">
        <v>31</v>
      </c>
      <c r="K514" s="11" t="s">
        <v>31</v>
      </c>
      <c r="L514" s="11" t="s">
        <v>517</v>
      </c>
      <c r="M514" s="11" t="s">
        <v>32</v>
      </c>
      <c r="N514" s="11" t="s">
        <v>652</v>
      </c>
      <c r="O514" s="11" t="s">
        <v>312</v>
      </c>
      <c r="P514" s="11" t="s">
        <v>2165</v>
      </c>
      <c r="Q514" s="27" t="s">
        <v>2165</v>
      </c>
      <c r="R514" s="16" t="s">
        <v>2165</v>
      </c>
      <c r="S514" s="11" t="s">
        <v>35</v>
      </c>
      <c r="T514" s="158">
        <v>3.08</v>
      </c>
      <c r="U514" s="11" t="s">
        <v>2441</v>
      </c>
      <c r="V514" s="174">
        <v>6.0999999999999999E-2</v>
      </c>
      <c r="W514" s="189">
        <v>5.0319999999999997E-2</v>
      </c>
      <c r="X514" s="4" t="s">
        <v>602</v>
      </c>
      <c r="Y514" s="4" t="s">
        <v>312</v>
      </c>
      <c r="Z514" s="158">
        <v>671000</v>
      </c>
      <c r="AA514" s="158">
        <v>1</v>
      </c>
      <c r="AB514" s="158">
        <v>105.52</v>
      </c>
      <c r="AD514" s="158">
        <v>708.03899999999999</v>
      </c>
      <c r="AG514" s="11" t="s">
        <v>37</v>
      </c>
      <c r="AH514" s="189">
        <v>7.9129999999999999E-3</v>
      </c>
      <c r="AI514" s="189">
        <v>2.3103020598709101E-3</v>
      </c>
      <c r="AJ514" s="189">
        <v>3.8495595104703797E-4</v>
      </c>
    </row>
    <row r="515" spans="1:36">
      <c r="A515" s="11" t="s">
        <v>256</v>
      </c>
      <c r="B515" s="11">
        <v>7205</v>
      </c>
      <c r="C515" s="11" t="s">
        <v>2437</v>
      </c>
      <c r="D515" s="11" t="s">
        <v>2438</v>
      </c>
      <c r="E515" s="4" t="s">
        <v>1552</v>
      </c>
      <c r="F515" s="11" t="s">
        <v>2442</v>
      </c>
      <c r="G515" s="11" t="s">
        <v>2443</v>
      </c>
      <c r="H515" s="11" t="s">
        <v>511</v>
      </c>
      <c r="I515" s="11" t="s">
        <v>945</v>
      </c>
      <c r="J515" s="11" t="s">
        <v>31</v>
      </c>
      <c r="K515" s="11" t="s">
        <v>31</v>
      </c>
      <c r="L515" s="11" t="s">
        <v>517</v>
      </c>
      <c r="M515" s="11" t="s">
        <v>32</v>
      </c>
      <c r="N515" s="11" t="s">
        <v>652</v>
      </c>
      <c r="O515" s="11" t="s">
        <v>312</v>
      </c>
      <c r="P515" s="11" t="s">
        <v>2165</v>
      </c>
      <c r="Q515" s="27" t="s">
        <v>2165</v>
      </c>
      <c r="R515" s="16" t="s">
        <v>2165</v>
      </c>
      <c r="S515" s="11" t="s">
        <v>35</v>
      </c>
      <c r="T515" s="158">
        <v>3.113</v>
      </c>
      <c r="U515" s="11" t="s">
        <v>2166</v>
      </c>
      <c r="V515" s="174">
        <v>0.06</v>
      </c>
      <c r="W515" s="189">
        <v>4.795E-2</v>
      </c>
      <c r="X515" s="4" t="s">
        <v>602</v>
      </c>
      <c r="Y515" s="4" t="s">
        <v>312</v>
      </c>
      <c r="Z515" s="158">
        <v>453600</v>
      </c>
      <c r="AA515" s="158">
        <v>1</v>
      </c>
      <c r="AB515" s="158">
        <v>106.8</v>
      </c>
      <c r="AD515" s="158">
        <v>484.44499999999999</v>
      </c>
      <c r="AG515" s="11" t="s">
        <v>37</v>
      </c>
      <c r="AH515" s="189">
        <v>5.9059999999999998E-3</v>
      </c>
      <c r="AI515" s="189">
        <v>1.5807229590307299E-3</v>
      </c>
      <c r="AJ515" s="189">
        <v>2.6338924273372499E-4</v>
      </c>
    </row>
    <row r="516" spans="1:36">
      <c r="A516" s="11" t="s">
        <v>256</v>
      </c>
      <c r="B516" s="11">
        <v>7205</v>
      </c>
      <c r="C516" s="11" t="s">
        <v>1820</v>
      </c>
      <c r="D516" s="11" t="s">
        <v>1821</v>
      </c>
      <c r="E516" s="4" t="s">
        <v>1552</v>
      </c>
      <c r="F516" s="11" t="s">
        <v>2444</v>
      </c>
      <c r="G516" s="11" t="s">
        <v>2445</v>
      </c>
      <c r="H516" s="11" t="s">
        <v>511</v>
      </c>
      <c r="I516" s="11" t="s">
        <v>945</v>
      </c>
      <c r="J516" s="11" t="s">
        <v>31</v>
      </c>
      <c r="K516" s="11" t="s">
        <v>31</v>
      </c>
      <c r="L516" s="11" t="s">
        <v>517</v>
      </c>
      <c r="M516" s="11" t="s">
        <v>32</v>
      </c>
      <c r="N516" s="11" t="s">
        <v>652</v>
      </c>
      <c r="O516" s="11" t="s">
        <v>312</v>
      </c>
      <c r="P516" s="11" t="s">
        <v>2169</v>
      </c>
      <c r="Q516" s="11" t="s">
        <v>604</v>
      </c>
      <c r="R516" s="11" t="s">
        <v>596</v>
      </c>
      <c r="S516" s="11" t="s">
        <v>35</v>
      </c>
      <c r="T516" s="158">
        <v>2.4700000000000002</v>
      </c>
      <c r="U516" s="11" t="s">
        <v>110</v>
      </c>
      <c r="V516" s="174">
        <v>2.5999999999999999E-2</v>
      </c>
      <c r="W516" s="189">
        <v>2.6950000000000002E-2</v>
      </c>
      <c r="X516" s="4" t="s">
        <v>602</v>
      </c>
      <c r="Y516" s="4" t="s">
        <v>312</v>
      </c>
      <c r="Z516" s="158">
        <v>332110.23</v>
      </c>
      <c r="AA516" s="158">
        <v>1</v>
      </c>
      <c r="AB516" s="158">
        <v>115.09</v>
      </c>
      <c r="AD516" s="158">
        <v>382.226</v>
      </c>
      <c r="AG516" s="11" t="s">
        <v>37</v>
      </c>
      <c r="AH516" s="189">
        <v>9.2100000000000005E-4</v>
      </c>
      <c r="AI516" s="189">
        <v>1.2471862266917001E-3</v>
      </c>
      <c r="AJ516" s="189">
        <v>2.0781341469076E-4</v>
      </c>
    </row>
    <row r="517" spans="1:36">
      <c r="A517" s="11" t="s">
        <v>256</v>
      </c>
      <c r="B517" s="11">
        <v>7205</v>
      </c>
      <c r="C517" s="11" t="s">
        <v>1820</v>
      </c>
      <c r="D517" s="11" t="s">
        <v>1821</v>
      </c>
      <c r="E517" s="4" t="s">
        <v>1552</v>
      </c>
      <c r="F517" s="11" t="s">
        <v>2446</v>
      </c>
      <c r="G517" s="11" t="s">
        <v>2447</v>
      </c>
      <c r="H517" s="11" t="s">
        <v>511</v>
      </c>
      <c r="I517" s="11" t="s">
        <v>945</v>
      </c>
      <c r="J517" s="11" t="s">
        <v>31</v>
      </c>
      <c r="K517" s="11" t="s">
        <v>31</v>
      </c>
      <c r="L517" s="11" t="s">
        <v>517</v>
      </c>
      <c r="M517" s="11" t="s">
        <v>32</v>
      </c>
      <c r="N517" s="11" t="s">
        <v>652</v>
      </c>
      <c r="O517" s="11" t="s">
        <v>312</v>
      </c>
      <c r="P517" s="11" t="s">
        <v>2169</v>
      </c>
      <c r="Q517" s="11" t="s">
        <v>604</v>
      </c>
      <c r="R517" s="11" t="s">
        <v>596</v>
      </c>
      <c r="S517" s="11" t="s">
        <v>35</v>
      </c>
      <c r="T517" s="158">
        <v>1.988</v>
      </c>
      <c r="U517" s="11" t="s">
        <v>2198</v>
      </c>
      <c r="V517" s="174">
        <v>2.4E-2</v>
      </c>
      <c r="W517" s="189">
        <v>2.647E-2</v>
      </c>
      <c r="X517" s="4" t="s">
        <v>602</v>
      </c>
      <c r="Y517" s="4" t="s">
        <v>312</v>
      </c>
      <c r="Z517" s="158">
        <v>1324289.05</v>
      </c>
      <c r="AA517" s="158">
        <v>1</v>
      </c>
      <c r="AB517" s="158">
        <v>114.25</v>
      </c>
      <c r="AD517" s="158">
        <v>1513</v>
      </c>
      <c r="AG517" s="11" t="s">
        <v>37</v>
      </c>
      <c r="AH517" s="189">
        <v>2.2950000000000002E-3</v>
      </c>
      <c r="AI517" s="189">
        <v>4.9368559963782E-3</v>
      </c>
      <c r="AJ517" s="189">
        <v>8.2260762706251101E-4</v>
      </c>
    </row>
    <row r="518" spans="1:36">
      <c r="A518" s="11" t="s">
        <v>256</v>
      </c>
      <c r="B518" s="11">
        <v>7205</v>
      </c>
      <c r="C518" s="11" t="s">
        <v>1828</v>
      </c>
      <c r="D518" s="11" t="s">
        <v>1829</v>
      </c>
      <c r="E518" s="4" t="s">
        <v>1552</v>
      </c>
      <c r="F518" s="11" t="s">
        <v>2448</v>
      </c>
      <c r="G518" s="11" t="s">
        <v>2449</v>
      </c>
      <c r="H518" s="11" t="s">
        <v>511</v>
      </c>
      <c r="I518" s="11" t="s">
        <v>945</v>
      </c>
      <c r="J518" s="11" t="s">
        <v>31</v>
      </c>
      <c r="K518" s="11" t="s">
        <v>31</v>
      </c>
      <c r="L518" s="11" t="s">
        <v>517</v>
      </c>
      <c r="M518" s="11" t="s">
        <v>32</v>
      </c>
      <c r="N518" s="11" t="s">
        <v>652</v>
      </c>
      <c r="O518" s="11" t="s">
        <v>312</v>
      </c>
      <c r="P518" s="11" t="s">
        <v>2394</v>
      </c>
      <c r="Q518" s="11" t="s">
        <v>358</v>
      </c>
      <c r="R518" s="11" t="s">
        <v>596</v>
      </c>
      <c r="S518" s="11" t="s">
        <v>35</v>
      </c>
      <c r="T518" s="158">
        <v>1.956</v>
      </c>
      <c r="U518" s="11" t="s">
        <v>110</v>
      </c>
      <c r="V518" s="174">
        <v>1.4E-2</v>
      </c>
      <c r="W518" s="189">
        <v>2.5319999999999999E-2</v>
      </c>
      <c r="X518" s="4" t="s">
        <v>602</v>
      </c>
      <c r="Y518" s="4" t="s">
        <v>312</v>
      </c>
      <c r="Z518" s="158">
        <v>3790472.6</v>
      </c>
      <c r="AA518" s="158">
        <v>1</v>
      </c>
      <c r="AB518" s="158">
        <v>111.84</v>
      </c>
      <c r="AD518" s="158">
        <v>4239.2650000000003</v>
      </c>
      <c r="AG518" s="11" t="s">
        <v>37</v>
      </c>
      <c r="AH518" s="189">
        <v>4.6979999999999999E-3</v>
      </c>
      <c r="AI518" s="189">
        <v>1.3832541525518501E-2</v>
      </c>
      <c r="AJ518" s="189">
        <v>2.3048584299193999E-3</v>
      </c>
    </row>
    <row r="519" spans="1:36">
      <c r="A519" s="11" t="s">
        <v>256</v>
      </c>
      <c r="B519" s="11">
        <v>7205</v>
      </c>
      <c r="C519" s="11" t="s">
        <v>2450</v>
      </c>
      <c r="D519" s="11" t="s">
        <v>2451</v>
      </c>
      <c r="E519" s="4" t="s">
        <v>1552</v>
      </c>
      <c r="F519" s="11" t="s">
        <v>2452</v>
      </c>
      <c r="G519" s="11" t="s">
        <v>2453</v>
      </c>
      <c r="H519" s="11" t="s">
        <v>511</v>
      </c>
      <c r="I519" s="11" t="s">
        <v>945</v>
      </c>
      <c r="J519" s="11" t="s">
        <v>31</v>
      </c>
      <c r="K519" s="11" t="s">
        <v>31</v>
      </c>
      <c r="L519" s="11" t="s">
        <v>517</v>
      </c>
      <c r="M519" s="11" t="s">
        <v>32</v>
      </c>
      <c r="N519" s="11" t="s">
        <v>652</v>
      </c>
      <c r="O519" s="11" t="s">
        <v>312</v>
      </c>
      <c r="P519" s="11" t="s">
        <v>2327</v>
      </c>
      <c r="Q519" s="11" t="s">
        <v>358</v>
      </c>
      <c r="R519" s="11" t="s">
        <v>596</v>
      </c>
      <c r="S519" s="11" t="s">
        <v>35</v>
      </c>
      <c r="T519" s="158">
        <v>1.498</v>
      </c>
      <c r="U519" s="11" t="s">
        <v>2317</v>
      </c>
      <c r="V519" s="174">
        <v>1E-3</v>
      </c>
      <c r="W519" s="189">
        <v>2.086E-2</v>
      </c>
      <c r="X519" s="4" t="s">
        <v>602</v>
      </c>
      <c r="Y519" s="4" t="s">
        <v>312</v>
      </c>
      <c r="Z519" s="158">
        <v>1816700</v>
      </c>
      <c r="AA519" s="158">
        <v>1</v>
      </c>
      <c r="AB519" s="158">
        <v>110.23</v>
      </c>
      <c r="AD519" s="158">
        <v>2002.548</v>
      </c>
      <c r="AG519" s="11" t="s">
        <v>37</v>
      </c>
      <c r="AH519" s="189">
        <v>3.156E-3</v>
      </c>
      <c r="AI519" s="189">
        <v>6.5342310377931303E-3</v>
      </c>
      <c r="AJ519" s="189">
        <v>1.08877153650431E-3</v>
      </c>
    </row>
    <row r="520" spans="1:36">
      <c r="A520" s="11" t="s">
        <v>256</v>
      </c>
      <c r="B520" s="11">
        <v>7205</v>
      </c>
      <c r="C520" s="11" t="s">
        <v>2450</v>
      </c>
      <c r="D520" s="11" t="s">
        <v>2451</v>
      </c>
      <c r="E520" s="4" t="s">
        <v>1552</v>
      </c>
      <c r="F520" s="11" t="s">
        <v>2454</v>
      </c>
      <c r="G520" s="11" t="s">
        <v>2455</v>
      </c>
      <c r="H520" s="11" t="s">
        <v>511</v>
      </c>
      <c r="I520" s="11" t="s">
        <v>945</v>
      </c>
      <c r="J520" s="11" t="s">
        <v>31</v>
      </c>
      <c r="K520" s="11" t="s">
        <v>31</v>
      </c>
      <c r="L520" s="11" t="s">
        <v>517</v>
      </c>
      <c r="M520" s="11" t="s">
        <v>32</v>
      </c>
      <c r="N520" s="11" t="s">
        <v>652</v>
      </c>
      <c r="O520" s="11" t="s">
        <v>312</v>
      </c>
      <c r="P520" s="11" t="s">
        <v>2327</v>
      </c>
      <c r="Q520" s="11" t="s">
        <v>358</v>
      </c>
      <c r="R520" s="11" t="s">
        <v>596</v>
      </c>
      <c r="S520" s="11" t="s">
        <v>35</v>
      </c>
      <c r="T520" s="158">
        <v>2.7330000000000001</v>
      </c>
      <c r="U520" s="11" t="s">
        <v>110</v>
      </c>
      <c r="V520" s="174">
        <v>3.0000000000000001E-3</v>
      </c>
      <c r="W520" s="189">
        <v>3.356E-2</v>
      </c>
      <c r="X520" s="4" t="s">
        <v>602</v>
      </c>
      <c r="Y520" s="4" t="s">
        <v>312</v>
      </c>
      <c r="Z520" s="158">
        <v>2280727</v>
      </c>
      <c r="AA520" s="158">
        <v>1</v>
      </c>
      <c r="AB520" s="158">
        <v>101.03</v>
      </c>
      <c r="AD520" s="158">
        <v>2304.2179999999998</v>
      </c>
      <c r="AG520" s="11" t="s">
        <v>37</v>
      </c>
      <c r="AH520" s="189">
        <v>4.4840000000000001E-3</v>
      </c>
      <c r="AI520" s="189">
        <v>7.5185677847357402E-3</v>
      </c>
      <c r="AJ520" s="189">
        <v>1.2527874438402599E-3</v>
      </c>
    </row>
    <row r="521" spans="1:36">
      <c r="A521" s="11" t="s">
        <v>256</v>
      </c>
      <c r="B521" s="11">
        <v>7205</v>
      </c>
      <c r="C521" s="11" t="s">
        <v>2450</v>
      </c>
      <c r="D521" s="11" t="s">
        <v>2451</v>
      </c>
      <c r="E521" s="4" t="s">
        <v>1552</v>
      </c>
      <c r="F521" s="11" t="s">
        <v>2456</v>
      </c>
      <c r="G521" s="11" t="s">
        <v>2457</v>
      </c>
      <c r="H521" s="11" t="s">
        <v>511</v>
      </c>
      <c r="I521" s="11" t="s">
        <v>945</v>
      </c>
      <c r="J521" s="11" t="s">
        <v>31</v>
      </c>
      <c r="K521" s="11" t="s">
        <v>31</v>
      </c>
      <c r="L521" s="11" t="s">
        <v>517</v>
      </c>
      <c r="M521" s="11" t="s">
        <v>32</v>
      </c>
      <c r="N521" s="11" t="s">
        <v>652</v>
      </c>
      <c r="O521" s="11" t="s">
        <v>312</v>
      </c>
      <c r="P521" s="11" t="s">
        <v>2327</v>
      </c>
      <c r="Q521" s="11" t="s">
        <v>358</v>
      </c>
      <c r="R521" s="11" t="s">
        <v>596</v>
      </c>
      <c r="S521" s="11" t="s">
        <v>35</v>
      </c>
      <c r="T521" s="158">
        <v>2.2389999999999999</v>
      </c>
      <c r="U521" s="11" t="s">
        <v>2198</v>
      </c>
      <c r="V521" s="174">
        <v>3.0000000000000001E-3</v>
      </c>
      <c r="W521" s="189">
        <v>3.2349999999999997E-2</v>
      </c>
      <c r="X521" s="4" t="s">
        <v>602</v>
      </c>
      <c r="Y521" s="4" t="s">
        <v>312</v>
      </c>
      <c r="Z521" s="158">
        <v>900000</v>
      </c>
      <c r="AA521" s="158">
        <v>1</v>
      </c>
      <c r="AB521" s="158">
        <v>98.78</v>
      </c>
      <c r="AD521" s="158">
        <v>889.02</v>
      </c>
      <c r="AG521" s="11" t="s">
        <v>37</v>
      </c>
      <c r="AH521" s="189">
        <v>2.186E-3</v>
      </c>
      <c r="AI521" s="189">
        <v>2.9008347804280301E-3</v>
      </c>
      <c r="AJ521" s="189">
        <v>4.83353943679726E-4</v>
      </c>
    </row>
    <row r="522" spans="1:36">
      <c r="A522" s="11" t="s">
        <v>256</v>
      </c>
      <c r="B522" s="11">
        <v>7205</v>
      </c>
      <c r="C522" s="11" t="s">
        <v>2450</v>
      </c>
      <c r="D522" s="11" t="s">
        <v>2451</v>
      </c>
      <c r="E522" s="4" t="s">
        <v>1552</v>
      </c>
      <c r="F522" s="11" t="s">
        <v>2458</v>
      </c>
      <c r="G522" s="11" t="s">
        <v>2459</v>
      </c>
      <c r="H522" s="11" t="s">
        <v>511</v>
      </c>
      <c r="I522" s="11" t="s">
        <v>945</v>
      </c>
      <c r="J522" s="11" t="s">
        <v>31</v>
      </c>
      <c r="K522" s="11" t="s">
        <v>31</v>
      </c>
      <c r="L522" s="11" t="s">
        <v>517</v>
      </c>
      <c r="M522" s="11" t="s">
        <v>32</v>
      </c>
      <c r="N522" s="11" t="s">
        <v>652</v>
      </c>
      <c r="O522" s="11" t="s">
        <v>312</v>
      </c>
      <c r="P522" s="11" t="s">
        <v>2327</v>
      </c>
      <c r="Q522" s="11" t="s">
        <v>358</v>
      </c>
      <c r="R522" s="11" t="s">
        <v>596</v>
      </c>
      <c r="S522" s="11" t="s">
        <v>35</v>
      </c>
      <c r="T522" s="158">
        <v>2.4910000000000001</v>
      </c>
      <c r="U522" s="11" t="s">
        <v>2333</v>
      </c>
      <c r="V522" s="174">
        <v>3.0000000000000001E-3</v>
      </c>
      <c r="W522" s="189">
        <v>3.322E-2</v>
      </c>
      <c r="X522" s="4" t="s">
        <v>602</v>
      </c>
      <c r="Y522" s="4" t="s">
        <v>312</v>
      </c>
      <c r="Z522" s="158">
        <v>52472</v>
      </c>
      <c r="AA522" s="158">
        <v>1</v>
      </c>
      <c r="AB522" s="158">
        <v>94.71</v>
      </c>
      <c r="AD522" s="158">
        <v>49.695999999999998</v>
      </c>
      <c r="AG522" s="11" t="s">
        <v>37</v>
      </c>
      <c r="AH522" s="189">
        <v>1.74E-4</v>
      </c>
      <c r="AI522" s="189">
        <v>1.6215670729697001E-4</v>
      </c>
      <c r="AJ522" s="189">
        <v>2.70194926284441E-5</v>
      </c>
    </row>
    <row r="523" spans="1:36">
      <c r="A523" s="11" t="s">
        <v>256</v>
      </c>
      <c r="B523" s="11">
        <v>7205</v>
      </c>
      <c r="C523" s="11" t="s">
        <v>2460</v>
      </c>
      <c r="D523" s="11" t="s">
        <v>2461</v>
      </c>
      <c r="E523" s="4" t="s">
        <v>1552</v>
      </c>
      <c r="F523" s="11" t="s">
        <v>2462</v>
      </c>
      <c r="G523" s="11" t="s">
        <v>2463</v>
      </c>
      <c r="H523" s="11" t="s">
        <v>511</v>
      </c>
      <c r="I523" s="11" t="s">
        <v>945</v>
      </c>
      <c r="J523" s="11" t="s">
        <v>31</v>
      </c>
      <c r="K523" s="11" t="s">
        <v>31</v>
      </c>
      <c r="L523" s="11" t="s">
        <v>517</v>
      </c>
      <c r="M523" s="11" t="s">
        <v>32</v>
      </c>
      <c r="N523" s="11" t="s">
        <v>636</v>
      </c>
      <c r="O523" s="11" t="s">
        <v>312</v>
      </c>
      <c r="P523" s="11" t="s">
        <v>157</v>
      </c>
      <c r="Q523" s="11" t="s">
        <v>604</v>
      </c>
      <c r="R523" s="11" t="s">
        <v>596</v>
      </c>
      <c r="S523" s="11" t="s">
        <v>35</v>
      </c>
      <c r="T523" s="158">
        <v>3.1680000000000001</v>
      </c>
      <c r="U523" s="11" t="s">
        <v>2464</v>
      </c>
      <c r="V523" s="174">
        <v>1.2200000000000001E-2</v>
      </c>
      <c r="W523" s="189">
        <v>2.3429999999999999E-2</v>
      </c>
      <c r="X523" s="4" t="s">
        <v>602</v>
      </c>
      <c r="Y523" s="4" t="s">
        <v>312</v>
      </c>
      <c r="Z523" s="158">
        <v>2207729</v>
      </c>
      <c r="AA523" s="158">
        <v>1</v>
      </c>
      <c r="AB523" s="158">
        <v>111.52</v>
      </c>
      <c r="AD523" s="158">
        <v>2462.0590000000002</v>
      </c>
      <c r="AG523" s="11" t="s">
        <v>37</v>
      </c>
      <c r="AH523" s="189">
        <v>7.3200000000000001E-4</v>
      </c>
      <c r="AI523" s="189">
        <v>8.0335959633121203E-3</v>
      </c>
      <c r="AJ523" s="189">
        <v>1.3386044310401801E-3</v>
      </c>
    </row>
    <row r="524" spans="1:36">
      <c r="A524" s="11" t="s">
        <v>256</v>
      </c>
      <c r="B524" s="11">
        <v>7205</v>
      </c>
      <c r="C524" s="11" t="s">
        <v>2460</v>
      </c>
      <c r="D524" s="11" t="s">
        <v>2461</v>
      </c>
      <c r="E524" s="4" t="s">
        <v>1552</v>
      </c>
      <c r="F524" s="11" t="s">
        <v>2465</v>
      </c>
      <c r="G524" s="11" t="s">
        <v>2466</v>
      </c>
      <c r="H524" s="11" t="s">
        <v>511</v>
      </c>
      <c r="I524" s="11" t="s">
        <v>945</v>
      </c>
      <c r="J524" s="11" t="s">
        <v>31</v>
      </c>
      <c r="K524" s="11" t="s">
        <v>31</v>
      </c>
      <c r="L524" s="11" t="s">
        <v>517</v>
      </c>
      <c r="M524" s="11" t="s">
        <v>32</v>
      </c>
      <c r="N524" s="11" t="s">
        <v>636</v>
      </c>
      <c r="O524" s="11" t="s">
        <v>312</v>
      </c>
      <c r="P524" s="11" t="s">
        <v>157</v>
      </c>
      <c r="Q524" s="11" t="s">
        <v>604</v>
      </c>
      <c r="R524" s="11" t="s">
        <v>596</v>
      </c>
      <c r="S524" s="11" t="s">
        <v>35</v>
      </c>
      <c r="T524" s="158">
        <v>4.2990000000000004</v>
      </c>
      <c r="U524" s="11" t="s">
        <v>2467</v>
      </c>
      <c r="V524" s="174">
        <v>1E-3</v>
      </c>
      <c r="W524" s="189">
        <v>2.529E-2</v>
      </c>
      <c r="X524" s="4" t="s">
        <v>602</v>
      </c>
      <c r="Y524" s="4" t="s">
        <v>312</v>
      </c>
      <c r="Z524" s="158">
        <v>4541123</v>
      </c>
      <c r="AA524" s="158">
        <v>1</v>
      </c>
      <c r="AB524" s="158">
        <v>99.99</v>
      </c>
      <c r="AD524" s="158">
        <v>4540.6689999999999</v>
      </c>
      <c r="AG524" s="11" t="s">
        <v>37</v>
      </c>
      <c r="AH524" s="189">
        <v>1.3450000000000001E-3</v>
      </c>
      <c r="AI524" s="189">
        <v>1.48160111536834E-2</v>
      </c>
      <c r="AJ524" s="189">
        <v>2.4687298528870299E-3</v>
      </c>
    </row>
    <row r="525" spans="1:36">
      <c r="A525" s="11" t="s">
        <v>256</v>
      </c>
      <c r="B525" s="11">
        <v>7205</v>
      </c>
      <c r="C525" s="11" t="s">
        <v>2460</v>
      </c>
      <c r="D525" s="11" t="s">
        <v>2461</v>
      </c>
      <c r="E525" s="4" t="s">
        <v>1552</v>
      </c>
      <c r="F525" s="11" t="s">
        <v>2468</v>
      </c>
      <c r="G525" s="11" t="s">
        <v>2469</v>
      </c>
      <c r="H525" s="11" t="s">
        <v>511</v>
      </c>
      <c r="I525" s="11" t="s">
        <v>945</v>
      </c>
      <c r="J525" s="11" t="s">
        <v>31</v>
      </c>
      <c r="K525" s="11" t="s">
        <v>31</v>
      </c>
      <c r="L525" s="11" t="s">
        <v>517</v>
      </c>
      <c r="M525" s="11" t="s">
        <v>32</v>
      </c>
      <c r="N525" s="11" t="s">
        <v>636</v>
      </c>
      <c r="O525" s="11" t="s">
        <v>312</v>
      </c>
      <c r="P525" s="11" t="s">
        <v>157</v>
      </c>
      <c r="Q525" s="11" t="s">
        <v>604</v>
      </c>
      <c r="R525" s="11" t="s">
        <v>596</v>
      </c>
      <c r="S525" s="11" t="s">
        <v>35</v>
      </c>
      <c r="T525" s="158">
        <v>4.6559999999999997</v>
      </c>
      <c r="U525" s="11" t="s">
        <v>2470</v>
      </c>
      <c r="V525" s="174">
        <v>2.06E-2</v>
      </c>
      <c r="W525" s="189">
        <v>2.554E-2</v>
      </c>
      <c r="X525" s="4" t="s">
        <v>602</v>
      </c>
      <c r="Y525" s="4" t="s">
        <v>312</v>
      </c>
      <c r="Z525" s="158">
        <v>1249894.8</v>
      </c>
      <c r="AA525" s="158">
        <v>1</v>
      </c>
      <c r="AB525" s="158">
        <v>100.67</v>
      </c>
      <c r="AD525" s="158">
        <v>1258.269</v>
      </c>
      <c r="AG525" s="11" t="s">
        <v>37</v>
      </c>
      <c r="AH525" s="189">
        <v>6.9399999999999996E-4</v>
      </c>
      <c r="AI525" s="189">
        <v>4.1056790110209403E-3</v>
      </c>
      <c r="AJ525" s="189">
        <v>6.8411208899226805E-4</v>
      </c>
    </row>
    <row r="526" spans="1:36">
      <c r="A526" s="11" t="s">
        <v>256</v>
      </c>
      <c r="B526" s="11">
        <v>7205</v>
      </c>
      <c r="C526" s="11" t="s">
        <v>2460</v>
      </c>
      <c r="D526" s="11" t="s">
        <v>2461</v>
      </c>
      <c r="E526" s="4" t="s">
        <v>1552</v>
      </c>
      <c r="F526" s="11" t="s">
        <v>2471</v>
      </c>
      <c r="G526" s="11" t="s">
        <v>2472</v>
      </c>
      <c r="H526" s="11" t="s">
        <v>511</v>
      </c>
      <c r="I526" s="11" t="s">
        <v>945</v>
      </c>
      <c r="J526" s="11" t="s">
        <v>31</v>
      </c>
      <c r="K526" s="11" t="s">
        <v>31</v>
      </c>
      <c r="L526" s="11" t="s">
        <v>517</v>
      </c>
      <c r="M526" s="11" t="s">
        <v>32</v>
      </c>
      <c r="N526" s="11" t="s">
        <v>636</v>
      </c>
      <c r="O526" s="11" t="s">
        <v>312</v>
      </c>
      <c r="P526" s="11" t="s">
        <v>357</v>
      </c>
      <c r="Q526" s="11" t="s">
        <v>358</v>
      </c>
      <c r="R526" s="11" t="s">
        <v>596</v>
      </c>
      <c r="S526" s="11" t="s">
        <v>35</v>
      </c>
      <c r="T526" s="158">
        <v>4.6280000000000001</v>
      </c>
      <c r="U526" s="11" t="s">
        <v>2473</v>
      </c>
      <c r="V526" s="174">
        <v>1.9900000000000001E-2</v>
      </c>
      <c r="W526" s="189">
        <v>2.571E-2</v>
      </c>
      <c r="X526" s="4" t="s">
        <v>602</v>
      </c>
      <c r="Y526" s="4" t="s">
        <v>312</v>
      </c>
      <c r="Z526" s="158">
        <v>3164000</v>
      </c>
      <c r="AA526" s="158">
        <v>1</v>
      </c>
      <c r="AB526" s="158">
        <v>100.23</v>
      </c>
      <c r="AD526" s="158">
        <v>3171.277</v>
      </c>
      <c r="AG526" s="11" t="s">
        <v>37</v>
      </c>
      <c r="AH526" s="189">
        <v>1.1720000000000001E-3</v>
      </c>
      <c r="AI526" s="189">
        <v>1.0347743807943999E-2</v>
      </c>
      <c r="AJ526" s="189">
        <v>1.72420118908641E-3</v>
      </c>
    </row>
    <row r="527" spans="1:36">
      <c r="A527" s="11" t="s">
        <v>256</v>
      </c>
      <c r="B527" s="11">
        <v>7205</v>
      </c>
      <c r="C527" s="11" t="s">
        <v>2460</v>
      </c>
      <c r="D527" s="11" t="s">
        <v>2461</v>
      </c>
      <c r="E527" s="4" t="s">
        <v>1552</v>
      </c>
      <c r="F527" s="11" t="s">
        <v>2474</v>
      </c>
      <c r="G527" s="11" t="s">
        <v>2475</v>
      </c>
      <c r="H527" s="11" t="s">
        <v>511</v>
      </c>
      <c r="I527" s="11" t="s">
        <v>1154</v>
      </c>
      <c r="J527" s="11" t="s">
        <v>31</v>
      </c>
      <c r="K527" s="11" t="s">
        <v>31</v>
      </c>
      <c r="L527" s="11" t="s">
        <v>517</v>
      </c>
      <c r="M527" s="11" t="s">
        <v>32</v>
      </c>
      <c r="N527" s="11" t="s">
        <v>636</v>
      </c>
      <c r="O527" s="11" t="s">
        <v>312</v>
      </c>
      <c r="P527" s="11" t="s">
        <v>157</v>
      </c>
      <c r="Q527" s="11" t="s">
        <v>604</v>
      </c>
      <c r="R527" s="11" t="s">
        <v>596</v>
      </c>
      <c r="S527" s="11" t="s">
        <v>35</v>
      </c>
      <c r="T527" s="158">
        <v>0.17799999999999999</v>
      </c>
      <c r="U527" s="11" t="s">
        <v>243</v>
      </c>
      <c r="V527" s="174">
        <v>1.09E-2</v>
      </c>
      <c r="W527" s="189">
        <v>4.7379999999999999E-2</v>
      </c>
      <c r="X527" s="4" t="s">
        <v>602</v>
      </c>
      <c r="Y527" s="4" t="s">
        <v>312</v>
      </c>
      <c r="Z527" s="158">
        <v>586010</v>
      </c>
      <c r="AA527" s="158">
        <v>1</v>
      </c>
      <c r="AB527" s="158">
        <v>100.26</v>
      </c>
      <c r="AD527" s="158">
        <v>587.53399999999999</v>
      </c>
      <c r="AG527" s="11" t="s">
        <v>37</v>
      </c>
      <c r="AH527" s="189">
        <v>7.6499999999999995E-4</v>
      </c>
      <c r="AI527" s="189">
        <v>1.9170974522190699E-3</v>
      </c>
      <c r="AJ527" s="189">
        <v>3.1943791497553398E-4</v>
      </c>
    </row>
    <row r="528" spans="1:36">
      <c r="A528" s="11" t="s">
        <v>256</v>
      </c>
      <c r="B528" s="11">
        <v>7205</v>
      </c>
      <c r="C528" s="11" t="s">
        <v>2460</v>
      </c>
      <c r="D528" s="11" t="s">
        <v>2461</v>
      </c>
      <c r="E528" s="4" t="s">
        <v>1552</v>
      </c>
      <c r="F528" s="11" t="s">
        <v>2476</v>
      </c>
      <c r="G528" s="11" t="s">
        <v>2477</v>
      </c>
      <c r="H528" s="11" t="s">
        <v>511</v>
      </c>
      <c r="I528" s="11" t="s">
        <v>945</v>
      </c>
      <c r="J528" s="11" t="s">
        <v>31</v>
      </c>
      <c r="K528" s="11" t="s">
        <v>31</v>
      </c>
      <c r="L528" s="11" t="s">
        <v>517</v>
      </c>
      <c r="M528" s="11" t="s">
        <v>32</v>
      </c>
      <c r="N528" s="11" t="s">
        <v>636</v>
      </c>
      <c r="O528" s="11" t="s">
        <v>312</v>
      </c>
      <c r="P528" s="11" t="s">
        <v>157</v>
      </c>
      <c r="Q528" s="11" t="s">
        <v>604</v>
      </c>
      <c r="R528" s="11" t="s">
        <v>596</v>
      </c>
      <c r="S528" s="11" t="s">
        <v>35</v>
      </c>
      <c r="T528" s="158">
        <v>2.4089999999999998</v>
      </c>
      <c r="U528" s="11" t="s">
        <v>2478</v>
      </c>
      <c r="V528" s="174">
        <v>5.0000000000000001E-3</v>
      </c>
      <c r="W528" s="189">
        <v>2.0039999999999999E-2</v>
      </c>
      <c r="X528" s="4" t="s">
        <v>602</v>
      </c>
      <c r="Y528" s="4" t="s">
        <v>312</v>
      </c>
      <c r="Z528" s="158">
        <v>2704669</v>
      </c>
      <c r="AA528" s="158">
        <v>1</v>
      </c>
      <c r="AB528" s="158">
        <v>108.28</v>
      </c>
      <c r="AD528" s="158">
        <v>2928.616</v>
      </c>
      <c r="AG528" s="11" t="s">
        <v>37</v>
      </c>
      <c r="AH528" s="189">
        <v>3.5439999999999998E-3</v>
      </c>
      <c r="AI528" s="189">
        <v>9.5559492151564996E-3</v>
      </c>
      <c r="AJ528" s="189">
        <v>1.5922677740603801E-3</v>
      </c>
    </row>
    <row r="529" spans="1:36">
      <c r="A529" s="11" t="s">
        <v>256</v>
      </c>
      <c r="B529" s="11">
        <v>7205</v>
      </c>
      <c r="C529" s="11" t="s">
        <v>2460</v>
      </c>
      <c r="D529" s="11" t="s">
        <v>2461</v>
      </c>
      <c r="E529" s="4" t="s">
        <v>1552</v>
      </c>
      <c r="F529" s="11" t="s">
        <v>2479</v>
      </c>
      <c r="G529" s="11" t="s">
        <v>2480</v>
      </c>
      <c r="H529" s="11" t="s">
        <v>511</v>
      </c>
      <c r="I529" s="11" t="s">
        <v>945</v>
      </c>
      <c r="J529" s="11" t="s">
        <v>31</v>
      </c>
      <c r="K529" s="11" t="s">
        <v>31</v>
      </c>
      <c r="L529" s="11" t="s">
        <v>517</v>
      </c>
      <c r="M529" s="11" t="s">
        <v>32</v>
      </c>
      <c r="N529" s="11" t="s">
        <v>636</v>
      </c>
      <c r="O529" s="11" t="s">
        <v>312</v>
      </c>
      <c r="P529" s="11" t="s">
        <v>157</v>
      </c>
      <c r="Q529" s="11" t="s">
        <v>604</v>
      </c>
      <c r="R529" s="11" t="s">
        <v>596</v>
      </c>
      <c r="S529" s="11" t="s">
        <v>35</v>
      </c>
      <c r="T529" s="158">
        <v>0.66600000000000004</v>
      </c>
      <c r="U529" s="11" t="s">
        <v>2481</v>
      </c>
      <c r="V529" s="174">
        <v>9.4999999999999998E-3</v>
      </c>
      <c r="W529" s="189">
        <v>2.8910000000000002E-2</v>
      </c>
      <c r="X529" s="4" t="s">
        <v>602</v>
      </c>
      <c r="Y529" s="4" t="s">
        <v>312</v>
      </c>
      <c r="Z529" s="158">
        <v>1503748.41</v>
      </c>
      <c r="AA529" s="158">
        <v>1</v>
      </c>
      <c r="AB529" s="158">
        <v>113.35</v>
      </c>
      <c r="AD529" s="158">
        <v>1704.499</v>
      </c>
      <c r="AG529" s="11" t="s">
        <v>37</v>
      </c>
      <c r="AH529" s="189">
        <v>9.3559999999999997E-3</v>
      </c>
      <c r="AI529" s="189">
        <v>5.5617077998113898E-3</v>
      </c>
      <c r="AJ529" s="189">
        <v>9.2672406466267503E-4</v>
      </c>
    </row>
    <row r="530" spans="1:36">
      <c r="A530" s="11" t="s">
        <v>256</v>
      </c>
      <c r="B530" s="11">
        <v>7205</v>
      </c>
      <c r="C530" s="11" t="s">
        <v>2460</v>
      </c>
      <c r="D530" s="11" t="s">
        <v>2461</v>
      </c>
      <c r="E530" s="4" t="s">
        <v>1552</v>
      </c>
      <c r="F530" s="11" t="s">
        <v>2482</v>
      </c>
      <c r="G530" s="11" t="s">
        <v>2483</v>
      </c>
      <c r="H530" s="11" t="s">
        <v>511</v>
      </c>
      <c r="I530" s="11" t="s">
        <v>1154</v>
      </c>
      <c r="J530" s="11" t="s">
        <v>31</v>
      </c>
      <c r="K530" s="11" t="s">
        <v>31</v>
      </c>
      <c r="L530" s="11" t="s">
        <v>517</v>
      </c>
      <c r="M530" s="11" t="s">
        <v>32</v>
      </c>
      <c r="N530" s="11" t="s">
        <v>636</v>
      </c>
      <c r="O530" s="11" t="s">
        <v>312</v>
      </c>
      <c r="P530" s="11" t="s">
        <v>157</v>
      </c>
      <c r="Q530" s="11" t="s">
        <v>604</v>
      </c>
      <c r="R530" s="11" t="s">
        <v>596</v>
      </c>
      <c r="S530" s="11" t="s">
        <v>35</v>
      </c>
      <c r="T530" s="158">
        <v>0.93400000000000005</v>
      </c>
      <c r="U530" s="11" t="s">
        <v>2484</v>
      </c>
      <c r="V530" s="174">
        <v>2.98E-2</v>
      </c>
      <c r="W530" s="189">
        <v>4.4900000000000002E-2</v>
      </c>
      <c r="X530" s="4" t="s">
        <v>602</v>
      </c>
      <c r="Y530" s="4" t="s">
        <v>312</v>
      </c>
      <c r="Z530" s="158">
        <v>1675374</v>
      </c>
      <c r="AA530" s="158">
        <v>1</v>
      </c>
      <c r="AB530" s="158">
        <v>98.82</v>
      </c>
      <c r="AD530" s="158">
        <v>1655.605</v>
      </c>
      <c r="AG530" s="11" t="s">
        <v>37</v>
      </c>
      <c r="AH530" s="189">
        <v>6.5899999999999997E-4</v>
      </c>
      <c r="AI530" s="189">
        <v>5.4021679692533601E-3</v>
      </c>
      <c r="AJ530" s="189">
        <v>9.0014061123936805E-4</v>
      </c>
    </row>
    <row r="531" spans="1:36">
      <c r="A531" s="11" t="s">
        <v>256</v>
      </c>
      <c r="B531" s="11">
        <v>7205</v>
      </c>
      <c r="C531" s="11" t="s">
        <v>2460</v>
      </c>
      <c r="D531" s="11" t="s">
        <v>2461</v>
      </c>
      <c r="E531" s="4" t="s">
        <v>1552</v>
      </c>
      <c r="F531" s="11" t="s">
        <v>2485</v>
      </c>
      <c r="G531" s="11" t="s">
        <v>2486</v>
      </c>
      <c r="H531" s="11" t="s">
        <v>511</v>
      </c>
      <c r="I531" s="11" t="s">
        <v>945</v>
      </c>
      <c r="J531" s="11" t="s">
        <v>31</v>
      </c>
      <c r="K531" s="11" t="s">
        <v>31</v>
      </c>
      <c r="L531" s="11" t="s">
        <v>517</v>
      </c>
      <c r="M531" s="11" t="s">
        <v>32</v>
      </c>
      <c r="N531" s="11" t="s">
        <v>636</v>
      </c>
      <c r="O531" s="11" t="s">
        <v>312</v>
      </c>
      <c r="P531" s="11" t="s">
        <v>157</v>
      </c>
      <c r="Q531" s="11" t="s">
        <v>604</v>
      </c>
      <c r="R531" s="11" t="s">
        <v>596</v>
      </c>
      <c r="S531" s="11" t="s">
        <v>35</v>
      </c>
      <c r="T531" s="158">
        <v>3.73</v>
      </c>
      <c r="U531" s="11" t="s">
        <v>2487</v>
      </c>
      <c r="V531" s="174">
        <v>1.6400000000000001E-2</v>
      </c>
      <c r="W531" s="189">
        <v>2.4680000000000001E-2</v>
      </c>
      <c r="X531" s="4" t="s">
        <v>602</v>
      </c>
      <c r="Y531" s="4" t="s">
        <v>312</v>
      </c>
      <c r="Z531" s="158">
        <v>699564.3</v>
      </c>
      <c r="AA531" s="158">
        <v>1</v>
      </c>
      <c r="AB531" s="158">
        <v>102.97</v>
      </c>
      <c r="AD531" s="158">
        <v>720.34100000000001</v>
      </c>
      <c r="AG531" s="11" t="s">
        <v>37</v>
      </c>
      <c r="AH531" s="189">
        <v>6.4999999999999997E-4</v>
      </c>
      <c r="AI531" s="189">
        <v>2.3504434883664998E-3</v>
      </c>
      <c r="AJ531" s="189">
        <v>3.9164454906688697E-4</v>
      </c>
    </row>
    <row r="532" spans="1:36">
      <c r="A532" s="11" t="s">
        <v>256</v>
      </c>
      <c r="B532" s="11">
        <v>7205</v>
      </c>
      <c r="C532" s="11" t="s">
        <v>2460</v>
      </c>
      <c r="D532" s="11" t="s">
        <v>2461</v>
      </c>
      <c r="E532" s="4" t="s">
        <v>1552</v>
      </c>
      <c r="F532" s="11" t="s">
        <v>2488</v>
      </c>
      <c r="G532" s="11" t="s">
        <v>2489</v>
      </c>
      <c r="H532" s="11" t="s">
        <v>511</v>
      </c>
      <c r="I532" s="11" t="s">
        <v>945</v>
      </c>
      <c r="J532" s="11" t="s">
        <v>31</v>
      </c>
      <c r="K532" s="11" t="s">
        <v>31</v>
      </c>
      <c r="L532" s="11" t="s">
        <v>517</v>
      </c>
      <c r="M532" s="11" t="s">
        <v>32</v>
      </c>
      <c r="N532" s="11" t="s">
        <v>636</v>
      </c>
      <c r="O532" s="11" t="s">
        <v>312</v>
      </c>
      <c r="P532" s="11" t="s">
        <v>157</v>
      </c>
      <c r="Q532" s="11" t="s">
        <v>604</v>
      </c>
      <c r="R532" s="11" t="s">
        <v>596</v>
      </c>
      <c r="S532" s="11" t="s">
        <v>35</v>
      </c>
      <c r="T532" s="158">
        <v>0.24399999999999999</v>
      </c>
      <c r="U532" s="11" t="s">
        <v>2490</v>
      </c>
      <c r="V532" s="174">
        <v>8.6E-3</v>
      </c>
      <c r="W532" s="189">
        <v>2.4969999999999999E-2</v>
      </c>
      <c r="X532" s="4" t="s">
        <v>602</v>
      </c>
      <c r="Y532" s="4" t="s">
        <v>312</v>
      </c>
      <c r="Z532" s="158">
        <v>6448734</v>
      </c>
      <c r="AA532" s="158">
        <v>1</v>
      </c>
      <c r="AB532" s="158">
        <v>114.94</v>
      </c>
      <c r="AD532" s="158">
        <v>7412.1750000000002</v>
      </c>
      <c r="AG532" s="11" t="s">
        <v>37</v>
      </c>
      <c r="AH532" s="189">
        <v>2.578E-3</v>
      </c>
      <c r="AI532" s="189">
        <v>2.4185614082182599E-2</v>
      </c>
      <c r="AJ532" s="189">
        <v>4.0299475260751998E-3</v>
      </c>
    </row>
    <row r="533" spans="1:36">
      <c r="A533" s="11" t="s">
        <v>256</v>
      </c>
      <c r="B533" s="11">
        <v>7205</v>
      </c>
      <c r="C533" s="11" t="s">
        <v>2460</v>
      </c>
      <c r="D533" s="11" t="s">
        <v>2461</v>
      </c>
      <c r="E533" s="4" t="s">
        <v>1552</v>
      </c>
      <c r="F533" s="11" t="s">
        <v>2491</v>
      </c>
      <c r="G533" s="11" t="s">
        <v>2492</v>
      </c>
      <c r="H533" s="11" t="s">
        <v>511</v>
      </c>
      <c r="I533" s="11" t="s">
        <v>945</v>
      </c>
      <c r="J533" s="11" t="s">
        <v>31</v>
      </c>
      <c r="K533" s="11" t="s">
        <v>31</v>
      </c>
      <c r="L533" s="11" t="s">
        <v>517</v>
      </c>
      <c r="M533" s="11" t="s">
        <v>32</v>
      </c>
      <c r="N533" s="11" t="s">
        <v>636</v>
      </c>
      <c r="O533" s="11" t="s">
        <v>312</v>
      </c>
      <c r="P533" s="11" t="s">
        <v>157</v>
      </c>
      <c r="Q533" s="11" t="s">
        <v>604</v>
      </c>
      <c r="R533" s="11" t="s">
        <v>596</v>
      </c>
      <c r="S533" s="11" t="s">
        <v>35</v>
      </c>
      <c r="T533" s="158">
        <v>1.9710000000000001</v>
      </c>
      <c r="U533" s="11" t="s">
        <v>2493</v>
      </c>
      <c r="V533" s="174">
        <v>3.8E-3</v>
      </c>
      <c r="W533" s="189">
        <v>2.087E-2</v>
      </c>
      <c r="X533" s="4" t="s">
        <v>602</v>
      </c>
      <c r="Y533" s="4" t="s">
        <v>312</v>
      </c>
      <c r="Z533" s="158">
        <v>4400329</v>
      </c>
      <c r="AA533" s="158">
        <v>1</v>
      </c>
      <c r="AB533" s="158">
        <v>107.97</v>
      </c>
      <c r="AD533" s="158">
        <v>4751.0349999999999</v>
      </c>
      <c r="AG533" s="11" t="s">
        <v>37</v>
      </c>
      <c r="AH533" s="189">
        <v>1.467E-3</v>
      </c>
      <c r="AI533" s="189">
        <v>1.55024276315332E-2</v>
      </c>
      <c r="AJ533" s="189">
        <v>2.58310455420197E-3</v>
      </c>
    </row>
    <row r="534" spans="1:36">
      <c r="A534" s="11" t="s">
        <v>256</v>
      </c>
      <c r="B534" s="11">
        <v>7205</v>
      </c>
      <c r="C534" s="11" t="s">
        <v>2460</v>
      </c>
      <c r="D534" s="11" t="s">
        <v>2461</v>
      </c>
      <c r="E534" s="4" t="s">
        <v>1552</v>
      </c>
      <c r="F534" s="11" t="s">
        <v>2494</v>
      </c>
      <c r="G534" s="11" t="s">
        <v>2495</v>
      </c>
      <c r="H534" s="11" t="s">
        <v>511</v>
      </c>
      <c r="I534" s="11" t="s">
        <v>945</v>
      </c>
      <c r="J534" s="11" t="s">
        <v>31</v>
      </c>
      <c r="K534" s="11" t="s">
        <v>31</v>
      </c>
      <c r="L534" s="11" t="s">
        <v>517</v>
      </c>
      <c r="M534" s="11" t="s">
        <v>32</v>
      </c>
      <c r="N534" s="11" t="s">
        <v>636</v>
      </c>
      <c r="O534" s="11" t="s">
        <v>312</v>
      </c>
      <c r="P534" s="11" t="s">
        <v>157</v>
      </c>
      <c r="Q534" s="11" t="s">
        <v>604</v>
      </c>
      <c r="R534" s="11" t="s">
        <v>596</v>
      </c>
      <c r="S534" s="11" t="s">
        <v>35</v>
      </c>
      <c r="T534" s="158">
        <v>3.6779999999999999</v>
      </c>
      <c r="U534" s="11" t="s">
        <v>2496</v>
      </c>
      <c r="V534" s="174">
        <v>1E-3</v>
      </c>
      <c r="W534" s="189">
        <v>2.5350000000000001E-2</v>
      </c>
      <c r="X534" s="4" t="s">
        <v>602</v>
      </c>
      <c r="Y534" s="4" t="s">
        <v>312</v>
      </c>
      <c r="Z534" s="158">
        <v>2631971.5699999998</v>
      </c>
      <c r="AA534" s="158">
        <v>1</v>
      </c>
      <c r="AB534" s="158">
        <v>100.22</v>
      </c>
      <c r="AD534" s="158">
        <v>2637.7620000000002</v>
      </c>
      <c r="AG534" s="11" t="s">
        <v>37</v>
      </c>
      <c r="AH534" s="189">
        <v>1.011E-3</v>
      </c>
      <c r="AI534" s="189">
        <v>8.6069059004642706E-3</v>
      </c>
      <c r="AJ534" s="189">
        <v>1.4341326634451899E-3</v>
      </c>
    </row>
    <row r="535" spans="1:36">
      <c r="A535" s="11" t="s">
        <v>256</v>
      </c>
      <c r="B535" s="11">
        <v>7205</v>
      </c>
      <c r="C535" s="11" t="s">
        <v>2873</v>
      </c>
      <c r="D535" s="11" t="s">
        <v>2874</v>
      </c>
      <c r="E535" s="4" t="s">
        <v>1552</v>
      </c>
      <c r="F535" s="11" t="s">
        <v>2875</v>
      </c>
      <c r="G535" s="11" t="s">
        <v>2876</v>
      </c>
      <c r="H535" s="11" t="s">
        <v>511</v>
      </c>
      <c r="I535" s="11" t="s">
        <v>945</v>
      </c>
      <c r="J535" s="11" t="s">
        <v>31</v>
      </c>
      <c r="K535" s="11" t="s">
        <v>31</v>
      </c>
      <c r="L535" s="11" t="s">
        <v>517</v>
      </c>
      <c r="M535" s="11" t="s">
        <v>32</v>
      </c>
      <c r="N535" s="11" t="s">
        <v>667</v>
      </c>
      <c r="O535" s="11" t="s">
        <v>312</v>
      </c>
      <c r="P535" s="11" t="s">
        <v>168</v>
      </c>
      <c r="Q535" s="11" t="s">
        <v>604</v>
      </c>
      <c r="R535" s="11" t="s">
        <v>596</v>
      </c>
      <c r="S535" s="11" t="s">
        <v>35</v>
      </c>
      <c r="T535" s="158">
        <v>0.93100000000000005</v>
      </c>
      <c r="U535" s="11" t="s">
        <v>2877</v>
      </c>
      <c r="V535" s="174">
        <v>3.95E-2</v>
      </c>
      <c r="W535" s="189">
        <v>2.2610000000000002E-2</v>
      </c>
      <c r="X535" s="4" t="s">
        <v>602</v>
      </c>
      <c r="Y535" s="4" t="s">
        <v>312</v>
      </c>
      <c r="Z535" s="158">
        <v>260613.08</v>
      </c>
      <c r="AA535" s="158">
        <v>1</v>
      </c>
      <c r="AB535" s="158">
        <v>122.17</v>
      </c>
      <c r="AD535" s="158">
        <v>318.39100000000002</v>
      </c>
      <c r="AG535" s="11" t="s">
        <v>37</v>
      </c>
      <c r="AH535" s="189">
        <v>1.5989999999999999E-3</v>
      </c>
      <c r="AI535" s="189">
        <v>1.03889640964154E-3</v>
      </c>
      <c r="AJ535" s="189">
        <v>1.7310695530231199E-4</v>
      </c>
    </row>
    <row r="536" spans="1:36">
      <c r="A536" s="11" t="s">
        <v>256</v>
      </c>
      <c r="B536" s="11">
        <v>7205</v>
      </c>
      <c r="C536" s="11" t="s">
        <v>2497</v>
      </c>
      <c r="D536" s="11" t="s">
        <v>2498</v>
      </c>
      <c r="E536" s="4" t="s">
        <v>1552</v>
      </c>
      <c r="F536" s="11" t="s">
        <v>2499</v>
      </c>
      <c r="G536" s="11" t="s">
        <v>2500</v>
      </c>
      <c r="H536" s="11" t="s">
        <v>511</v>
      </c>
      <c r="I536" s="11" t="s">
        <v>945</v>
      </c>
      <c r="J536" s="11" t="s">
        <v>31</v>
      </c>
      <c r="K536" s="11" t="s">
        <v>31</v>
      </c>
      <c r="L536" s="11" t="s">
        <v>517</v>
      </c>
      <c r="M536" s="11" t="s">
        <v>32</v>
      </c>
      <c r="N536" s="11" t="s">
        <v>631</v>
      </c>
      <c r="O536" s="11" t="s">
        <v>312</v>
      </c>
      <c r="P536" s="11" t="s">
        <v>168</v>
      </c>
      <c r="Q536" s="11" t="s">
        <v>604</v>
      </c>
      <c r="R536" s="11" t="s">
        <v>596</v>
      </c>
      <c r="S536" s="11" t="s">
        <v>35</v>
      </c>
      <c r="T536" s="158">
        <v>1.0389999999999999</v>
      </c>
      <c r="U536" s="11" t="s">
        <v>2317</v>
      </c>
      <c r="V536" s="174">
        <v>1.8499999999999999E-2</v>
      </c>
      <c r="W536" s="189">
        <v>2.92E-2</v>
      </c>
      <c r="X536" s="4" t="s">
        <v>602</v>
      </c>
      <c r="Y536" s="4" t="s">
        <v>312</v>
      </c>
      <c r="Z536" s="158">
        <v>1056951.25</v>
      </c>
      <c r="AA536" s="158">
        <v>1</v>
      </c>
      <c r="AB536" s="158">
        <v>112.32</v>
      </c>
      <c r="AD536" s="158">
        <v>1187.1679999999999</v>
      </c>
      <c r="AG536" s="11" t="s">
        <v>37</v>
      </c>
      <c r="AH536" s="189">
        <v>2.2049999999999999E-3</v>
      </c>
      <c r="AI536" s="189">
        <v>3.8736779734021799E-3</v>
      </c>
      <c r="AJ536" s="189">
        <v>6.4545472828099297E-4</v>
      </c>
    </row>
    <row r="537" spans="1:36">
      <c r="A537" s="11" t="s">
        <v>256</v>
      </c>
      <c r="B537" s="11">
        <v>7205</v>
      </c>
      <c r="C537" s="11" t="s">
        <v>2497</v>
      </c>
      <c r="D537" s="11" t="s">
        <v>2498</v>
      </c>
      <c r="E537" s="4" t="s">
        <v>1552</v>
      </c>
      <c r="F537" s="11" t="s">
        <v>2501</v>
      </c>
      <c r="G537" s="11" t="s">
        <v>2502</v>
      </c>
      <c r="H537" s="11" t="s">
        <v>511</v>
      </c>
      <c r="I537" s="11" t="s">
        <v>945</v>
      </c>
      <c r="J537" s="11" t="s">
        <v>31</v>
      </c>
      <c r="K537" s="11" t="s">
        <v>31</v>
      </c>
      <c r="L537" s="11" t="s">
        <v>517</v>
      </c>
      <c r="M537" s="11" t="s">
        <v>32</v>
      </c>
      <c r="N537" s="11" t="s">
        <v>631</v>
      </c>
      <c r="O537" s="11" t="s">
        <v>312</v>
      </c>
      <c r="P537" s="11" t="s">
        <v>168</v>
      </c>
      <c r="Q537" s="11" t="s">
        <v>604</v>
      </c>
      <c r="R537" s="11" t="s">
        <v>596</v>
      </c>
      <c r="S537" s="11" t="s">
        <v>35</v>
      </c>
      <c r="T537" s="158">
        <v>0.64900000000000002</v>
      </c>
      <c r="U537" s="11" t="s">
        <v>2503</v>
      </c>
      <c r="V537" s="174">
        <v>0.01</v>
      </c>
      <c r="W537" s="189">
        <v>3.1940000000000003E-2</v>
      </c>
      <c r="X537" s="4" t="s">
        <v>602</v>
      </c>
      <c r="Y537" s="4" t="s">
        <v>312</v>
      </c>
      <c r="Z537" s="158">
        <v>759788.24</v>
      </c>
      <c r="AA537" s="158">
        <v>1</v>
      </c>
      <c r="AB537" s="158">
        <v>111.26</v>
      </c>
      <c r="AD537" s="158">
        <v>845.34</v>
      </c>
      <c r="AG537" s="11" t="s">
        <v>37</v>
      </c>
      <c r="AH537" s="189">
        <v>1.7279999999999999E-3</v>
      </c>
      <c r="AI537" s="189">
        <v>2.7583100734595999E-3</v>
      </c>
      <c r="AJ537" s="189">
        <v>4.59605648999247E-4</v>
      </c>
    </row>
    <row r="538" spans="1:36">
      <c r="A538" s="11" t="s">
        <v>256</v>
      </c>
      <c r="B538" s="11">
        <v>7205</v>
      </c>
      <c r="C538" s="11" t="s">
        <v>1852</v>
      </c>
      <c r="D538" s="11" t="s">
        <v>1853</v>
      </c>
      <c r="E538" s="4" t="s">
        <v>1552</v>
      </c>
      <c r="F538" s="11" t="s">
        <v>2504</v>
      </c>
      <c r="G538" s="11" t="s">
        <v>2505</v>
      </c>
      <c r="H538" s="11" t="s">
        <v>511</v>
      </c>
      <c r="I538" s="11" t="s">
        <v>945</v>
      </c>
      <c r="J538" s="11" t="s">
        <v>31</v>
      </c>
      <c r="K538" s="11" t="s">
        <v>31</v>
      </c>
      <c r="L538" s="11" t="s">
        <v>517</v>
      </c>
      <c r="M538" s="11" t="s">
        <v>32</v>
      </c>
      <c r="N538" s="11" t="s">
        <v>652</v>
      </c>
      <c r="O538" s="11" t="s">
        <v>312</v>
      </c>
      <c r="P538" s="11" t="s">
        <v>2169</v>
      </c>
      <c r="Q538" s="11" t="s">
        <v>358</v>
      </c>
      <c r="R538" s="11" t="s">
        <v>596</v>
      </c>
      <c r="S538" s="11" t="s">
        <v>35</v>
      </c>
      <c r="T538" s="158">
        <v>4.59</v>
      </c>
      <c r="U538" s="11" t="s">
        <v>2170</v>
      </c>
      <c r="V538" s="174">
        <v>1.43E-2</v>
      </c>
      <c r="W538" s="189">
        <v>3.1870000000000002E-2</v>
      </c>
      <c r="X538" s="4" t="s">
        <v>602</v>
      </c>
      <c r="Y538" s="4" t="s">
        <v>312</v>
      </c>
      <c r="Z538" s="158">
        <v>639464.43999999994</v>
      </c>
      <c r="AA538" s="158">
        <v>1</v>
      </c>
      <c r="AB538" s="158">
        <v>104.95</v>
      </c>
      <c r="AC538" s="158">
        <v>13.138999999999999</v>
      </c>
      <c r="AD538" s="158">
        <v>684.25699999999995</v>
      </c>
      <c r="AG538" s="11" t="s">
        <v>37</v>
      </c>
      <c r="AH538" s="189">
        <v>5.6300000000000002E-4</v>
      </c>
      <c r="AI538" s="189">
        <v>2.2327001443208398E-3</v>
      </c>
      <c r="AJ538" s="189">
        <v>3.7202546904534001E-4</v>
      </c>
    </row>
    <row r="539" spans="1:36">
      <c r="A539" s="11" t="s">
        <v>256</v>
      </c>
      <c r="B539" s="11">
        <v>7205</v>
      </c>
      <c r="C539" s="11" t="s">
        <v>1852</v>
      </c>
      <c r="D539" s="11" t="s">
        <v>1853</v>
      </c>
      <c r="E539" s="4" t="s">
        <v>1552</v>
      </c>
      <c r="F539" s="11" t="s">
        <v>2506</v>
      </c>
      <c r="G539" s="11" t="s">
        <v>2507</v>
      </c>
      <c r="H539" s="11" t="s">
        <v>511</v>
      </c>
      <c r="I539" s="11" t="s">
        <v>945</v>
      </c>
      <c r="J539" s="11" t="s">
        <v>31</v>
      </c>
      <c r="K539" s="11" t="s">
        <v>31</v>
      </c>
      <c r="L539" s="11" t="s">
        <v>517</v>
      </c>
      <c r="M539" s="11" t="s">
        <v>32</v>
      </c>
      <c r="N539" s="11" t="s">
        <v>652</v>
      </c>
      <c r="O539" s="11" t="s">
        <v>312</v>
      </c>
      <c r="P539" s="11" t="s">
        <v>2169</v>
      </c>
      <c r="Q539" s="11" t="s">
        <v>358</v>
      </c>
      <c r="R539" s="11" t="s">
        <v>596</v>
      </c>
      <c r="S539" s="11" t="s">
        <v>35</v>
      </c>
      <c r="T539" s="158">
        <v>1.012</v>
      </c>
      <c r="U539" s="11" t="s">
        <v>2508</v>
      </c>
      <c r="V539" s="174">
        <v>1.7600000000000001E-2</v>
      </c>
      <c r="W539" s="189">
        <v>2.5399999999999999E-2</v>
      </c>
      <c r="X539" s="4" t="s">
        <v>602</v>
      </c>
      <c r="Y539" s="4" t="s">
        <v>312</v>
      </c>
      <c r="Z539" s="158">
        <v>1840866.25</v>
      </c>
      <c r="AA539" s="158">
        <v>1</v>
      </c>
      <c r="AB539" s="158">
        <v>114.44</v>
      </c>
      <c r="AC539" s="158">
        <v>44.814999999999998</v>
      </c>
      <c r="AD539" s="158">
        <v>2151.502</v>
      </c>
      <c r="AG539" s="11" t="s">
        <v>37</v>
      </c>
      <c r="AH539" s="189">
        <v>2.3649999999999999E-3</v>
      </c>
      <c r="AI539" s="189">
        <v>7.02026184450282E-3</v>
      </c>
      <c r="AJ539" s="189">
        <v>1.16975681314192E-3</v>
      </c>
    </row>
    <row r="540" spans="1:36">
      <c r="A540" s="11" t="s">
        <v>256</v>
      </c>
      <c r="B540" s="11">
        <v>7205</v>
      </c>
      <c r="C540" s="11" t="s">
        <v>1852</v>
      </c>
      <c r="D540" s="11" t="s">
        <v>1853</v>
      </c>
      <c r="E540" s="4" t="s">
        <v>1552</v>
      </c>
      <c r="F540" s="11" t="s">
        <v>2509</v>
      </c>
      <c r="G540" s="11" t="s">
        <v>2510</v>
      </c>
      <c r="H540" s="11" t="s">
        <v>511</v>
      </c>
      <c r="I540" s="11" t="s">
        <v>945</v>
      </c>
      <c r="J540" s="11" t="s">
        <v>31</v>
      </c>
      <c r="K540" s="11" t="s">
        <v>31</v>
      </c>
      <c r="L540" s="11" t="s">
        <v>517</v>
      </c>
      <c r="M540" s="11" t="s">
        <v>32</v>
      </c>
      <c r="N540" s="11" t="s">
        <v>652</v>
      </c>
      <c r="O540" s="11" t="s">
        <v>312</v>
      </c>
      <c r="P540" s="11" t="s">
        <v>2169</v>
      </c>
      <c r="Q540" s="11" t="s">
        <v>358</v>
      </c>
      <c r="R540" s="11" t="s">
        <v>596</v>
      </c>
      <c r="S540" s="11" t="s">
        <v>35</v>
      </c>
      <c r="T540" s="158">
        <v>1.752</v>
      </c>
      <c r="U540" s="11" t="s">
        <v>2511</v>
      </c>
      <c r="V540" s="174">
        <v>2.1499999999999998E-2</v>
      </c>
      <c r="W540" s="189">
        <v>2.5180000000000001E-2</v>
      </c>
      <c r="X540" s="4" t="s">
        <v>602</v>
      </c>
      <c r="Y540" s="4" t="s">
        <v>312</v>
      </c>
      <c r="Z540" s="158">
        <v>1485925.91</v>
      </c>
      <c r="AA540" s="158">
        <v>1</v>
      </c>
      <c r="AB540" s="158">
        <v>115.16</v>
      </c>
      <c r="AD540" s="158">
        <v>1711.192</v>
      </c>
      <c r="AG540" s="11" t="s">
        <v>37</v>
      </c>
      <c r="AH540" s="189">
        <v>1.2459999999999999E-3</v>
      </c>
      <c r="AI540" s="189">
        <v>5.5835482620128201E-3</v>
      </c>
      <c r="AJ540" s="189">
        <v>9.3036324935808596E-4</v>
      </c>
    </row>
    <row r="541" spans="1:36">
      <c r="A541" s="11" t="s">
        <v>256</v>
      </c>
      <c r="B541" s="11">
        <v>7205</v>
      </c>
      <c r="C541" s="11" t="s">
        <v>1852</v>
      </c>
      <c r="D541" s="11" t="s">
        <v>1853</v>
      </c>
      <c r="E541" s="4" t="s">
        <v>1552</v>
      </c>
      <c r="F541" s="11" t="s">
        <v>2512</v>
      </c>
      <c r="G541" s="11" t="s">
        <v>2513</v>
      </c>
      <c r="H541" s="11" t="s">
        <v>511</v>
      </c>
      <c r="I541" s="11" t="s">
        <v>945</v>
      </c>
      <c r="J541" s="11" t="s">
        <v>31</v>
      </c>
      <c r="K541" s="11" t="s">
        <v>31</v>
      </c>
      <c r="L541" s="11" t="s">
        <v>517</v>
      </c>
      <c r="M541" s="11" t="s">
        <v>32</v>
      </c>
      <c r="N541" s="11" t="s">
        <v>652</v>
      </c>
      <c r="O541" s="11" t="s">
        <v>312</v>
      </c>
      <c r="P541" s="11" t="s">
        <v>2169</v>
      </c>
      <c r="Q541" s="11" t="s">
        <v>358</v>
      </c>
      <c r="R541" s="11" t="s">
        <v>596</v>
      </c>
      <c r="S541" s="11" t="s">
        <v>35</v>
      </c>
      <c r="T541" s="158">
        <v>2.577</v>
      </c>
      <c r="U541" s="11" t="s">
        <v>2256</v>
      </c>
      <c r="V541" s="174">
        <v>2.35E-2</v>
      </c>
      <c r="W541" s="189">
        <v>2.5690000000000001E-2</v>
      </c>
      <c r="X541" s="4" t="s">
        <v>602</v>
      </c>
      <c r="Y541" s="4" t="s">
        <v>312</v>
      </c>
      <c r="Z541" s="158">
        <v>1226606.48</v>
      </c>
      <c r="AA541" s="158">
        <v>1</v>
      </c>
      <c r="AB541" s="158">
        <v>114.98</v>
      </c>
      <c r="AD541" s="158">
        <v>1410.3520000000001</v>
      </c>
      <c r="AG541" s="11" t="s">
        <v>37</v>
      </c>
      <c r="AH541" s="189">
        <v>1.3060000000000001E-3</v>
      </c>
      <c r="AI541" s="189">
        <v>4.60191954443876E-3</v>
      </c>
      <c r="AJ541" s="189">
        <v>7.66798569607975E-4</v>
      </c>
    </row>
    <row r="542" spans="1:36">
      <c r="A542" s="11" t="s">
        <v>256</v>
      </c>
      <c r="B542" s="11">
        <v>7205</v>
      </c>
      <c r="C542" s="11" t="s">
        <v>2514</v>
      </c>
      <c r="D542" s="11" t="s">
        <v>2515</v>
      </c>
      <c r="E542" s="4" t="s">
        <v>1552</v>
      </c>
      <c r="F542" s="11" t="s">
        <v>2516</v>
      </c>
      <c r="G542" s="11" t="s">
        <v>2517</v>
      </c>
      <c r="H542" s="11" t="s">
        <v>511</v>
      </c>
      <c r="I542" s="11" t="s">
        <v>1154</v>
      </c>
      <c r="J542" s="11" t="s">
        <v>31</v>
      </c>
      <c r="K542" s="11" t="s">
        <v>31</v>
      </c>
      <c r="L542" s="11" t="s">
        <v>517</v>
      </c>
      <c r="M542" s="11" t="s">
        <v>32</v>
      </c>
      <c r="N542" s="11" t="s">
        <v>666</v>
      </c>
      <c r="O542" s="11" t="s">
        <v>312</v>
      </c>
      <c r="P542" s="11" t="s">
        <v>2161</v>
      </c>
      <c r="Q542" s="11" t="s">
        <v>358</v>
      </c>
      <c r="R542" s="11" t="s">
        <v>596</v>
      </c>
      <c r="S542" s="11" t="s">
        <v>35</v>
      </c>
      <c r="T542" s="158">
        <v>0.499</v>
      </c>
      <c r="U542" s="11" t="s">
        <v>2162</v>
      </c>
      <c r="V542" s="174">
        <v>2.9499999999999998E-2</v>
      </c>
      <c r="W542" s="189">
        <v>5.7180000000000002E-2</v>
      </c>
      <c r="X542" s="4" t="s">
        <v>602</v>
      </c>
      <c r="Y542" s="4" t="s">
        <v>312</v>
      </c>
      <c r="Z542" s="158">
        <v>128049.26</v>
      </c>
      <c r="AA542" s="158">
        <v>1</v>
      </c>
      <c r="AB542" s="158">
        <v>98.7</v>
      </c>
      <c r="AD542" s="158">
        <v>126.38500000000001</v>
      </c>
      <c r="AG542" s="11" t="s">
        <v>37</v>
      </c>
      <c r="AH542" s="189">
        <v>7.162E-3</v>
      </c>
      <c r="AI542" s="189">
        <v>4.1238768565933601E-4</v>
      </c>
      <c r="AJ542" s="189">
        <v>6.87144319742964E-5</v>
      </c>
    </row>
    <row r="543" spans="1:36">
      <c r="A543" s="11" t="s">
        <v>256</v>
      </c>
      <c r="B543" s="11">
        <v>7205</v>
      </c>
      <c r="C543" s="11" t="s">
        <v>1860</v>
      </c>
      <c r="D543" s="11" t="s">
        <v>1861</v>
      </c>
      <c r="E543" s="4" t="s">
        <v>1552</v>
      </c>
      <c r="F543" s="11" t="s">
        <v>2518</v>
      </c>
      <c r="G543" s="11" t="s">
        <v>2519</v>
      </c>
      <c r="H543" s="11" t="s">
        <v>511</v>
      </c>
      <c r="I543" s="11" t="s">
        <v>945</v>
      </c>
      <c r="J543" s="11" t="s">
        <v>31</v>
      </c>
      <c r="K543" s="11" t="s">
        <v>31</v>
      </c>
      <c r="L543" s="11" t="s">
        <v>517</v>
      </c>
      <c r="M543" s="11" t="s">
        <v>32</v>
      </c>
      <c r="N543" s="11" t="s">
        <v>652</v>
      </c>
      <c r="O543" s="11" t="s">
        <v>312</v>
      </c>
      <c r="P543" s="11" t="s">
        <v>2418</v>
      </c>
      <c r="Q543" s="11" t="s">
        <v>604</v>
      </c>
      <c r="R543" s="11" t="s">
        <v>596</v>
      </c>
      <c r="S543" s="11" t="s">
        <v>35</v>
      </c>
      <c r="T543" s="158">
        <v>3.0230000000000001</v>
      </c>
      <c r="U543" s="11" t="s">
        <v>2441</v>
      </c>
      <c r="V543" s="174">
        <v>2.75E-2</v>
      </c>
      <c r="W543" s="189">
        <v>3.124E-2</v>
      </c>
      <c r="X543" s="4" t="s">
        <v>602</v>
      </c>
      <c r="Y543" s="4" t="s">
        <v>312</v>
      </c>
      <c r="Z543" s="158">
        <v>2612177.27</v>
      </c>
      <c r="AA543" s="158">
        <v>1</v>
      </c>
      <c r="AB543" s="158">
        <v>111.38</v>
      </c>
      <c r="AD543" s="158">
        <v>2909.4430000000002</v>
      </c>
      <c r="AG543" s="11" t="s">
        <v>37</v>
      </c>
      <c r="AH543" s="189">
        <v>4.8250000000000003E-3</v>
      </c>
      <c r="AI543" s="189">
        <v>9.4933899931997408E-3</v>
      </c>
      <c r="AJ543" s="189">
        <v>1.5818437930565799E-3</v>
      </c>
    </row>
    <row r="544" spans="1:36">
      <c r="A544" s="11" t="s">
        <v>256</v>
      </c>
      <c r="B544" s="11">
        <v>7205</v>
      </c>
      <c r="C544" s="11" t="s">
        <v>1860</v>
      </c>
      <c r="D544" s="11" t="s">
        <v>1861</v>
      </c>
      <c r="E544" s="4" t="s">
        <v>1552</v>
      </c>
      <c r="F544" s="11" t="s">
        <v>2520</v>
      </c>
      <c r="G544" s="11" t="s">
        <v>2521</v>
      </c>
      <c r="H544" s="11" t="s">
        <v>511</v>
      </c>
      <c r="I544" s="11" t="s">
        <v>945</v>
      </c>
      <c r="J544" s="11" t="s">
        <v>31</v>
      </c>
      <c r="K544" s="11" t="s">
        <v>31</v>
      </c>
      <c r="L544" s="11" t="s">
        <v>517</v>
      </c>
      <c r="M544" s="11" t="s">
        <v>32</v>
      </c>
      <c r="N544" s="11" t="s">
        <v>652</v>
      </c>
      <c r="O544" s="11" t="s">
        <v>312</v>
      </c>
      <c r="P544" s="11" t="s">
        <v>2418</v>
      </c>
      <c r="Q544" s="11" t="s">
        <v>604</v>
      </c>
      <c r="R544" s="11" t="s">
        <v>596</v>
      </c>
      <c r="S544" s="11" t="s">
        <v>35</v>
      </c>
      <c r="T544" s="158">
        <v>4.4390000000000001</v>
      </c>
      <c r="U544" s="11" t="s">
        <v>2376</v>
      </c>
      <c r="V544" s="174">
        <v>8.5000000000000006E-3</v>
      </c>
      <c r="W544" s="189">
        <v>3.5560000000000001E-2</v>
      </c>
      <c r="X544" s="4" t="s">
        <v>602</v>
      </c>
      <c r="Y544" s="4" t="s">
        <v>312</v>
      </c>
      <c r="Z544" s="158">
        <v>2895945</v>
      </c>
      <c r="AA544" s="158">
        <v>1</v>
      </c>
      <c r="AB544" s="158">
        <v>99.88</v>
      </c>
      <c r="AD544" s="158">
        <v>2892.47</v>
      </c>
      <c r="AG544" s="11" t="s">
        <v>37</v>
      </c>
      <c r="AH544" s="189">
        <v>4.3990000000000001E-3</v>
      </c>
      <c r="AI544" s="189">
        <v>9.4380072311453095E-3</v>
      </c>
      <c r="AJ544" s="189">
        <v>1.57261559549377E-3</v>
      </c>
    </row>
    <row r="545" spans="1:36">
      <c r="A545" s="11" t="s">
        <v>256</v>
      </c>
      <c r="B545" s="11">
        <v>7205</v>
      </c>
      <c r="C545" s="11" t="s">
        <v>1860</v>
      </c>
      <c r="D545" s="11" t="s">
        <v>1861</v>
      </c>
      <c r="E545" s="4" t="s">
        <v>1552</v>
      </c>
      <c r="F545" s="11" t="s">
        <v>2522</v>
      </c>
      <c r="G545" s="11" t="s">
        <v>2523</v>
      </c>
      <c r="H545" s="11" t="s">
        <v>511</v>
      </c>
      <c r="I545" s="11" t="s">
        <v>945</v>
      </c>
      <c r="J545" s="11" t="s">
        <v>31</v>
      </c>
      <c r="K545" s="11" t="s">
        <v>31</v>
      </c>
      <c r="L545" s="11" t="s">
        <v>517</v>
      </c>
      <c r="M545" s="11" t="s">
        <v>32</v>
      </c>
      <c r="N545" s="11" t="s">
        <v>652</v>
      </c>
      <c r="O545" s="11" t="s">
        <v>312</v>
      </c>
      <c r="P545" s="11" t="s">
        <v>2418</v>
      </c>
      <c r="Q545" s="11" t="s">
        <v>604</v>
      </c>
      <c r="R545" s="11" t="s">
        <v>596</v>
      </c>
      <c r="S545" s="11" t="s">
        <v>35</v>
      </c>
      <c r="T545" s="158">
        <v>5.8849999999999998</v>
      </c>
      <c r="U545" s="11" t="s">
        <v>2524</v>
      </c>
      <c r="V545" s="174">
        <v>3.1800000000000002E-2</v>
      </c>
      <c r="W545" s="189">
        <v>3.8390000000000001E-2</v>
      </c>
      <c r="X545" s="4" t="s">
        <v>602</v>
      </c>
      <c r="Y545" s="4" t="s">
        <v>312</v>
      </c>
      <c r="Z545" s="158">
        <v>1800625</v>
      </c>
      <c r="AA545" s="158">
        <v>1</v>
      </c>
      <c r="AB545" s="158">
        <v>102.42</v>
      </c>
      <c r="AD545" s="158">
        <v>1844.2</v>
      </c>
      <c r="AG545" s="11" t="s">
        <v>37</v>
      </c>
      <c r="AH545" s="189">
        <v>4.2100000000000002E-3</v>
      </c>
      <c r="AI545" s="189">
        <v>6.0175472595326599E-3</v>
      </c>
      <c r="AJ545" s="189">
        <v>1.0026786836667299E-3</v>
      </c>
    </row>
    <row r="546" spans="1:36">
      <c r="A546" s="11" t="s">
        <v>256</v>
      </c>
      <c r="B546" s="11">
        <v>7205</v>
      </c>
      <c r="C546" s="11" t="s">
        <v>2525</v>
      </c>
      <c r="D546" s="11" t="s">
        <v>2526</v>
      </c>
      <c r="E546" s="4" t="s">
        <v>1552</v>
      </c>
      <c r="F546" s="11" t="s">
        <v>2527</v>
      </c>
      <c r="G546" s="11" t="s">
        <v>2528</v>
      </c>
      <c r="H546" s="11" t="s">
        <v>511</v>
      </c>
      <c r="I546" s="11" t="s">
        <v>1154</v>
      </c>
      <c r="J546" s="11" t="s">
        <v>31</v>
      </c>
      <c r="K546" s="11" t="s">
        <v>31</v>
      </c>
      <c r="L546" s="11" t="s">
        <v>517</v>
      </c>
      <c r="M546" s="11" t="s">
        <v>32</v>
      </c>
      <c r="N546" s="11" t="s">
        <v>631</v>
      </c>
      <c r="O546" s="11" t="s">
        <v>312</v>
      </c>
      <c r="P546" s="11" t="s">
        <v>2206</v>
      </c>
      <c r="Q546" s="11" t="s">
        <v>604</v>
      </c>
      <c r="R546" s="11" t="s">
        <v>596</v>
      </c>
      <c r="S546" s="11" t="s">
        <v>35</v>
      </c>
      <c r="T546" s="158">
        <v>1.1870000000000001</v>
      </c>
      <c r="U546" s="11" t="s">
        <v>2198</v>
      </c>
      <c r="V546" s="174">
        <v>0.114</v>
      </c>
      <c r="W546" s="189">
        <v>6.7919999999999994E-2</v>
      </c>
      <c r="X546" s="4" t="s">
        <v>602</v>
      </c>
      <c r="Y546" s="4" t="s">
        <v>312</v>
      </c>
      <c r="Z546" s="158">
        <v>1000000</v>
      </c>
      <c r="AA546" s="158">
        <v>1</v>
      </c>
      <c r="AB546" s="158">
        <v>101.87</v>
      </c>
      <c r="AD546" s="158">
        <v>1018.7</v>
      </c>
      <c r="AG546" s="11" t="s">
        <v>37</v>
      </c>
      <c r="AH546" s="189">
        <v>2.7720000000000002E-3</v>
      </c>
      <c r="AI546" s="189">
        <v>3.3239751533396698E-3</v>
      </c>
      <c r="AJ546" s="189">
        <v>5.5386005087235005E-4</v>
      </c>
    </row>
    <row r="547" spans="1:36">
      <c r="A547" s="11" t="s">
        <v>256</v>
      </c>
      <c r="B547" s="11">
        <v>7205</v>
      </c>
      <c r="C547" s="11" t="s">
        <v>2529</v>
      </c>
      <c r="D547" s="11" t="s">
        <v>2530</v>
      </c>
      <c r="E547" s="4" t="s">
        <v>1552</v>
      </c>
      <c r="F547" s="11" t="s">
        <v>2531</v>
      </c>
      <c r="G547" s="11" t="s">
        <v>2532</v>
      </c>
      <c r="H547" s="11" t="s">
        <v>511</v>
      </c>
      <c r="I547" s="11" t="s">
        <v>945</v>
      </c>
      <c r="J547" s="11" t="s">
        <v>31</v>
      </c>
      <c r="K547" s="11" t="s">
        <v>31</v>
      </c>
      <c r="L547" s="11" t="s">
        <v>517</v>
      </c>
      <c r="M547" s="11" t="s">
        <v>32</v>
      </c>
      <c r="N547" s="11" t="s">
        <v>666</v>
      </c>
      <c r="O547" s="11" t="s">
        <v>312</v>
      </c>
      <c r="P547" s="11" t="s">
        <v>357</v>
      </c>
      <c r="Q547" s="11" t="s">
        <v>358</v>
      </c>
      <c r="R547" s="11" t="s">
        <v>596</v>
      </c>
      <c r="S547" s="11" t="s">
        <v>35</v>
      </c>
      <c r="T547" s="158">
        <v>1.972</v>
      </c>
      <c r="U547" s="11" t="s">
        <v>2441</v>
      </c>
      <c r="V547" s="174">
        <v>1E-3</v>
      </c>
      <c r="W547" s="189">
        <v>2.1149999999999999E-2</v>
      </c>
      <c r="X547" s="4" t="s">
        <v>602</v>
      </c>
      <c r="Y547" s="4" t="s">
        <v>312</v>
      </c>
      <c r="Z547" s="158">
        <v>6449012.7999999998</v>
      </c>
      <c r="AA547" s="158">
        <v>1</v>
      </c>
      <c r="AB547" s="158">
        <v>107.52</v>
      </c>
      <c r="AD547" s="158">
        <v>6933.9790000000003</v>
      </c>
      <c r="AG547" s="11" t="s">
        <v>37</v>
      </c>
      <c r="AH547" s="189">
        <v>7.5300000000000002E-3</v>
      </c>
      <c r="AI547" s="189">
        <v>2.2625279724884002E-2</v>
      </c>
      <c r="AJ547" s="189">
        <v>3.7699555506108401E-3</v>
      </c>
    </row>
    <row r="548" spans="1:36">
      <c r="A548" s="11" t="s">
        <v>256</v>
      </c>
      <c r="B548" s="11">
        <v>7205</v>
      </c>
      <c r="C548" s="11" t="s">
        <v>2529</v>
      </c>
      <c r="D548" s="11" t="s">
        <v>2530</v>
      </c>
      <c r="E548" s="4" t="s">
        <v>1552</v>
      </c>
      <c r="F548" s="11" t="s">
        <v>2533</v>
      </c>
      <c r="G548" s="11" t="s">
        <v>2534</v>
      </c>
      <c r="H548" s="11" t="s">
        <v>511</v>
      </c>
      <c r="I548" s="11" t="s">
        <v>945</v>
      </c>
      <c r="J548" s="11" t="s">
        <v>31</v>
      </c>
      <c r="K548" s="11" t="s">
        <v>31</v>
      </c>
      <c r="L548" s="11" t="s">
        <v>517</v>
      </c>
      <c r="M548" s="11" t="s">
        <v>32</v>
      </c>
      <c r="N548" s="11" t="s">
        <v>666</v>
      </c>
      <c r="O548" s="11" t="s">
        <v>312</v>
      </c>
      <c r="P548" s="11" t="s">
        <v>357</v>
      </c>
      <c r="Q548" s="11" t="s">
        <v>358</v>
      </c>
      <c r="R548" s="11" t="s">
        <v>596</v>
      </c>
      <c r="S548" s="11" t="s">
        <v>35</v>
      </c>
      <c r="T548" s="158">
        <v>11.7</v>
      </c>
      <c r="U548" s="11" t="s">
        <v>2535</v>
      </c>
      <c r="V548" s="174">
        <v>2.07E-2</v>
      </c>
      <c r="W548" s="189">
        <v>3.2730000000000002E-2</v>
      </c>
      <c r="X548" s="4" t="s">
        <v>602</v>
      </c>
      <c r="Y548" s="4" t="s">
        <v>312</v>
      </c>
      <c r="Z548" s="158">
        <v>6547919.8700000001</v>
      </c>
      <c r="AA548" s="158">
        <v>1</v>
      </c>
      <c r="AB548" s="158">
        <v>97.32</v>
      </c>
      <c r="AD548" s="158">
        <v>6372.4359999999997</v>
      </c>
      <c r="AG548" s="11" t="s">
        <v>37</v>
      </c>
      <c r="AH548" s="189">
        <v>1.438E-3</v>
      </c>
      <c r="AI548" s="189">
        <v>2.0792988768797101E-2</v>
      </c>
      <c r="AJ548" s="189">
        <v>3.4646485867089998E-3</v>
      </c>
    </row>
    <row r="549" spans="1:36">
      <c r="A549" s="11" t="s">
        <v>256</v>
      </c>
      <c r="B549" s="11">
        <v>7205</v>
      </c>
      <c r="C549" s="11" t="s">
        <v>2536</v>
      </c>
      <c r="D549" s="11" t="s">
        <v>2537</v>
      </c>
      <c r="E549" s="4" t="s">
        <v>1552</v>
      </c>
      <c r="F549" s="11" t="s">
        <v>2538</v>
      </c>
      <c r="G549" s="11" t="s">
        <v>2539</v>
      </c>
      <c r="H549" s="11" t="s">
        <v>511</v>
      </c>
      <c r="I549" s="11" t="s">
        <v>945</v>
      </c>
      <c r="J549" s="11" t="s">
        <v>31</v>
      </c>
      <c r="K549" s="11" t="s">
        <v>31</v>
      </c>
      <c r="L549" s="11" t="s">
        <v>517</v>
      </c>
      <c r="M549" s="11" t="s">
        <v>32</v>
      </c>
      <c r="N549" s="11" t="s">
        <v>636</v>
      </c>
      <c r="O549" s="11" t="s">
        <v>312</v>
      </c>
      <c r="P549" s="11" t="s">
        <v>357</v>
      </c>
      <c r="Q549" s="11" t="s">
        <v>358</v>
      </c>
      <c r="R549" s="11" t="s">
        <v>596</v>
      </c>
      <c r="S549" s="11" t="s">
        <v>35</v>
      </c>
      <c r="T549" s="158">
        <v>2.9769999999999999</v>
      </c>
      <c r="U549" s="11" t="s">
        <v>2540</v>
      </c>
      <c r="V549" s="174">
        <v>1.4999999999999999E-2</v>
      </c>
      <c r="W549" s="189">
        <v>2.426E-2</v>
      </c>
      <c r="X549" s="4" t="s">
        <v>602</v>
      </c>
      <c r="Y549" s="4" t="s">
        <v>312</v>
      </c>
      <c r="Z549" s="158">
        <v>360351.57</v>
      </c>
      <c r="AA549" s="158">
        <v>1</v>
      </c>
      <c r="AB549" s="158">
        <v>111.17</v>
      </c>
      <c r="AD549" s="158">
        <v>400.60300000000001</v>
      </c>
      <c r="AG549" s="11" t="s">
        <v>37</v>
      </c>
      <c r="AH549" s="189">
        <v>1.291E-3</v>
      </c>
      <c r="AI549" s="189">
        <v>1.3071501793892801E-3</v>
      </c>
      <c r="AJ549" s="189">
        <v>2.1780495685322701E-4</v>
      </c>
    </row>
    <row r="550" spans="1:36">
      <c r="A550" s="11" t="s">
        <v>256</v>
      </c>
      <c r="B550" s="11">
        <v>7205</v>
      </c>
      <c r="C550" s="11" t="s">
        <v>2050</v>
      </c>
      <c r="D550" s="11" t="s">
        <v>2051</v>
      </c>
      <c r="E550" s="4" t="s">
        <v>1552</v>
      </c>
      <c r="F550" s="11" t="s">
        <v>2541</v>
      </c>
      <c r="G550" s="11" t="s">
        <v>2542</v>
      </c>
      <c r="H550" s="11" t="s">
        <v>511</v>
      </c>
      <c r="I550" s="11" t="s">
        <v>945</v>
      </c>
      <c r="J550" s="11" t="s">
        <v>31</v>
      </c>
      <c r="K550" s="11" t="s">
        <v>31</v>
      </c>
      <c r="L550" s="11" t="s">
        <v>517</v>
      </c>
      <c r="M550" s="11" t="s">
        <v>32</v>
      </c>
      <c r="N550" s="11" t="s">
        <v>628</v>
      </c>
      <c r="O550" s="11" t="s">
        <v>312</v>
      </c>
      <c r="P550" s="11" t="s">
        <v>2165</v>
      </c>
      <c r="Q550" s="27" t="s">
        <v>2165</v>
      </c>
      <c r="R550" s="16" t="s">
        <v>2165</v>
      </c>
      <c r="S550" s="11" t="s">
        <v>35</v>
      </c>
      <c r="T550" s="158">
        <v>1.64</v>
      </c>
      <c r="U550" s="11" t="s">
        <v>2299</v>
      </c>
      <c r="V550" s="174">
        <v>1.6400000000000001E-2</v>
      </c>
      <c r="W550" s="189">
        <v>3.44E-2</v>
      </c>
      <c r="X550" s="4" t="s">
        <v>602</v>
      </c>
      <c r="Y550" s="4" t="s">
        <v>312</v>
      </c>
      <c r="Z550" s="158">
        <v>1250541.6299999999</v>
      </c>
      <c r="AA550" s="158">
        <v>1</v>
      </c>
      <c r="AB550" s="158">
        <v>110.89</v>
      </c>
      <c r="AD550" s="158">
        <v>1386.7260000000001</v>
      </c>
      <c r="AG550" s="11" t="s">
        <v>37</v>
      </c>
      <c r="AH550" s="189">
        <v>5.0140000000000002E-3</v>
      </c>
      <c r="AI550" s="189">
        <v>4.5248272148787497E-3</v>
      </c>
      <c r="AJ550" s="189">
        <v>7.5395299778440903E-4</v>
      </c>
    </row>
    <row r="551" spans="1:36">
      <c r="A551" s="11" t="s">
        <v>256</v>
      </c>
      <c r="B551" s="11">
        <v>7205</v>
      </c>
      <c r="C551" s="11" t="s">
        <v>2543</v>
      </c>
      <c r="D551" s="11" t="s">
        <v>2544</v>
      </c>
      <c r="E551" s="4" t="s">
        <v>1552</v>
      </c>
      <c r="F551" s="11" t="s">
        <v>2545</v>
      </c>
      <c r="G551" s="11" t="s">
        <v>2546</v>
      </c>
      <c r="H551" s="11" t="s">
        <v>511</v>
      </c>
      <c r="I551" s="11" t="s">
        <v>1154</v>
      </c>
      <c r="J551" s="11" t="s">
        <v>31</v>
      </c>
      <c r="K551" s="11" t="s">
        <v>31</v>
      </c>
      <c r="L551" s="11" t="s">
        <v>517</v>
      </c>
      <c r="M551" s="11" t="s">
        <v>50</v>
      </c>
      <c r="N551" s="11" t="s">
        <v>642</v>
      </c>
      <c r="O551" s="11" t="s">
        <v>312</v>
      </c>
      <c r="P551" s="11" t="s">
        <v>2327</v>
      </c>
      <c r="Q551" s="11" t="s">
        <v>358</v>
      </c>
      <c r="R551" s="11" t="s">
        <v>596</v>
      </c>
      <c r="S551" s="11" t="s">
        <v>35</v>
      </c>
      <c r="T551" s="158">
        <v>3.8690000000000002</v>
      </c>
      <c r="U551" s="11" t="s">
        <v>2547</v>
      </c>
      <c r="V551" s="174">
        <v>6.7000000000000004E-2</v>
      </c>
      <c r="W551" s="189">
        <v>6.6000000000000003E-2</v>
      </c>
      <c r="X551" s="4" t="s">
        <v>602</v>
      </c>
      <c r="Y551" s="4" t="s">
        <v>312</v>
      </c>
      <c r="Z551" s="158">
        <v>925000</v>
      </c>
      <c r="AA551" s="158">
        <v>1</v>
      </c>
      <c r="AB551" s="158">
        <v>102.81</v>
      </c>
      <c r="AD551" s="158">
        <v>950.99199999999996</v>
      </c>
      <c r="AG551" s="11" t="s">
        <v>37</v>
      </c>
      <c r="AH551" s="189">
        <v>1.016E-3</v>
      </c>
      <c r="AI551" s="189">
        <v>3.1030484352727798E-3</v>
      </c>
      <c r="AJ551" s="189">
        <v>5.1704795762169697E-4</v>
      </c>
    </row>
    <row r="552" spans="1:36">
      <c r="A552" s="11" t="s">
        <v>256</v>
      </c>
      <c r="B552" s="11">
        <v>7205</v>
      </c>
      <c r="C552" s="11" t="s">
        <v>2548</v>
      </c>
      <c r="D552" s="11" t="s">
        <v>2549</v>
      </c>
      <c r="E552" s="4" t="s">
        <v>1552</v>
      </c>
      <c r="F552" s="11" t="s">
        <v>2550</v>
      </c>
      <c r="G552" s="11" t="s">
        <v>2551</v>
      </c>
      <c r="H552" s="11" t="s">
        <v>511</v>
      </c>
      <c r="I552" s="11" t="s">
        <v>1155</v>
      </c>
      <c r="J552" s="11" t="s">
        <v>31</v>
      </c>
      <c r="K552" s="11" t="s">
        <v>31</v>
      </c>
      <c r="L552" s="11" t="s">
        <v>517</v>
      </c>
      <c r="M552" s="11" t="s">
        <v>32</v>
      </c>
      <c r="N552" s="11" t="s">
        <v>629</v>
      </c>
      <c r="O552" s="11" t="s">
        <v>312</v>
      </c>
      <c r="P552" s="11" t="s">
        <v>2165</v>
      </c>
      <c r="Q552" s="27" t="s">
        <v>2165</v>
      </c>
      <c r="R552" s="16" t="s">
        <v>2165</v>
      </c>
      <c r="S552" s="11" t="s">
        <v>35</v>
      </c>
      <c r="T552" s="158">
        <v>4.0789999999999997</v>
      </c>
      <c r="U552" s="11" t="s">
        <v>2170</v>
      </c>
      <c r="V552" s="174">
        <v>0.05</v>
      </c>
      <c r="W552" s="189">
        <v>5.0389999999999997E-2</v>
      </c>
      <c r="X552" s="4" t="s">
        <v>602</v>
      </c>
      <c r="Y552" s="4" t="s">
        <v>312</v>
      </c>
      <c r="Z552" s="158">
        <v>970000</v>
      </c>
      <c r="AA552" s="158">
        <v>1</v>
      </c>
      <c r="AB552" s="158">
        <v>100.1</v>
      </c>
      <c r="AD552" s="158">
        <v>970.97</v>
      </c>
      <c r="AG552" s="11" t="s">
        <v>37</v>
      </c>
      <c r="AH552" s="189">
        <v>2.3800000000000002E-3</v>
      </c>
      <c r="AI552" s="189">
        <v>3.16823417555534E-3</v>
      </c>
      <c r="AJ552" s="189">
        <v>5.2790958436784699E-4</v>
      </c>
    </row>
    <row r="553" spans="1:36">
      <c r="A553" s="11" t="s">
        <v>256</v>
      </c>
      <c r="B553" s="11">
        <v>7205</v>
      </c>
      <c r="C553" s="11" t="s">
        <v>2548</v>
      </c>
      <c r="D553" s="11" t="s">
        <v>2549</v>
      </c>
      <c r="E553" s="4" t="s">
        <v>1552</v>
      </c>
      <c r="F553" s="11" t="s">
        <v>2552</v>
      </c>
      <c r="G553" s="11" t="s">
        <v>2553</v>
      </c>
      <c r="H553" s="11" t="s">
        <v>511</v>
      </c>
      <c r="I553" s="11" t="s">
        <v>945</v>
      </c>
      <c r="J553" s="11" t="s">
        <v>31</v>
      </c>
      <c r="K553" s="11" t="s">
        <v>31</v>
      </c>
      <c r="L553" s="11" t="s">
        <v>517</v>
      </c>
      <c r="M553" s="11" t="s">
        <v>32</v>
      </c>
      <c r="N553" s="11" t="s">
        <v>629</v>
      </c>
      <c r="O553" s="11" t="s">
        <v>312</v>
      </c>
      <c r="P553" s="11" t="s">
        <v>2165</v>
      </c>
      <c r="Q553" s="27" t="s">
        <v>2165</v>
      </c>
      <c r="R553" s="16" t="s">
        <v>2165</v>
      </c>
      <c r="S553" s="11" t="s">
        <v>35</v>
      </c>
      <c r="T553" s="158">
        <v>2.7309999999999999</v>
      </c>
      <c r="U553" s="11" t="s">
        <v>2441</v>
      </c>
      <c r="V553" s="174">
        <v>1.4800000000000001E-2</v>
      </c>
      <c r="W553" s="189">
        <v>4.2779999999999999E-2</v>
      </c>
      <c r="X553" s="4" t="s">
        <v>602</v>
      </c>
      <c r="Y553" s="4" t="s">
        <v>312</v>
      </c>
      <c r="Z553" s="158">
        <v>1655610.36</v>
      </c>
      <c r="AA553" s="158">
        <v>1</v>
      </c>
      <c r="AB553" s="158">
        <v>103.41</v>
      </c>
      <c r="AD553" s="158">
        <v>1712.067</v>
      </c>
      <c r="AG553" s="11" t="s">
        <v>37</v>
      </c>
      <c r="AH553" s="189">
        <v>2.0379999999999999E-3</v>
      </c>
      <c r="AI553" s="189">
        <v>5.5864013770789596E-3</v>
      </c>
      <c r="AJ553" s="189">
        <v>9.3083865196574096E-4</v>
      </c>
    </row>
    <row r="554" spans="1:36">
      <c r="A554" s="11" t="s">
        <v>256</v>
      </c>
      <c r="B554" s="11">
        <v>7205</v>
      </c>
      <c r="C554" s="11" t="s">
        <v>2554</v>
      </c>
      <c r="D554" s="11" t="s">
        <v>2555</v>
      </c>
      <c r="E554" s="4" t="s">
        <v>1552</v>
      </c>
      <c r="F554" s="11" t="s">
        <v>2556</v>
      </c>
      <c r="G554" s="11" t="s">
        <v>2557</v>
      </c>
      <c r="H554" s="11" t="s">
        <v>511</v>
      </c>
      <c r="I554" s="11" t="s">
        <v>945</v>
      </c>
      <c r="J554" s="11" t="s">
        <v>31</v>
      </c>
      <c r="K554" s="11" t="s">
        <v>31</v>
      </c>
      <c r="L554" s="11" t="s">
        <v>517</v>
      </c>
      <c r="M554" s="11" t="s">
        <v>32</v>
      </c>
      <c r="N554" s="11" t="s">
        <v>652</v>
      </c>
      <c r="O554" s="11" t="s">
        <v>312</v>
      </c>
      <c r="P554" s="11" t="s">
        <v>157</v>
      </c>
      <c r="Q554" s="11" t="s">
        <v>604</v>
      </c>
      <c r="R554" s="11" t="s">
        <v>596</v>
      </c>
      <c r="S554" s="11" t="s">
        <v>35</v>
      </c>
      <c r="T554" s="158">
        <v>5.2370000000000001</v>
      </c>
      <c r="U554" s="11" t="s">
        <v>2524</v>
      </c>
      <c r="V554" s="174">
        <v>1.6500000000000001E-2</v>
      </c>
      <c r="W554" s="189">
        <v>2.8119999999999999E-2</v>
      </c>
      <c r="X554" s="4" t="s">
        <v>602</v>
      </c>
      <c r="Y554" s="4" t="s">
        <v>312</v>
      </c>
      <c r="Z554" s="158">
        <v>3994127</v>
      </c>
      <c r="AA554" s="158">
        <v>1</v>
      </c>
      <c r="AB554" s="158">
        <v>107.94</v>
      </c>
      <c r="AD554" s="158">
        <v>4311.2610000000004</v>
      </c>
      <c r="AG554" s="11" t="s">
        <v>37</v>
      </c>
      <c r="AH554" s="189">
        <v>1.8879999999999999E-3</v>
      </c>
      <c r="AI554" s="189">
        <v>1.4067461855817601E-2</v>
      </c>
      <c r="AJ554" s="189">
        <v>2.3440022201368701E-3</v>
      </c>
    </row>
    <row r="555" spans="1:36">
      <c r="A555" s="11" t="s">
        <v>256</v>
      </c>
      <c r="B555" s="11">
        <v>7205</v>
      </c>
      <c r="C555" s="11" t="s">
        <v>2554</v>
      </c>
      <c r="D555" s="11" t="s">
        <v>2555</v>
      </c>
      <c r="E555" s="4" t="s">
        <v>1552</v>
      </c>
      <c r="F555" s="11" t="s">
        <v>2558</v>
      </c>
      <c r="G555" s="11" t="s">
        <v>2559</v>
      </c>
      <c r="H555" s="11" t="s">
        <v>511</v>
      </c>
      <c r="I555" s="11" t="s">
        <v>945</v>
      </c>
      <c r="J555" s="11" t="s">
        <v>31</v>
      </c>
      <c r="K555" s="11" t="s">
        <v>31</v>
      </c>
      <c r="L555" s="11" t="s">
        <v>517</v>
      </c>
      <c r="M555" s="11" t="s">
        <v>32</v>
      </c>
      <c r="N555" s="11" t="s">
        <v>652</v>
      </c>
      <c r="O555" s="11" t="s">
        <v>312</v>
      </c>
      <c r="P555" s="11" t="s">
        <v>157</v>
      </c>
      <c r="Q555" s="11" t="s">
        <v>604</v>
      </c>
      <c r="R555" s="11" t="s">
        <v>596</v>
      </c>
      <c r="S555" s="11" t="s">
        <v>35</v>
      </c>
      <c r="T555" s="158">
        <v>1.7070000000000001</v>
      </c>
      <c r="U555" s="11" t="s">
        <v>2333</v>
      </c>
      <c r="V555" s="174">
        <v>8.3000000000000001E-3</v>
      </c>
      <c r="W555" s="189">
        <v>2.0580000000000001E-2</v>
      </c>
      <c r="X555" s="4" t="s">
        <v>602</v>
      </c>
      <c r="Y555" s="4" t="s">
        <v>312</v>
      </c>
      <c r="Z555" s="158">
        <v>3364197.17</v>
      </c>
      <c r="AA555" s="158">
        <v>1</v>
      </c>
      <c r="AB555" s="158">
        <v>111.94</v>
      </c>
      <c r="AD555" s="158">
        <v>3765.8820000000001</v>
      </c>
      <c r="AG555" s="11" t="s">
        <v>37</v>
      </c>
      <c r="AH555" s="189">
        <v>2.8349999999999998E-3</v>
      </c>
      <c r="AI555" s="189">
        <v>1.2287915221179099E-2</v>
      </c>
      <c r="AJ555" s="189">
        <v>2.04748382149591E-3</v>
      </c>
    </row>
    <row r="556" spans="1:36">
      <c r="A556" s="11" t="s">
        <v>256</v>
      </c>
      <c r="B556" s="11">
        <v>7205</v>
      </c>
      <c r="C556" s="11" t="s">
        <v>2554</v>
      </c>
      <c r="D556" s="11" t="s">
        <v>2555</v>
      </c>
      <c r="E556" s="4" t="s">
        <v>1552</v>
      </c>
      <c r="F556" s="11" t="s">
        <v>2560</v>
      </c>
      <c r="G556" s="11" t="s">
        <v>2561</v>
      </c>
      <c r="H556" s="11" t="s">
        <v>511</v>
      </c>
      <c r="I556" s="11" t="s">
        <v>1154</v>
      </c>
      <c r="J556" s="11" t="s">
        <v>31</v>
      </c>
      <c r="K556" s="11" t="s">
        <v>31</v>
      </c>
      <c r="L556" s="11" t="s">
        <v>517</v>
      </c>
      <c r="M556" s="11" t="s">
        <v>32</v>
      </c>
      <c r="N556" s="11" t="s">
        <v>652</v>
      </c>
      <c r="O556" s="11" t="s">
        <v>312</v>
      </c>
      <c r="P556" s="11" t="s">
        <v>157</v>
      </c>
      <c r="Q556" s="11" t="s">
        <v>604</v>
      </c>
      <c r="R556" s="11" t="s">
        <v>596</v>
      </c>
      <c r="S556" s="11" t="s">
        <v>35</v>
      </c>
      <c r="T556" s="158">
        <v>0.499</v>
      </c>
      <c r="U556" s="11" t="s">
        <v>2162</v>
      </c>
      <c r="V556" s="174">
        <v>1.6299999999999999E-2</v>
      </c>
      <c r="W556" s="189">
        <v>4.514E-2</v>
      </c>
      <c r="X556" s="4" t="s">
        <v>602</v>
      </c>
      <c r="Y556" s="4" t="s">
        <v>312</v>
      </c>
      <c r="Z556" s="158">
        <v>1520153.45</v>
      </c>
      <c r="AA556" s="158">
        <v>1</v>
      </c>
      <c r="AB556" s="158">
        <v>98.62</v>
      </c>
      <c r="AD556" s="158">
        <v>1499.175</v>
      </c>
      <c r="AG556" s="11" t="s">
        <v>37</v>
      </c>
      <c r="AH556" s="189">
        <v>1.4595E-2</v>
      </c>
      <c r="AI556" s="189">
        <v>4.8917459069049802E-3</v>
      </c>
      <c r="AJ556" s="189">
        <v>8.1509112188485095E-4</v>
      </c>
    </row>
    <row r="557" spans="1:36">
      <c r="A557" s="11" t="s">
        <v>256</v>
      </c>
      <c r="B557" s="11">
        <v>7205</v>
      </c>
      <c r="C557" s="11" t="s">
        <v>2562</v>
      </c>
      <c r="D557" s="11" t="s">
        <v>2563</v>
      </c>
      <c r="E557" s="4" t="s">
        <v>1552</v>
      </c>
      <c r="F557" s="11" t="s">
        <v>2564</v>
      </c>
      <c r="G557" s="11" t="s">
        <v>2565</v>
      </c>
      <c r="H557" s="11" t="s">
        <v>511</v>
      </c>
      <c r="I557" s="11" t="s">
        <v>1154</v>
      </c>
      <c r="J557" s="11" t="s">
        <v>31</v>
      </c>
      <c r="K557" s="11" t="s">
        <v>31</v>
      </c>
      <c r="L557" s="11" t="s">
        <v>517</v>
      </c>
      <c r="M557" s="11" t="s">
        <v>32</v>
      </c>
      <c r="N557" s="11" t="s">
        <v>642</v>
      </c>
      <c r="O557" s="11" t="s">
        <v>312</v>
      </c>
      <c r="P557" s="11" t="s">
        <v>2169</v>
      </c>
      <c r="Q557" s="11" t="s">
        <v>358</v>
      </c>
      <c r="R557" s="11" t="s">
        <v>596</v>
      </c>
      <c r="S557" s="11" t="s">
        <v>35</v>
      </c>
      <c r="T557" s="158">
        <v>0.312</v>
      </c>
      <c r="U557" s="11" t="s">
        <v>2566</v>
      </c>
      <c r="V557" s="174">
        <v>2.3599999999999999E-2</v>
      </c>
      <c r="W557" s="189">
        <v>4.9520000000000002E-2</v>
      </c>
      <c r="X557" s="4" t="s">
        <v>602</v>
      </c>
      <c r="Y557" s="4" t="s">
        <v>312</v>
      </c>
      <c r="Z557" s="158">
        <v>1109969.48</v>
      </c>
      <c r="AA557" s="158">
        <v>1</v>
      </c>
      <c r="AB557" s="158">
        <v>100.24</v>
      </c>
      <c r="AD557" s="158">
        <v>1112.633</v>
      </c>
      <c r="AG557" s="11" t="s">
        <v>37</v>
      </c>
      <c r="AH557" s="189">
        <v>1.7618999999999999E-2</v>
      </c>
      <c r="AI557" s="189">
        <v>3.6304758994986901E-3</v>
      </c>
      <c r="AJ557" s="189">
        <v>6.0493098583090101E-4</v>
      </c>
    </row>
    <row r="558" spans="1:36">
      <c r="A558" s="11" t="s">
        <v>256</v>
      </c>
      <c r="B558" s="11">
        <v>7205</v>
      </c>
      <c r="C558" s="11" t="s">
        <v>2567</v>
      </c>
      <c r="D558" s="11" t="s">
        <v>2568</v>
      </c>
      <c r="E558" s="4" t="s">
        <v>1552</v>
      </c>
      <c r="F558" s="11" t="s">
        <v>2569</v>
      </c>
      <c r="G558" s="11" t="s">
        <v>2570</v>
      </c>
      <c r="H558" s="11" t="s">
        <v>511</v>
      </c>
      <c r="I558" s="11" t="s">
        <v>945</v>
      </c>
      <c r="J558" s="11" t="s">
        <v>31</v>
      </c>
      <c r="K558" s="11" t="s">
        <v>31</v>
      </c>
      <c r="L558" s="11" t="s">
        <v>517</v>
      </c>
      <c r="M558" s="11" t="s">
        <v>32</v>
      </c>
      <c r="N558" s="11" t="s">
        <v>666</v>
      </c>
      <c r="O558" s="11" t="s">
        <v>312</v>
      </c>
      <c r="P558" s="11" t="s">
        <v>2571</v>
      </c>
      <c r="Q558" s="11" t="s">
        <v>358</v>
      </c>
      <c r="R558" s="11" t="s">
        <v>596</v>
      </c>
      <c r="S558" s="11" t="s">
        <v>35</v>
      </c>
      <c r="T558" s="158">
        <v>5.72</v>
      </c>
      <c r="U558" s="11" t="s">
        <v>2572</v>
      </c>
      <c r="V558" s="174">
        <v>2.6499999999999999E-2</v>
      </c>
      <c r="W558" s="189">
        <v>2.7709999999999999E-2</v>
      </c>
      <c r="X558" s="4" t="s">
        <v>602</v>
      </c>
      <c r="Y558" s="4" t="s">
        <v>312</v>
      </c>
      <c r="Z558" s="158">
        <v>1267213.25</v>
      </c>
      <c r="AA558" s="158">
        <v>1</v>
      </c>
      <c r="AB558" s="158">
        <v>113.29</v>
      </c>
      <c r="AD558" s="158">
        <v>1435.626</v>
      </c>
      <c r="AG558" s="11" t="s">
        <v>37</v>
      </c>
      <c r="AH558" s="189">
        <v>8.61E-4</v>
      </c>
      <c r="AI558" s="189">
        <v>4.6843867585411097E-3</v>
      </c>
      <c r="AJ558" s="189">
        <v>7.8053973591968502E-4</v>
      </c>
    </row>
    <row r="559" spans="1:36">
      <c r="A559" s="11" t="s">
        <v>256</v>
      </c>
      <c r="B559" s="11">
        <v>7205</v>
      </c>
      <c r="C559" s="11" t="s">
        <v>2878</v>
      </c>
      <c r="D559" s="11" t="s">
        <v>2879</v>
      </c>
      <c r="E559" s="4" t="s">
        <v>1552</v>
      </c>
      <c r="F559" s="11" t="s">
        <v>2880</v>
      </c>
      <c r="G559" s="11" t="s">
        <v>2881</v>
      </c>
      <c r="H559" s="11" t="s">
        <v>511</v>
      </c>
      <c r="I559" s="11" t="s">
        <v>1154</v>
      </c>
      <c r="J559" s="11" t="s">
        <v>31</v>
      </c>
      <c r="K559" s="11" t="s">
        <v>31</v>
      </c>
      <c r="L559" s="11" t="s">
        <v>517</v>
      </c>
      <c r="M559" s="11" t="s">
        <v>32</v>
      </c>
      <c r="N559" s="11" t="s">
        <v>635</v>
      </c>
      <c r="O559" s="11" t="s">
        <v>312</v>
      </c>
      <c r="P559" s="11" t="s">
        <v>2165</v>
      </c>
      <c r="Q559" s="27" t="s">
        <v>2165</v>
      </c>
      <c r="R559" s="16" t="s">
        <v>2165</v>
      </c>
      <c r="S559" s="11" t="s">
        <v>35</v>
      </c>
      <c r="T559" s="158">
        <v>2.2120000000000002</v>
      </c>
      <c r="U559" s="11" t="s">
        <v>2882</v>
      </c>
      <c r="V559" s="174">
        <v>4.4999999999999998E-2</v>
      </c>
      <c r="W559" s="189">
        <v>8.5319999999999993E-2</v>
      </c>
      <c r="X559" s="4" t="s">
        <v>602</v>
      </c>
      <c r="Y559" s="4" t="s">
        <v>312</v>
      </c>
      <c r="Z559" s="158">
        <v>490592.3</v>
      </c>
      <c r="AA559" s="158">
        <v>1</v>
      </c>
      <c r="AB559" s="158">
        <v>92.31</v>
      </c>
      <c r="AD559" s="158">
        <v>452.86599999999999</v>
      </c>
      <c r="AG559" s="11" t="s">
        <v>37</v>
      </c>
      <c r="AH559" s="189">
        <v>2.7260000000000001E-3</v>
      </c>
      <c r="AI559" s="189">
        <v>1.4776818571499001E-3</v>
      </c>
      <c r="AJ559" s="189">
        <v>2.4621993571519299E-4</v>
      </c>
    </row>
    <row r="560" spans="1:36">
      <c r="A560" s="11" t="s">
        <v>256</v>
      </c>
      <c r="B560" s="11">
        <v>7205</v>
      </c>
      <c r="C560" s="11" t="s">
        <v>1888</v>
      </c>
      <c r="D560" s="11" t="s">
        <v>1889</v>
      </c>
      <c r="E560" s="4" t="s">
        <v>1552</v>
      </c>
      <c r="F560" s="11" t="s">
        <v>2573</v>
      </c>
      <c r="G560" s="11" t="s">
        <v>2574</v>
      </c>
      <c r="H560" s="11" t="s">
        <v>511</v>
      </c>
      <c r="I560" s="11" t="s">
        <v>1154</v>
      </c>
      <c r="J560" s="11" t="s">
        <v>31</v>
      </c>
      <c r="K560" s="11" t="s">
        <v>489</v>
      </c>
      <c r="L560" s="11" t="s">
        <v>517</v>
      </c>
      <c r="M560" s="11" t="s">
        <v>32</v>
      </c>
      <c r="N560" s="11" t="s">
        <v>653</v>
      </c>
      <c r="O560" s="11" t="s">
        <v>312</v>
      </c>
      <c r="P560" s="11" t="s">
        <v>2571</v>
      </c>
      <c r="Q560" s="11" t="s">
        <v>604</v>
      </c>
      <c r="R560" s="11" t="s">
        <v>596</v>
      </c>
      <c r="S560" s="11" t="s">
        <v>35</v>
      </c>
      <c r="T560" s="158">
        <v>2.2549999999999999</v>
      </c>
      <c r="U560" s="11" t="s">
        <v>2333</v>
      </c>
      <c r="V560" s="174">
        <v>2.75E-2</v>
      </c>
      <c r="W560" s="189">
        <v>5.3969999999999997E-2</v>
      </c>
      <c r="X560" s="4" t="s">
        <v>602</v>
      </c>
      <c r="Y560" s="4" t="s">
        <v>312</v>
      </c>
      <c r="Z560" s="158">
        <v>78365.63</v>
      </c>
      <c r="AA560" s="158">
        <v>1</v>
      </c>
      <c r="AB560" s="158">
        <v>94.46</v>
      </c>
      <c r="AD560" s="158">
        <v>74.024000000000001</v>
      </c>
      <c r="AG560" s="11" t="s">
        <v>37</v>
      </c>
      <c r="AH560" s="189">
        <v>9.4899999999999997E-4</v>
      </c>
      <c r="AI560" s="189">
        <v>2.4153775934842599E-4</v>
      </c>
      <c r="AJ560" s="189">
        <v>4.0246424689999002E-5</v>
      </c>
    </row>
    <row r="561" spans="1:36">
      <c r="A561" s="11" t="s">
        <v>256</v>
      </c>
      <c r="B561" s="11">
        <v>7205</v>
      </c>
      <c r="C561" s="11" t="s">
        <v>2575</v>
      </c>
      <c r="D561" s="11" t="s">
        <v>2576</v>
      </c>
      <c r="E561" s="4" t="s">
        <v>1552</v>
      </c>
      <c r="F561" s="11" t="s">
        <v>2577</v>
      </c>
      <c r="G561" s="11" t="s">
        <v>2578</v>
      </c>
      <c r="H561" s="11" t="s">
        <v>511</v>
      </c>
      <c r="I561" s="11" t="s">
        <v>945</v>
      </c>
      <c r="J561" s="11" t="s">
        <v>31</v>
      </c>
      <c r="K561" s="11" t="s">
        <v>31</v>
      </c>
      <c r="L561" s="11" t="s">
        <v>517</v>
      </c>
      <c r="M561" s="11" t="s">
        <v>32</v>
      </c>
      <c r="N561" s="11" t="s">
        <v>629</v>
      </c>
      <c r="O561" s="11" t="s">
        <v>312</v>
      </c>
      <c r="P561" s="11" t="s">
        <v>2165</v>
      </c>
      <c r="Q561" s="27" t="s">
        <v>2165</v>
      </c>
      <c r="R561" s="16" t="s">
        <v>2165</v>
      </c>
      <c r="S561" s="11" t="s">
        <v>35</v>
      </c>
      <c r="T561" s="158">
        <v>2.33</v>
      </c>
      <c r="U561" s="11" t="s">
        <v>2441</v>
      </c>
      <c r="V561" s="174">
        <v>2.3E-2</v>
      </c>
      <c r="W561" s="189">
        <v>5.7480000000000003E-2</v>
      </c>
      <c r="X561" s="4" t="s">
        <v>602</v>
      </c>
      <c r="Y561" s="4" t="s">
        <v>312</v>
      </c>
      <c r="Z561" s="158">
        <v>1419558.9</v>
      </c>
      <c r="AA561" s="158">
        <v>1</v>
      </c>
      <c r="AB561" s="158">
        <v>102.42</v>
      </c>
      <c r="AD561" s="158">
        <v>1453.912</v>
      </c>
      <c r="AG561" s="11" t="s">
        <v>37</v>
      </c>
      <c r="AH561" s="189">
        <v>3.7420000000000001E-3</v>
      </c>
      <c r="AI561" s="189">
        <v>4.7440542969470001E-3</v>
      </c>
      <c r="AJ561" s="189">
        <v>7.9048188781083602E-4</v>
      </c>
    </row>
    <row r="562" spans="1:36">
      <c r="A562" s="11" t="s">
        <v>256</v>
      </c>
      <c r="B562" s="11">
        <v>7205</v>
      </c>
      <c r="C562" s="11" t="s">
        <v>2575</v>
      </c>
      <c r="D562" s="11" t="s">
        <v>2576</v>
      </c>
      <c r="E562" s="4" t="s">
        <v>1552</v>
      </c>
      <c r="F562" s="11" t="s">
        <v>2579</v>
      </c>
      <c r="G562" s="11" t="s">
        <v>2578</v>
      </c>
      <c r="H562" s="11" t="s">
        <v>511</v>
      </c>
      <c r="I562" s="11" t="s">
        <v>945</v>
      </c>
      <c r="J562" s="11" t="s">
        <v>31</v>
      </c>
      <c r="K562" s="11" t="s">
        <v>489</v>
      </c>
      <c r="L562" s="16" t="s">
        <v>519</v>
      </c>
      <c r="M562" s="11" t="s">
        <v>342</v>
      </c>
      <c r="N562" s="11" t="s">
        <v>629</v>
      </c>
      <c r="O562" s="11" t="s">
        <v>312</v>
      </c>
      <c r="P562" s="11" t="s">
        <v>2165</v>
      </c>
      <c r="Q562" s="27" t="s">
        <v>2165</v>
      </c>
      <c r="R562" s="16" t="s">
        <v>2165</v>
      </c>
      <c r="S562" s="11" t="s">
        <v>35</v>
      </c>
      <c r="T562" s="158">
        <v>2.33</v>
      </c>
      <c r="U562" s="11" t="s">
        <v>2441</v>
      </c>
      <c r="V562" s="174">
        <v>2.3E-2</v>
      </c>
      <c r="W562" s="189">
        <v>5.6239999999999998E-2</v>
      </c>
      <c r="X562" s="4" t="s">
        <v>602</v>
      </c>
      <c r="Y562" s="4" t="s">
        <v>312</v>
      </c>
      <c r="Z562" s="158">
        <v>465000</v>
      </c>
      <c r="AA562" s="158">
        <v>1</v>
      </c>
      <c r="AB562" s="158">
        <v>101.483</v>
      </c>
      <c r="AD562" s="158">
        <v>471.89400000000001</v>
      </c>
      <c r="AG562" s="11" t="s">
        <v>37</v>
      </c>
      <c r="AH562" s="189">
        <v>0</v>
      </c>
      <c r="AI562" s="189">
        <v>1.53976975883472E-3</v>
      </c>
      <c r="AJ562" s="189">
        <v>2.5656538259711701E-4</v>
      </c>
    </row>
    <row r="563" spans="1:36">
      <c r="A563" s="11" t="s">
        <v>256</v>
      </c>
      <c r="B563" s="11">
        <v>7205</v>
      </c>
      <c r="C563" s="11" t="s">
        <v>2883</v>
      </c>
      <c r="D563" s="11" t="s">
        <v>2884</v>
      </c>
      <c r="E563" s="4" t="s">
        <v>1552</v>
      </c>
      <c r="F563" s="11" t="s">
        <v>2885</v>
      </c>
      <c r="G563" s="11" t="s">
        <v>2886</v>
      </c>
      <c r="H563" s="11" t="s">
        <v>511</v>
      </c>
      <c r="I563" s="11" t="s">
        <v>945</v>
      </c>
      <c r="J563" s="11" t="s">
        <v>31</v>
      </c>
      <c r="K563" s="11" t="s">
        <v>31</v>
      </c>
      <c r="L563" s="11" t="s">
        <v>517</v>
      </c>
      <c r="M563" s="11" t="s">
        <v>32</v>
      </c>
      <c r="N563" s="11" t="s">
        <v>629</v>
      </c>
      <c r="O563" s="11" t="s">
        <v>312</v>
      </c>
      <c r="P563" s="11" t="s">
        <v>2165</v>
      </c>
      <c r="Q563" s="27" t="s">
        <v>2165</v>
      </c>
      <c r="R563" s="16" t="s">
        <v>2165</v>
      </c>
      <c r="S563" s="11" t="s">
        <v>35</v>
      </c>
      <c r="T563" s="158">
        <v>2.3460000000000001</v>
      </c>
      <c r="U563" s="11" t="s">
        <v>2441</v>
      </c>
      <c r="V563" s="174">
        <v>2.9499999999999998E-2</v>
      </c>
      <c r="W563" s="189">
        <v>4.1820000000000003E-2</v>
      </c>
      <c r="X563" s="4" t="s">
        <v>602</v>
      </c>
      <c r="Y563" s="4" t="s">
        <v>312</v>
      </c>
      <c r="Z563" s="158">
        <v>385716.15</v>
      </c>
      <c r="AA563" s="158">
        <v>1</v>
      </c>
      <c r="AB563" s="158">
        <v>106</v>
      </c>
      <c r="AD563" s="158">
        <v>408.85899999999998</v>
      </c>
      <c r="AG563" s="11" t="s">
        <v>37</v>
      </c>
      <c r="AH563" s="189">
        <v>1.7110000000000001E-3</v>
      </c>
      <c r="AI563" s="189">
        <v>1.3340900684915601E-3</v>
      </c>
      <c r="AJ563" s="189">
        <v>2.2229383768426799E-4</v>
      </c>
    </row>
    <row r="564" spans="1:36">
      <c r="A564" s="11" t="s">
        <v>256</v>
      </c>
      <c r="B564" s="11">
        <v>7205</v>
      </c>
      <c r="C564" s="11" t="s">
        <v>2580</v>
      </c>
      <c r="D564" s="11" t="s">
        <v>2581</v>
      </c>
      <c r="E564" s="4" t="s">
        <v>1552</v>
      </c>
      <c r="F564" s="11" t="s">
        <v>2582</v>
      </c>
      <c r="G564" s="11" t="s">
        <v>2583</v>
      </c>
      <c r="H564" s="11" t="s">
        <v>511</v>
      </c>
      <c r="I564" s="11" t="s">
        <v>1155</v>
      </c>
      <c r="J564" s="11" t="s">
        <v>31</v>
      </c>
      <c r="K564" s="11" t="s">
        <v>31</v>
      </c>
      <c r="L564" s="11" t="s">
        <v>517</v>
      </c>
      <c r="M564" s="11" t="s">
        <v>32</v>
      </c>
      <c r="N564" s="11" t="s">
        <v>635</v>
      </c>
      <c r="O564" s="11" t="s">
        <v>312</v>
      </c>
      <c r="P564" s="11" t="s">
        <v>2165</v>
      </c>
      <c r="Q564" s="27" t="s">
        <v>2165</v>
      </c>
      <c r="R564" s="16" t="s">
        <v>2165</v>
      </c>
      <c r="S564" s="11" t="s">
        <v>35</v>
      </c>
      <c r="T564" s="158">
        <v>3.1920000000000002</v>
      </c>
      <c r="U564" s="11" t="s">
        <v>2170</v>
      </c>
      <c r="V564" s="174">
        <v>5.5E-2</v>
      </c>
      <c r="W564" s="189">
        <v>6.0490000000000002E-2</v>
      </c>
      <c r="X564" s="4" t="s">
        <v>602</v>
      </c>
      <c r="Y564" s="4" t="s">
        <v>312</v>
      </c>
      <c r="Z564" s="158">
        <v>227199</v>
      </c>
      <c r="AA564" s="158">
        <v>1</v>
      </c>
      <c r="AB564" s="158">
        <v>98.6</v>
      </c>
      <c r="AD564" s="158">
        <v>224.018</v>
      </c>
      <c r="AG564" s="11" t="s">
        <v>37</v>
      </c>
      <c r="AH564" s="189">
        <v>4.2119999999999996E-3</v>
      </c>
      <c r="AI564" s="189">
        <v>7.30961988054903E-4</v>
      </c>
      <c r="AJ564" s="189">
        <v>1.2179713301499299E-4</v>
      </c>
    </row>
    <row r="565" spans="1:36">
      <c r="A565" s="11" t="s">
        <v>256</v>
      </c>
      <c r="B565" s="11">
        <v>7205</v>
      </c>
      <c r="C565" s="11" t="s">
        <v>2584</v>
      </c>
      <c r="D565" s="11" t="s">
        <v>2585</v>
      </c>
      <c r="E565" s="4" t="s">
        <v>34</v>
      </c>
      <c r="F565" s="11" t="s">
        <v>2586</v>
      </c>
      <c r="G565" s="11" t="s">
        <v>2587</v>
      </c>
      <c r="H565" s="11" t="s">
        <v>511</v>
      </c>
      <c r="I565" s="11" t="s">
        <v>364</v>
      </c>
      <c r="J565" s="11" t="s">
        <v>31</v>
      </c>
      <c r="K565" s="11" t="s">
        <v>155</v>
      </c>
      <c r="L565" s="11" t="s">
        <v>517</v>
      </c>
      <c r="M565" s="11" t="s">
        <v>32</v>
      </c>
      <c r="N565" s="11" t="s">
        <v>631</v>
      </c>
      <c r="O565" s="11" t="s">
        <v>312</v>
      </c>
      <c r="P565" s="11" t="s">
        <v>168</v>
      </c>
      <c r="Q565" s="11" t="s">
        <v>604</v>
      </c>
      <c r="R565" s="11" t="s">
        <v>596</v>
      </c>
      <c r="S565" s="11" t="s">
        <v>35</v>
      </c>
      <c r="T565" s="158">
        <v>2</v>
      </c>
      <c r="U565" s="11" t="s">
        <v>2588</v>
      </c>
      <c r="V565" s="174">
        <v>8.9242000000000002E-2</v>
      </c>
      <c r="W565" s="189">
        <v>8.5949999999999999E-2</v>
      </c>
      <c r="X565" s="4" t="s">
        <v>602</v>
      </c>
      <c r="Y565" s="4" t="s">
        <v>312</v>
      </c>
      <c r="Z565" s="158">
        <v>710600</v>
      </c>
      <c r="AA565" s="158">
        <v>1</v>
      </c>
      <c r="AB565" s="158">
        <v>105</v>
      </c>
      <c r="AD565" s="158">
        <v>746.13</v>
      </c>
      <c r="AG565" s="11" t="s">
        <v>37</v>
      </c>
      <c r="AH565" s="189">
        <v>1.688E-3</v>
      </c>
      <c r="AI565" s="189">
        <v>2.43459073442753E-3</v>
      </c>
      <c r="AJ565" s="189">
        <v>4.0566565206379298E-4</v>
      </c>
    </row>
    <row r="566" spans="1:36">
      <c r="A566" s="11" t="s">
        <v>256</v>
      </c>
      <c r="B566" s="11">
        <v>7205</v>
      </c>
      <c r="C566" s="11" t="s">
        <v>2589</v>
      </c>
      <c r="D566" s="11" t="s">
        <v>2590</v>
      </c>
      <c r="E566" s="4" t="s">
        <v>1552</v>
      </c>
      <c r="F566" s="11" t="s">
        <v>2591</v>
      </c>
      <c r="G566" s="11" t="s">
        <v>2592</v>
      </c>
      <c r="H566" s="11" t="s">
        <v>511</v>
      </c>
      <c r="I566" s="11" t="s">
        <v>945</v>
      </c>
      <c r="J566" s="11" t="s">
        <v>31</v>
      </c>
      <c r="K566" s="11" t="s">
        <v>31</v>
      </c>
      <c r="L566" s="11" t="s">
        <v>517</v>
      </c>
      <c r="M566" s="11" t="s">
        <v>32</v>
      </c>
      <c r="N566" s="11" t="s">
        <v>652</v>
      </c>
      <c r="O566" s="11" t="s">
        <v>312</v>
      </c>
      <c r="P566" s="11" t="s">
        <v>2418</v>
      </c>
      <c r="Q566" s="11" t="s">
        <v>604</v>
      </c>
      <c r="R566" s="11" t="s">
        <v>596</v>
      </c>
      <c r="S566" s="11" t="s">
        <v>35</v>
      </c>
      <c r="T566" s="158">
        <v>0.53400000000000003</v>
      </c>
      <c r="U566" s="11" t="s">
        <v>2593</v>
      </c>
      <c r="V566" s="174">
        <v>2.75E-2</v>
      </c>
      <c r="W566" s="189">
        <v>3.2379999999999999E-2</v>
      </c>
      <c r="X566" s="4" t="s">
        <v>602</v>
      </c>
      <c r="Y566" s="4" t="s">
        <v>312</v>
      </c>
      <c r="Z566" s="158">
        <v>2129551.63</v>
      </c>
      <c r="AA566" s="158">
        <v>1</v>
      </c>
      <c r="AB566" s="158">
        <v>114.52</v>
      </c>
      <c r="AD566" s="158">
        <v>2438.7629999999999</v>
      </c>
      <c r="AG566" s="11" t="s">
        <v>37</v>
      </c>
      <c r="AH566" s="189">
        <v>1.5405E-2</v>
      </c>
      <c r="AI566" s="189">
        <v>7.9575793104612706E-3</v>
      </c>
      <c r="AJ566" s="189">
        <v>1.3259380947191E-3</v>
      </c>
    </row>
    <row r="567" spans="1:36">
      <c r="A567" s="11" t="s">
        <v>256</v>
      </c>
      <c r="B567" s="11">
        <v>7205</v>
      </c>
      <c r="C567" s="11" t="s">
        <v>2589</v>
      </c>
      <c r="D567" s="11" t="s">
        <v>2590</v>
      </c>
      <c r="E567" s="4" t="s">
        <v>1552</v>
      </c>
      <c r="F567" s="11" t="s">
        <v>2594</v>
      </c>
      <c r="G567" s="11" t="s">
        <v>2595</v>
      </c>
      <c r="H567" s="11" t="s">
        <v>511</v>
      </c>
      <c r="I567" s="11" t="s">
        <v>945</v>
      </c>
      <c r="J567" s="11" t="s">
        <v>31</v>
      </c>
      <c r="K567" s="11" t="s">
        <v>31</v>
      </c>
      <c r="L567" s="11" t="s">
        <v>517</v>
      </c>
      <c r="M567" s="11" t="s">
        <v>32</v>
      </c>
      <c r="N567" s="11" t="s">
        <v>652</v>
      </c>
      <c r="O567" s="11" t="s">
        <v>312</v>
      </c>
      <c r="P567" s="11" t="s">
        <v>2418</v>
      </c>
      <c r="Q567" s="11" t="s">
        <v>604</v>
      </c>
      <c r="R567" s="11" t="s">
        <v>596</v>
      </c>
      <c r="S567" s="11" t="s">
        <v>35</v>
      </c>
      <c r="T567" s="158">
        <v>3.157</v>
      </c>
      <c r="U567" s="11" t="s">
        <v>2596</v>
      </c>
      <c r="V567" s="174">
        <v>1.9599999999999999E-2</v>
      </c>
      <c r="W567" s="189">
        <v>2.9319999999999999E-2</v>
      </c>
      <c r="X567" s="4" t="s">
        <v>602</v>
      </c>
      <c r="Y567" s="4" t="s">
        <v>312</v>
      </c>
      <c r="Z567" s="158">
        <v>1535271.3</v>
      </c>
      <c r="AA567" s="158">
        <v>1</v>
      </c>
      <c r="AB567" s="158">
        <v>111.11</v>
      </c>
      <c r="AD567" s="158">
        <v>1705.84</v>
      </c>
      <c r="AG567" s="11" t="s">
        <v>37</v>
      </c>
      <c r="AH567" s="189">
        <v>1.341E-3</v>
      </c>
      <c r="AI567" s="189">
        <v>5.56608381357389E-3</v>
      </c>
      <c r="AJ567" s="189">
        <v>9.2745322149848401E-4</v>
      </c>
    </row>
    <row r="568" spans="1:36">
      <c r="A568" s="11" t="s">
        <v>256</v>
      </c>
      <c r="B568" s="11">
        <v>7205</v>
      </c>
      <c r="C568" s="11" t="s">
        <v>2589</v>
      </c>
      <c r="D568" s="11" t="s">
        <v>2590</v>
      </c>
      <c r="E568" s="4" t="s">
        <v>1552</v>
      </c>
      <c r="F568" s="11" t="s">
        <v>2597</v>
      </c>
      <c r="G568" s="11" t="s">
        <v>2598</v>
      </c>
      <c r="H568" s="11" t="s">
        <v>511</v>
      </c>
      <c r="I568" s="11" t="s">
        <v>945</v>
      </c>
      <c r="J568" s="11" t="s">
        <v>31</v>
      </c>
      <c r="K568" s="11" t="s">
        <v>31</v>
      </c>
      <c r="L568" s="11" t="s">
        <v>517</v>
      </c>
      <c r="M568" s="11" t="s">
        <v>32</v>
      </c>
      <c r="N568" s="11" t="s">
        <v>652</v>
      </c>
      <c r="O568" s="11" t="s">
        <v>312</v>
      </c>
      <c r="P568" s="11" t="s">
        <v>2418</v>
      </c>
      <c r="Q568" s="11" t="s">
        <v>604</v>
      </c>
      <c r="R568" s="11" t="s">
        <v>596</v>
      </c>
      <c r="S568" s="11" t="s">
        <v>35</v>
      </c>
      <c r="T568" s="158">
        <v>6.0330000000000004</v>
      </c>
      <c r="U568" s="11" t="s">
        <v>2599</v>
      </c>
      <c r="V568" s="174">
        <v>1.5800000000000002E-2</v>
      </c>
      <c r="W568" s="189">
        <v>3.5290000000000002E-2</v>
      </c>
      <c r="X568" s="4" t="s">
        <v>602</v>
      </c>
      <c r="Y568" s="4" t="s">
        <v>312</v>
      </c>
      <c r="Z568" s="158">
        <v>2086169.56</v>
      </c>
      <c r="AA568" s="158">
        <v>1</v>
      </c>
      <c r="AB568" s="158">
        <v>101.56</v>
      </c>
      <c r="AD568" s="158">
        <v>2118.7139999999999</v>
      </c>
      <c r="AG568" s="11" t="s">
        <v>37</v>
      </c>
      <c r="AH568" s="189">
        <v>1.6819999999999999E-3</v>
      </c>
      <c r="AI568" s="189">
        <v>6.9132738247863097E-3</v>
      </c>
      <c r="AJ568" s="189">
        <v>1.15192984774377E-3</v>
      </c>
    </row>
    <row r="569" spans="1:36">
      <c r="A569" s="11" t="s">
        <v>256</v>
      </c>
      <c r="B569" s="11">
        <v>7205</v>
      </c>
      <c r="C569" s="11" t="s">
        <v>2600</v>
      </c>
      <c r="D569" s="11" t="s">
        <v>2601</v>
      </c>
      <c r="E569" s="4" t="s">
        <v>1552</v>
      </c>
      <c r="F569" s="11" t="s">
        <v>2602</v>
      </c>
      <c r="G569" s="11" t="s">
        <v>2603</v>
      </c>
      <c r="H569" s="11" t="s">
        <v>511</v>
      </c>
      <c r="I569" s="11" t="s">
        <v>945</v>
      </c>
      <c r="J569" s="11" t="s">
        <v>31</v>
      </c>
      <c r="K569" s="11" t="s">
        <v>31</v>
      </c>
      <c r="L569" s="11" t="s">
        <v>517</v>
      </c>
      <c r="M569" s="11" t="s">
        <v>32</v>
      </c>
      <c r="N569" s="11" t="s">
        <v>673</v>
      </c>
      <c r="O569" s="11" t="s">
        <v>312</v>
      </c>
      <c r="P569" s="11" t="s">
        <v>2161</v>
      </c>
      <c r="Q569" s="11" t="s">
        <v>358</v>
      </c>
      <c r="R569" s="11" t="s">
        <v>596</v>
      </c>
      <c r="S569" s="11" t="s">
        <v>35</v>
      </c>
      <c r="T569" s="158">
        <v>8.0000000000000002E-3</v>
      </c>
      <c r="U569" s="11" t="s">
        <v>361</v>
      </c>
      <c r="V569" s="174">
        <v>1.9800000000000002E-2</v>
      </c>
      <c r="W569" s="189">
        <v>6.3280000000000003E-2</v>
      </c>
      <c r="X569" s="4" t="s">
        <v>602</v>
      </c>
      <c r="Y569" s="4" t="s">
        <v>312</v>
      </c>
      <c r="Z569" s="158">
        <v>19000</v>
      </c>
      <c r="AA569" s="158">
        <v>1</v>
      </c>
      <c r="AB569" s="158">
        <v>114.69</v>
      </c>
      <c r="AD569" s="158">
        <v>21.791</v>
      </c>
      <c r="AG569" s="11" t="s">
        <v>37</v>
      </c>
      <c r="AH569" s="189">
        <v>1.25E-4</v>
      </c>
      <c r="AI569" s="189">
        <v>7.1103440624266295E-5</v>
      </c>
      <c r="AJ569" s="189">
        <v>1.18476683563016E-5</v>
      </c>
    </row>
    <row r="570" spans="1:36">
      <c r="A570" s="11" t="s">
        <v>256</v>
      </c>
      <c r="B570" s="11">
        <v>7205</v>
      </c>
      <c r="C570" s="11" t="s">
        <v>2604</v>
      </c>
      <c r="D570" s="11" t="s">
        <v>2605</v>
      </c>
      <c r="E570" s="4" t="s">
        <v>504</v>
      </c>
      <c r="F570" s="11" t="s">
        <v>2606</v>
      </c>
      <c r="G570" s="11" t="s">
        <v>2607</v>
      </c>
      <c r="H570" s="11" t="s">
        <v>511</v>
      </c>
      <c r="I570" s="11" t="s">
        <v>1154</v>
      </c>
      <c r="J570" s="11" t="s">
        <v>154</v>
      </c>
      <c r="K570" s="11" t="s">
        <v>155</v>
      </c>
      <c r="L570" s="11" t="s">
        <v>517</v>
      </c>
      <c r="M570" s="11" t="s">
        <v>32</v>
      </c>
      <c r="N570" s="11" t="s">
        <v>653</v>
      </c>
      <c r="O570" s="11" t="s">
        <v>312</v>
      </c>
      <c r="P570" s="11" t="s">
        <v>2161</v>
      </c>
      <c r="Q570" s="11" t="s">
        <v>358</v>
      </c>
      <c r="R570" s="11" t="s">
        <v>596</v>
      </c>
      <c r="S570" s="11" t="s">
        <v>35</v>
      </c>
      <c r="T570" s="158">
        <v>0.41599999999999998</v>
      </c>
      <c r="U570" s="11" t="s">
        <v>2608</v>
      </c>
      <c r="V570" s="174">
        <v>3.9E-2</v>
      </c>
      <c r="W570" s="189">
        <v>5.9380000000000002E-2</v>
      </c>
      <c r="X570" s="4" t="s">
        <v>602</v>
      </c>
      <c r="Y570" s="4" t="s">
        <v>312</v>
      </c>
      <c r="Z570" s="158">
        <v>3939114.13</v>
      </c>
      <c r="AA570" s="158">
        <v>1</v>
      </c>
      <c r="AB570" s="158">
        <v>99.53</v>
      </c>
      <c r="AD570" s="158">
        <v>3920.6</v>
      </c>
      <c r="AG570" s="11" t="s">
        <v>37</v>
      </c>
      <c r="AH570" s="189">
        <v>1.0173E-2</v>
      </c>
      <c r="AI570" s="189">
        <v>1.2792753472137101E-2</v>
      </c>
      <c r="AJ570" s="189">
        <v>2.1316029037571002E-3</v>
      </c>
    </row>
    <row r="571" spans="1:36">
      <c r="A571" s="11" t="s">
        <v>256</v>
      </c>
      <c r="B571" s="11">
        <v>7205</v>
      </c>
      <c r="C571" s="11" t="s">
        <v>1895</v>
      </c>
      <c r="D571" s="11" t="s">
        <v>1896</v>
      </c>
      <c r="E571" s="4" t="s">
        <v>1552</v>
      </c>
      <c r="F571" s="11" t="s">
        <v>2609</v>
      </c>
      <c r="G571" s="11" t="s">
        <v>2610</v>
      </c>
      <c r="H571" s="11" t="s">
        <v>511</v>
      </c>
      <c r="I571" s="11" t="s">
        <v>945</v>
      </c>
      <c r="J571" s="11" t="s">
        <v>31</v>
      </c>
      <c r="K571" s="11" t="s">
        <v>31</v>
      </c>
      <c r="L571" s="11" t="s">
        <v>517</v>
      </c>
      <c r="M571" s="11" t="s">
        <v>32</v>
      </c>
      <c r="N571" s="11" t="s">
        <v>652</v>
      </c>
      <c r="O571" s="11" t="s">
        <v>312</v>
      </c>
      <c r="P571" s="11" t="s">
        <v>2571</v>
      </c>
      <c r="Q571" s="11" t="s">
        <v>604</v>
      </c>
      <c r="R571" s="11" t="s">
        <v>596</v>
      </c>
      <c r="S571" s="11" t="s">
        <v>35</v>
      </c>
      <c r="T571" s="158">
        <v>3.1429999999999998</v>
      </c>
      <c r="U571" s="11" t="s">
        <v>2611</v>
      </c>
      <c r="V571" s="174">
        <v>1.34E-2</v>
      </c>
      <c r="W571" s="189">
        <v>2.777E-2</v>
      </c>
      <c r="X571" s="4" t="s">
        <v>602</v>
      </c>
      <c r="Y571" s="4" t="s">
        <v>312</v>
      </c>
      <c r="Z571" s="158">
        <v>1461197.6</v>
      </c>
      <c r="AA571" s="158">
        <v>1</v>
      </c>
      <c r="AB571" s="158">
        <v>110</v>
      </c>
      <c r="AC571" s="158">
        <v>152.245</v>
      </c>
      <c r="AD571" s="158">
        <v>1759.5630000000001</v>
      </c>
      <c r="AG571" s="11" t="s">
        <v>37</v>
      </c>
      <c r="AH571" s="189">
        <v>5.0900000000000001E-4</v>
      </c>
      <c r="AI571" s="189">
        <v>5.7413790730755096E-3</v>
      </c>
      <c r="AJ571" s="189">
        <v>9.5666193602443497E-4</v>
      </c>
    </row>
    <row r="572" spans="1:36">
      <c r="A572" s="11" t="s">
        <v>256</v>
      </c>
      <c r="B572" s="11">
        <v>7205</v>
      </c>
      <c r="C572" s="11" t="s">
        <v>1895</v>
      </c>
      <c r="D572" s="11" t="s">
        <v>1896</v>
      </c>
      <c r="E572" s="4" t="s">
        <v>1552</v>
      </c>
      <c r="F572" s="11" t="s">
        <v>2612</v>
      </c>
      <c r="G572" s="11" t="s">
        <v>2613</v>
      </c>
      <c r="H572" s="11" t="s">
        <v>511</v>
      </c>
      <c r="I572" s="11" t="s">
        <v>945</v>
      </c>
      <c r="J572" s="11" t="s">
        <v>31</v>
      </c>
      <c r="K572" s="11" t="s">
        <v>31</v>
      </c>
      <c r="L572" s="11" t="s">
        <v>517</v>
      </c>
      <c r="M572" s="11" t="s">
        <v>32</v>
      </c>
      <c r="N572" s="11" t="s">
        <v>652</v>
      </c>
      <c r="O572" s="11" t="s">
        <v>312</v>
      </c>
      <c r="P572" s="11" t="s">
        <v>2571</v>
      </c>
      <c r="Q572" s="11" t="s">
        <v>604</v>
      </c>
      <c r="R572" s="11" t="s">
        <v>596</v>
      </c>
      <c r="S572" s="11" t="s">
        <v>35</v>
      </c>
      <c r="T572" s="158">
        <v>2.7959999999999998</v>
      </c>
      <c r="U572" s="11" t="s">
        <v>2166</v>
      </c>
      <c r="V572" s="174">
        <v>1.77E-2</v>
      </c>
      <c r="W572" s="189">
        <v>2.615E-2</v>
      </c>
      <c r="X572" s="4" t="s">
        <v>602</v>
      </c>
      <c r="Y572" s="4" t="s">
        <v>312</v>
      </c>
      <c r="Z572" s="158">
        <v>3442147.86</v>
      </c>
      <c r="AA572" s="158">
        <v>1</v>
      </c>
      <c r="AB572" s="158">
        <v>110.8</v>
      </c>
      <c r="AD572" s="158">
        <v>3813.9</v>
      </c>
      <c r="AG572" s="11" t="s">
        <v>37</v>
      </c>
      <c r="AH572" s="189">
        <v>1.2489999999999999E-3</v>
      </c>
      <c r="AI572" s="189">
        <v>1.24445943541018E-2</v>
      </c>
      <c r="AJ572" s="189">
        <v>2.0735906088598399E-3</v>
      </c>
    </row>
    <row r="573" spans="1:36">
      <c r="A573" s="11" t="s">
        <v>256</v>
      </c>
      <c r="B573" s="11">
        <v>7205</v>
      </c>
      <c r="C573" s="11" t="s">
        <v>2614</v>
      </c>
      <c r="D573" s="11" t="s">
        <v>2615</v>
      </c>
      <c r="E573" s="4" t="s">
        <v>1552</v>
      </c>
      <c r="F573" s="11" t="s">
        <v>2616</v>
      </c>
      <c r="G573" s="11" t="s">
        <v>2617</v>
      </c>
      <c r="H573" s="11" t="s">
        <v>511</v>
      </c>
      <c r="I573" s="11" t="s">
        <v>1154</v>
      </c>
      <c r="J573" s="11" t="s">
        <v>31</v>
      </c>
      <c r="K573" s="11" t="s">
        <v>31</v>
      </c>
      <c r="L573" s="11" t="s">
        <v>517</v>
      </c>
      <c r="M573" s="11" t="s">
        <v>32</v>
      </c>
      <c r="N573" s="11" t="s">
        <v>652</v>
      </c>
      <c r="O573" s="11" t="s">
        <v>312</v>
      </c>
      <c r="P573" s="11" t="s">
        <v>157</v>
      </c>
      <c r="Q573" s="11" t="s">
        <v>604</v>
      </c>
      <c r="R573" s="11" t="s">
        <v>596</v>
      </c>
      <c r="S573" s="11" t="s">
        <v>35</v>
      </c>
      <c r="T573" s="158">
        <v>1.917</v>
      </c>
      <c r="U573" s="11" t="s">
        <v>2618</v>
      </c>
      <c r="V573" s="174">
        <v>1.44E-2</v>
      </c>
      <c r="W573" s="189">
        <v>4.7489999999999997E-2</v>
      </c>
      <c r="X573" s="4" t="s">
        <v>602</v>
      </c>
      <c r="Y573" s="4" t="s">
        <v>312</v>
      </c>
      <c r="Z573" s="158">
        <v>819428.52</v>
      </c>
      <c r="AA573" s="158">
        <v>1</v>
      </c>
      <c r="AB573" s="158">
        <v>94.32</v>
      </c>
      <c r="AD573" s="158">
        <v>772.88499999999999</v>
      </c>
      <c r="AG573" s="11" t="s">
        <v>37</v>
      </c>
      <c r="AH573" s="189">
        <v>2.049E-3</v>
      </c>
      <c r="AI573" s="189">
        <v>2.5218911064318898E-3</v>
      </c>
      <c r="AJ573" s="189">
        <v>4.2021214722364001E-4</v>
      </c>
    </row>
    <row r="574" spans="1:36">
      <c r="A574" s="11" t="s">
        <v>256</v>
      </c>
      <c r="B574" s="11">
        <v>7205</v>
      </c>
      <c r="C574" s="11" t="s">
        <v>1903</v>
      </c>
      <c r="D574" s="11" t="s">
        <v>1904</v>
      </c>
      <c r="E574" s="4" t="s">
        <v>1552</v>
      </c>
      <c r="F574" s="11" t="s">
        <v>2619</v>
      </c>
      <c r="G574" s="11" t="s">
        <v>2620</v>
      </c>
      <c r="H574" s="11" t="s">
        <v>511</v>
      </c>
      <c r="I574" s="11" t="s">
        <v>1154</v>
      </c>
      <c r="J574" s="11" t="s">
        <v>31</v>
      </c>
      <c r="K574" s="11" t="s">
        <v>31</v>
      </c>
      <c r="L574" s="11" t="s">
        <v>517</v>
      </c>
      <c r="M574" s="11" t="s">
        <v>32</v>
      </c>
      <c r="N574" s="11" t="s">
        <v>636</v>
      </c>
      <c r="O574" s="11" t="s">
        <v>312</v>
      </c>
      <c r="P574" s="11" t="s">
        <v>157</v>
      </c>
      <c r="Q574" s="11" t="s">
        <v>604</v>
      </c>
      <c r="R574" s="11" t="s">
        <v>596</v>
      </c>
      <c r="S574" s="11" t="s">
        <v>35</v>
      </c>
      <c r="T574" s="158">
        <v>0.89800000000000002</v>
      </c>
      <c r="U574" s="11" t="s">
        <v>2621</v>
      </c>
      <c r="V574" s="174">
        <v>3.7600000000000001E-2</v>
      </c>
      <c r="W574" s="189">
        <v>4.4880000000000003E-2</v>
      </c>
      <c r="X574" s="4" t="s">
        <v>602</v>
      </c>
      <c r="Y574" s="4" t="s">
        <v>312</v>
      </c>
      <c r="Z574" s="158">
        <v>2928615</v>
      </c>
      <c r="AA574" s="158">
        <v>1</v>
      </c>
      <c r="AB574" s="158">
        <v>99.71</v>
      </c>
      <c r="AD574" s="158">
        <v>2920.1219999999998</v>
      </c>
      <c r="AG574" s="11" t="s">
        <v>37</v>
      </c>
      <c r="AH574" s="189">
        <v>2.4290000000000002E-3</v>
      </c>
      <c r="AI574" s="189">
        <v>9.5282350324591494E-3</v>
      </c>
      <c r="AJ574" s="189">
        <v>1.58764987593223E-3</v>
      </c>
    </row>
    <row r="575" spans="1:36">
      <c r="A575" s="11" t="s">
        <v>256</v>
      </c>
      <c r="B575" s="11">
        <v>7205</v>
      </c>
      <c r="C575" s="11" t="s">
        <v>1903</v>
      </c>
      <c r="D575" s="11" t="s">
        <v>1904</v>
      </c>
      <c r="E575" s="4" t="s">
        <v>1552</v>
      </c>
      <c r="F575" s="11" t="s">
        <v>2622</v>
      </c>
      <c r="G575" s="11" t="s">
        <v>2623</v>
      </c>
      <c r="H575" s="11" t="s">
        <v>511</v>
      </c>
      <c r="I575" s="11" t="s">
        <v>945</v>
      </c>
      <c r="J575" s="11" t="s">
        <v>31</v>
      </c>
      <c r="K575" s="11" t="s">
        <v>31</v>
      </c>
      <c r="L575" s="11" t="s">
        <v>517</v>
      </c>
      <c r="M575" s="11" t="s">
        <v>32</v>
      </c>
      <c r="N575" s="11" t="s">
        <v>636</v>
      </c>
      <c r="O575" s="11" t="s">
        <v>312</v>
      </c>
      <c r="P575" s="11" t="s">
        <v>157</v>
      </c>
      <c r="Q575" s="11" t="s">
        <v>604</v>
      </c>
      <c r="R575" s="11" t="s">
        <v>596</v>
      </c>
      <c r="S575" s="11" t="s">
        <v>35</v>
      </c>
      <c r="T575" s="158">
        <v>3.806</v>
      </c>
      <c r="U575" s="11" t="s">
        <v>2624</v>
      </c>
      <c r="V575" s="174">
        <v>1E-3</v>
      </c>
      <c r="W575" s="189">
        <v>2.4920000000000001E-2</v>
      </c>
      <c r="X575" s="4" t="s">
        <v>602</v>
      </c>
      <c r="Y575" s="4" t="s">
        <v>312</v>
      </c>
      <c r="Z575" s="158">
        <v>3124502.22</v>
      </c>
      <c r="AA575" s="158">
        <v>1</v>
      </c>
      <c r="AB575" s="158">
        <v>100.97</v>
      </c>
      <c r="AD575" s="158">
        <v>3154.81</v>
      </c>
      <c r="AG575" s="11" t="s">
        <v>37</v>
      </c>
      <c r="AH575" s="189">
        <v>2.7780000000000001E-3</v>
      </c>
      <c r="AI575" s="189">
        <v>1.02940116746532E-2</v>
      </c>
      <c r="AJ575" s="189">
        <v>1.7152480288775999E-3</v>
      </c>
    </row>
    <row r="576" spans="1:36">
      <c r="A576" s="11" t="s">
        <v>256</v>
      </c>
      <c r="B576" s="11">
        <v>7205</v>
      </c>
      <c r="C576" s="11" t="s">
        <v>1903</v>
      </c>
      <c r="D576" s="11" t="s">
        <v>1904</v>
      </c>
      <c r="E576" s="4" t="s">
        <v>1552</v>
      </c>
      <c r="F576" s="11" t="s">
        <v>2625</v>
      </c>
      <c r="G576" s="11" t="s">
        <v>2626</v>
      </c>
      <c r="H576" s="11" t="s">
        <v>511</v>
      </c>
      <c r="I576" s="11" t="s">
        <v>945</v>
      </c>
      <c r="J576" s="11" t="s">
        <v>31</v>
      </c>
      <c r="K576" s="11" t="s">
        <v>31</v>
      </c>
      <c r="L576" s="11" t="s">
        <v>517</v>
      </c>
      <c r="M576" s="11" t="s">
        <v>32</v>
      </c>
      <c r="N576" s="11" t="s">
        <v>636</v>
      </c>
      <c r="O576" s="11" t="s">
        <v>312</v>
      </c>
      <c r="P576" s="11" t="s">
        <v>157</v>
      </c>
      <c r="Q576" s="11" t="s">
        <v>604</v>
      </c>
      <c r="R576" s="11" t="s">
        <v>596</v>
      </c>
      <c r="S576" s="11" t="s">
        <v>35</v>
      </c>
      <c r="T576" s="158">
        <v>4.1619999999999999</v>
      </c>
      <c r="U576" s="11" t="s">
        <v>2627</v>
      </c>
      <c r="V576" s="174">
        <v>1.3899999999999999E-2</v>
      </c>
      <c r="W576" s="189">
        <v>2.504E-2</v>
      </c>
      <c r="X576" s="4" t="s">
        <v>602</v>
      </c>
      <c r="Y576" s="4" t="s">
        <v>312</v>
      </c>
      <c r="Z576" s="158">
        <v>3410100</v>
      </c>
      <c r="AA576" s="158">
        <v>1</v>
      </c>
      <c r="AB576" s="158">
        <v>101.46</v>
      </c>
      <c r="AD576" s="158">
        <v>3459.8870000000002</v>
      </c>
      <c r="AG576" s="11" t="s">
        <v>37</v>
      </c>
      <c r="AH576" s="189">
        <v>1.8940000000000001E-3</v>
      </c>
      <c r="AI576" s="189">
        <v>1.12894669190061E-2</v>
      </c>
      <c r="AJ576" s="189">
        <v>1.88111656484559E-3</v>
      </c>
    </row>
    <row r="577" spans="1:36">
      <c r="A577" s="11" t="s">
        <v>256</v>
      </c>
      <c r="B577" s="11">
        <v>7205</v>
      </c>
      <c r="C577" s="11" t="s">
        <v>1903</v>
      </c>
      <c r="D577" s="11" t="s">
        <v>1904</v>
      </c>
      <c r="E577" s="4" t="s">
        <v>1552</v>
      </c>
      <c r="F577" s="11" t="s">
        <v>2628</v>
      </c>
      <c r="G577" s="11" t="s">
        <v>2629</v>
      </c>
      <c r="H577" s="11" t="s">
        <v>511</v>
      </c>
      <c r="I577" s="11" t="s">
        <v>945</v>
      </c>
      <c r="J577" s="11" t="s">
        <v>31</v>
      </c>
      <c r="K577" s="11" t="s">
        <v>31</v>
      </c>
      <c r="L577" s="11" t="s">
        <v>517</v>
      </c>
      <c r="M577" s="11" t="s">
        <v>32</v>
      </c>
      <c r="N577" s="11" t="s">
        <v>636</v>
      </c>
      <c r="O577" s="11" t="s">
        <v>312</v>
      </c>
      <c r="P577" s="11" t="s">
        <v>157</v>
      </c>
      <c r="Q577" s="11" t="s">
        <v>604</v>
      </c>
      <c r="R577" s="11" t="s">
        <v>596</v>
      </c>
      <c r="S577" s="11" t="s">
        <v>35</v>
      </c>
      <c r="T577" s="158">
        <v>2.2930000000000001</v>
      </c>
      <c r="U577" s="11" t="s">
        <v>2630</v>
      </c>
      <c r="V577" s="174">
        <v>6.0000000000000001E-3</v>
      </c>
      <c r="W577" s="189">
        <v>2.052E-2</v>
      </c>
      <c r="X577" s="4" t="s">
        <v>602</v>
      </c>
      <c r="Y577" s="4" t="s">
        <v>312</v>
      </c>
      <c r="Z577" s="158">
        <v>3299112.6</v>
      </c>
      <c r="AA577" s="158">
        <v>1</v>
      </c>
      <c r="AB577" s="158">
        <v>110.68</v>
      </c>
      <c r="AD577" s="158">
        <v>3651.4580000000001</v>
      </c>
      <c r="AG577" s="11" t="s">
        <v>37</v>
      </c>
      <c r="AH577" s="189">
        <v>3.7079999999999999E-3</v>
      </c>
      <c r="AI577" s="189">
        <v>1.1914552945938999E-2</v>
      </c>
      <c r="AJ577" s="189">
        <v>1.9852720301260099E-3</v>
      </c>
    </row>
    <row r="578" spans="1:36">
      <c r="A578" s="11" t="s">
        <v>256</v>
      </c>
      <c r="B578" s="11">
        <v>7205</v>
      </c>
      <c r="C578" s="11" t="s">
        <v>1903</v>
      </c>
      <c r="D578" s="11" t="s">
        <v>1904</v>
      </c>
      <c r="E578" s="4" t="s">
        <v>1552</v>
      </c>
      <c r="F578" s="11" t="s">
        <v>2631</v>
      </c>
      <c r="G578" s="11" t="s">
        <v>2632</v>
      </c>
      <c r="H578" s="11" t="s">
        <v>511</v>
      </c>
      <c r="I578" s="11" t="s">
        <v>945</v>
      </c>
      <c r="J578" s="11" t="s">
        <v>31</v>
      </c>
      <c r="K578" s="11" t="s">
        <v>31</v>
      </c>
      <c r="L578" s="11" t="s">
        <v>517</v>
      </c>
      <c r="M578" s="11" t="s">
        <v>32</v>
      </c>
      <c r="N578" s="11" t="s">
        <v>636</v>
      </c>
      <c r="O578" s="11" t="s">
        <v>312</v>
      </c>
      <c r="P578" s="11" t="s">
        <v>157</v>
      </c>
      <c r="Q578" s="11" t="s">
        <v>604</v>
      </c>
      <c r="R578" s="11" t="s">
        <v>596</v>
      </c>
      <c r="S578" s="11" t="s">
        <v>35</v>
      </c>
      <c r="T578" s="158">
        <v>3.262</v>
      </c>
      <c r="U578" s="11" t="s">
        <v>2633</v>
      </c>
      <c r="V578" s="174">
        <v>1.7500000000000002E-2</v>
      </c>
      <c r="W578" s="189">
        <v>2.4060000000000002E-2</v>
      </c>
      <c r="X578" s="4" t="s">
        <v>602</v>
      </c>
      <c r="Y578" s="4" t="s">
        <v>312</v>
      </c>
      <c r="Z578" s="158">
        <v>7329669.6799999997</v>
      </c>
      <c r="AA578" s="158">
        <v>1</v>
      </c>
      <c r="AB578" s="158">
        <v>111.51</v>
      </c>
      <c r="AD578" s="158">
        <v>8173.3149999999996</v>
      </c>
      <c r="AG578" s="11" t="s">
        <v>37</v>
      </c>
      <c r="AH578" s="189">
        <v>2.8189999999999999E-3</v>
      </c>
      <c r="AI578" s="189">
        <v>2.66691811630758E-2</v>
      </c>
      <c r="AJ578" s="189">
        <v>4.4437739015179799E-3</v>
      </c>
    </row>
    <row r="579" spans="1:36">
      <c r="A579" s="11" t="s">
        <v>256</v>
      </c>
      <c r="B579" s="11">
        <v>7205</v>
      </c>
      <c r="C579" s="11" t="s">
        <v>1907</v>
      </c>
      <c r="D579" s="11" t="s">
        <v>1908</v>
      </c>
      <c r="E579" s="4" t="s">
        <v>1552</v>
      </c>
      <c r="F579" s="11" t="s">
        <v>2634</v>
      </c>
      <c r="G579" s="11" t="s">
        <v>2635</v>
      </c>
      <c r="H579" s="11" t="s">
        <v>511</v>
      </c>
      <c r="I579" s="11" t="s">
        <v>1154</v>
      </c>
      <c r="J579" s="11" t="s">
        <v>31</v>
      </c>
      <c r="K579" s="11" t="s">
        <v>31</v>
      </c>
      <c r="L579" s="11" t="s">
        <v>517</v>
      </c>
      <c r="M579" s="11" t="s">
        <v>32</v>
      </c>
      <c r="N579" s="11" t="s">
        <v>665</v>
      </c>
      <c r="O579" s="11" t="s">
        <v>312</v>
      </c>
      <c r="P579" s="11" t="s">
        <v>2418</v>
      </c>
      <c r="Q579" s="11" t="s">
        <v>604</v>
      </c>
      <c r="R579" s="11" t="s">
        <v>596</v>
      </c>
      <c r="S579" s="11" t="s">
        <v>35</v>
      </c>
      <c r="T579" s="158">
        <v>1.5780000000000001</v>
      </c>
      <c r="U579" s="11" t="s">
        <v>2636</v>
      </c>
      <c r="V579" s="174">
        <v>2.29E-2</v>
      </c>
      <c r="W579" s="189">
        <v>4.9180000000000001E-2</v>
      </c>
      <c r="X579" s="4" t="s">
        <v>602</v>
      </c>
      <c r="Y579" s="4" t="s">
        <v>312</v>
      </c>
      <c r="Z579" s="158">
        <v>1434114.12</v>
      </c>
      <c r="AA579" s="158">
        <v>1</v>
      </c>
      <c r="AB579" s="158">
        <v>96.26</v>
      </c>
      <c r="AD579" s="158">
        <v>1380.4780000000001</v>
      </c>
      <c r="AG579" s="11" t="s">
        <v>37</v>
      </c>
      <c r="AH579" s="189">
        <v>3.4789999999999999E-3</v>
      </c>
      <c r="AI579" s="189">
        <v>4.5044423373724104E-3</v>
      </c>
      <c r="AJ579" s="189">
        <v>7.5055635106719603E-4</v>
      </c>
    </row>
    <row r="580" spans="1:36">
      <c r="A580" s="11" t="s">
        <v>256</v>
      </c>
      <c r="B580" s="11">
        <v>7205</v>
      </c>
      <c r="C580" s="11" t="s">
        <v>1907</v>
      </c>
      <c r="D580" s="11" t="s">
        <v>1908</v>
      </c>
      <c r="E580" s="4" t="s">
        <v>1552</v>
      </c>
      <c r="F580" s="11" t="s">
        <v>2637</v>
      </c>
      <c r="G580" s="11" t="s">
        <v>2638</v>
      </c>
      <c r="H580" s="11" t="s">
        <v>511</v>
      </c>
      <c r="I580" s="11" t="s">
        <v>1154</v>
      </c>
      <c r="J580" s="11" t="s">
        <v>31</v>
      </c>
      <c r="K580" s="11" t="s">
        <v>31</v>
      </c>
      <c r="L580" s="11" t="s">
        <v>517</v>
      </c>
      <c r="M580" s="11" t="s">
        <v>32</v>
      </c>
      <c r="N580" s="11" t="s">
        <v>665</v>
      </c>
      <c r="O580" s="11" t="s">
        <v>312</v>
      </c>
      <c r="P580" s="11" t="s">
        <v>2418</v>
      </c>
      <c r="Q580" s="11" t="s">
        <v>604</v>
      </c>
      <c r="R580" s="11" t="s">
        <v>596</v>
      </c>
      <c r="S580" s="11" t="s">
        <v>35</v>
      </c>
      <c r="T580" s="158">
        <v>0.03</v>
      </c>
      <c r="U580" s="11" t="s">
        <v>2639</v>
      </c>
      <c r="V580" s="174">
        <v>2.8000000000000001E-2</v>
      </c>
      <c r="W580" s="189">
        <v>0.24138999999999999</v>
      </c>
      <c r="X580" s="4" t="s">
        <v>602</v>
      </c>
      <c r="Y580" s="4" t="s">
        <v>312</v>
      </c>
      <c r="Z580" s="158">
        <v>96076.83</v>
      </c>
      <c r="AA580" s="158">
        <v>1</v>
      </c>
      <c r="AB580" s="158">
        <v>101.16</v>
      </c>
      <c r="AD580" s="158">
        <v>97.191000000000003</v>
      </c>
      <c r="AG580" s="11" t="s">
        <v>37</v>
      </c>
      <c r="AH580" s="189">
        <v>2.8080000000000002E-3</v>
      </c>
      <c r="AI580" s="189">
        <v>3.1713118374607501E-4</v>
      </c>
      <c r="AJ580" s="189">
        <v>5.2842240227437897E-5</v>
      </c>
    </row>
    <row r="581" spans="1:36">
      <c r="A581" s="11" t="s">
        <v>256</v>
      </c>
      <c r="B581" s="11">
        <v>7205</v>
      </c>
      <c r="C581" s="11" t="s">
        <v>2887</v>
      </c>
      <c r="D581" s="11" t="s">
        <v>2888</v>
      </c>
      <c r="E581" s="4" t="s">
        <v>1552</v>
      </c>
      <c r="F581" s="11" t="s">
        <v>2889</v>
      </c>
      <c r="G581" s="11" t="s">
        <v>2890</v>
      </c>
      <c r="H581" s="11" t="s">
        <v>511</v>
      </c>
      <c r="I581" s="11" t="s">
        <v>1154</v>
      </c>
      <c r="J581" s="11" t="s">
        <v>31</v>
      </c>
      <c r="K581" s="11" t="s">
        <v>31</v>
      </c>
      <c r="L581" s="11" t="s">
        <v>517</v>
      </c>
      <c r="M581" s="11" t="s">
        <v>32</v>
      </c>
      <c r="N581" s="11" t="s">
        <v>628</v>
      </c>
      <c r="O581" s="11" t="s">
        <v>312</v>
      </c>
      <c r="P581" s="11" t="s">
        <v>2165</v>
      </c>
      <c r="Q581" s="27" t="s">
        <v>2165</v>
      </c>
      <c r="R581" s="16" t="s">
        <v>2165</v>
      </c>
      <c r="S581" s="11" t="s">
        <v>35</v>
      </c>
      <c r="T581" s="158">
        <v>2.827</v>
      </c>
      <c r="U581" s="11" t="s">
        <v>2891</v>
      </c>
      <c r="V581" s="174">
        <v>7.4999999999999997E-2</v>
      </c>
      <c r="W581" s="189">
        <v>6.3880000000000006E-2</v>
      </c>
      <c r="X581" s="4" t="s">
        <v>602</v>
      </c>
      <c r="Y581" s="4" t="s">
        <v>312</v>
      </c>
      <c r="Z581" s="158">
        <v>401705.49</v>
      </c>
      <c r="AA581" s="158">
        <v>1</v>
      </c>
      <c r="AB581" s="158">
        <v>112.76</v>
      </c>
      <c r="AD581" s="158">
        <v>452.96300000000002</v>
      </c>
      <c r="AG581" s="11" t="s">
        <v>37</v>
      </c>
      <c r="AH581" s="189">
        <v>2.4099999999999998E-3</v>
      </c>
      <c r="AI581" s="189">
        <v>1.47799953348506E-3</v>
      </c>
      <c r="AJ581" s="189">
        <v>2.4627286879171502E-4</v>
      </c>
    </row>
    <row r="582" spans="1:36">
      <c r="A582" s="11" t="s">
        <v>256</v>
      </c>
      <c r="B582" s="11">
        <v>7205</v>
      </c>
      <c r="C582" s="11" t="s">
        <v>2892</v>
      </c>
      <c r="D582" s="11" t="s">
        <v>2893</v>
      </c>
      <c r="E582" s="4" t="s">
        <v>504</v>
      </c>
      <c r="F582" s="11" t="s">
        <v>2894</v>
      </c>
      <c r="G582" s="11" t="s">
        <v>2895</v>
      </c>
      <c r="H582" s="11" t="s">
        <v>511</v>
      </c>
      <c r="I582" s="11" t="s">
        <v>945</v>
      </c>
      <c r="J582" s="11" t="s">
        <v>31</v>
      </c>
      <c r="K582" s="11" t="s">
        <v>31</v>
      </c>
      <c r="L582" s="11" t="s">
        <v>517</v>
      </c>
      <c r="M582" s="11" t="s">
        <v>32</v>
      </c>
      <c r="N582" s="11" t="s">
        <v>635</v>
      </c>
      <c r="O582" s="11" t="s">
        <v>312</v>
      </c>
      <c r="P582" s="11" t="s">
        <v>2165</v>
      </c>
      <c r="Q582" s="27" t="s">
        <v>2165</v>
      </c>
      <c r="R582" s="16" t="s">
        <v>2165</v>
      </c>
      <c r="S582" s="11" t="s">
        <v>35</v>
      </c>
      <c r="T582" s="158">
        <v>0.53</v>
      </c>
      <c r="U582" s="11" t="s">
        <v>2896</v>
      </c>
      <c r="V582" s="174">
        <v>4.4999999999999998E-2</v>
      </c>
      <c r="W582" s="189">
        <v>1E-4</v>
      </c>
      <c r="X582" s="4" t="s">
        <v>602</v>
      </c>
      <c r="Y582" s="4" t="s">
        <v>530</v>
      </c>
      <c r="Z582" s="158">
        <v>1831442.1</v>
      </c>
      <c r="AA582" s="158">
        <v>1</v>
      </c>
      <c r="AB582" s="158">
        <v>12.55</v>
      </c>
      <c r="AD582" s="158">
        <v>229.846</v>
      </c>
      <c r="AG582" s="11" t="s">
        <v>37</v>
      </c>
      <c r="AH582" s="189">
        <v>1.5553000000000001E-2</v>
      </c>
      <c r="AI582" s="189">
        <v>7.4997775440769504E-4</v>
      </c>
      <c r="AJ582" s="189">
        <v>1.24965650477872E-4</v>
      </c>
    </row>
    <row r="583" spans="1:36">
      <c r="A583" s="11" t="s">
        <v>256</v>
      </c>
      <c r="B583" s="11">
        <v>7205</v>
      </c>
      <c r="C583" s="11" t="s">
        <v>2892</v>
      </c>
      <c r="D583" s="11" t="s">
        <v>2893</v>
      </c>
      <c r="E583" s="4" t="s">
        <v>504</v>
      </c>
      <c r="F583" s="11" t="s">
        <v>2897</v>
      </c>
      <c r="G583" s="11" t="s">
        <v>2898</v>
      </c>
      <c r="H583" s="11" t="s">
        <v>511</v>
      </c>
      <c r="I583" s="11" t="s">
        <v>945</v>
      </c>
      <c r="J583" s="11" t="s">
        <v>31</v>
      </c>
      <c r="K583" s="11" t="s">
        <v>31</v>
      </c>
      <c r="L583" s="11" t="s">
        <v>517</v>
      </c>
      <c r="M583" s="11" t="s">
        <v>32</v>
      </c>
      <c r="N583" s="11" t="s">
        <v>635</v>
      </c>
      <c r="O583" s="11" t="s">
        <v>312</v>
      </c>
      <c r="P583" s="11" t="s">
        <v>2165</v>
      </c>
      <c r="Q583" s="27" t="s">
        <v>2165</v>
      </c>
      <c r="R583" s="16" t="s">
        <v>2165</v>
      </c>
      <c r="S583" s="11" t="s">
        <v>35</v>
      </c>
      <c r="T583" s="158">
        <v>2.3140000000000001</v>
      </c>
      <c r="U583" s="11" t="s">
        <v>2896</v>
      </c>
      <c r="V583" s="174">
        <v>5.3999999999999999E-2</v>
      </c>
      <c r="W583" s="189">
        <v>1E-4</v>
      </c>
      <c r="X583" s="4" t="s">
        <v>602</v>
      </c>
      <c r="Y583" s="4" t="s">
        <v>530</v>
      </c>
      <c r="Z583" s="158">
        <v>2116380</v>
      </c>
      <c r="AA583" s="158">
        <v>1</v>
      </c>
      <c r="AB583" s="158">
        <v>12.89</v>
      </c>
      <c r="AD583" s="158">
        <v>272.80099999999999</v>
      </c>
      <c r="AG583" s="11" t="s">
        <v>37</v>
      </c>
      <c r="AH583" s="189">
        <v>1.2251E-2</v>
      </c>
      <c r="AI583" s="189">
        <v>8.90139408623465E-4</v>
      </c>
      <c r="AJ583" s="189">
        <v>1.4832019958041401E-4</v>
      </c>
    </row>
    <row r="584" spans="1:36">
      <c r="A584" s="11" t="s">
        <v>256</v>
      </c>
      <c r="B584" s="11">
        <v>7205</v>
      </c>
      <c r="C584" s="11" t="s">
        <v>1943</v>
      </c>
      <c r="D584" s="11" t="s">
        <v>1944</v>
      </c>
      <c r="E584" s="4" t="s">
        <v>1552</v>
      </c>
      <c r="F584" s="11" t="s">
        <v>2899</v>
      </c>
      <c r="G584" s="11" t="s">
        <v>2900</v>
      </c>
      <c r="H584" s="11" t="s">
        <v>511</v>
      </c>
      <c r="I584" s="11" t="s">
        <v>1154</v>
      </c>
      <c r="J584" s="11" t="s">
        <v>31</v>
      </c>
      <c r="K584" s="11" t="s">
        <v>489</v>
      </c>
      <c r="L584" s="11" t="s">
        <v>517</v>
      </c>
      <c r="M584" s="11" t="s">
        <v>32</v>
      </c>
      <c r="N584" s="11" t="s">
        <v>646</v>
      </c>
      <c r="O584" s="11" t="s">
        <v>312</v>
      </c>
      <c r="P584" s="11" t="s">
        <v>2165</v>
      </c>
      <c r="Q584" s="27" t="s">
        <v>2165</v>
      </c>
      <c r="R584" s="16" t="s">
        <v>2165</v>
      </c>
      <c r="S584" s="11" t="s">
        <v>35</v>
      </c>
      <c r="T584" s="158">
        <v>1.4830000000000001</v>
      </c>
      <c r="U584" s="11" t="s">
        <v>2317</v>
      </c>
      <c r="V584" s="174">
        <v>1.9900000000000001E-2</v>
      </c>
      <c r="W584" s="189">
        <v>5.4030000000000002E-2</v>
      </c>
      <c r="X584" s="4" t="s">
        <v>602</v>
      </c>
      <c r="Y584" s="4" t="s">
        <v>312</v>
      </c>
      <c r="Z584" s="158">
        <v>48929</v>
      </c>
      <c r="AA584" s="158">
        <v>1</v>
      </c>
      <c r="AB584" s="158">
        <v>95.25</v>
      </c>
      <c r="AD584" s="158">
        <v>46.604999999999997</v>
      </c>
      <c r="AG584" s="11" t="s">
        <v>37</v>
      </c>
      <c r="AH584" s="189">
        <v>3.2600000000000001E-4</v>
      </c>
      <c r="AI584" s="189">
        <v>1.5206973418529799E-4</v>
      </c>
      <c r="AJ584" s="189">
        <v>2.5338742567732801E-5</v>
      </c>
    </row>
    <row r="585" spans="1:36">
      <c r="A585" s="11" t="s">
        <v>256</v>
      </c>
      <c r="B585" s="11">
        <v>7205</v>
      </c>
      <c r="C585" s="11" t="s">
        <v>2901</v>
      </c>
      <c r="D585" s="11" t="s">
        <v>2902</v>
      </c>
      <c r="E585" s="4" t="s">
        <v>1552</v>
      </c>
      <c r="F585" s="11" t="s">
        <v>2903</v>
      </c>
      <c r="G585" s="11" t="s">
        <v>2904</v>
      </c>
      <c r="H585" s="11" t="s">
        <v>511</v>
      </c>
      <c r="I585" s="11" t="s">
        <v>945</v>
      </c>
      <c r="J585" s="11" t="s">
        <v>31</v>
      </c>
      <c r="K585" s="11" t="s">
        <v>31</v>
      </c>
      <c r="L585" s="11" t="s">
        <v>517</v>
      </c>
      <c r="M585" s="11" t="s">
        <v>32</v>
      </c>
      <c r="N585" s="11" t="s">
        <v>629</v>
      </c>
      <c r="O585" s="11" t="s">
        <v>312</v>
      </c>
      <c r="P585" s="11" t="s">
        <v>2165</v>
      </c>
      <c r="Q585" s="27" t="s">
        <v>2165</v>
      </c>
      <c r="R585" s="16" t="s">
        <v>2165</v>
      </c>
      <c r="S585" s="11" t="s">
        <v>35</v>
      </c>
      <c r="T585" s="158">
        <v>2.4780000000000002</v>
      </c>
      <c r="U585" s="11" t="s">
        <v>2166</v>
      </c>
      <c r="V585" s="174">
        <v>0.04</v>
      </c>
      <c r="W585" s="189">
        <v>7.7929999999999999E-2</v>
      </c>
      <c r="X585" s="4" t="s">
        <v>602</v>
      </c>
      <c r="Y585" s="4" t="s">
        <v>312</v>
      </c>
      <c r="Z585" s="158">
        <v>629100</v>
      </c>
      <c r="AA585" s="158">
        <v>1</v>
      </c>
      <c r="AB585" s="158">
        <v>101.18</v>
      </c>
      <c r="AD585" s="158">
        <v>636.52300000000002</v>
      </c>
      <c r="AG585" s="11" t="s">
        <v>37</v>
      </c>
      <c r="AH585" s="189">
        <v>1.1821999999999999E-2</v>
      </c>
      <c r="AI585" s="189">
        <v>2.07694895419631E-3</v>
      </c>
      <c r="AJ585" s="189">
        <v>3.4607330090138401E-4</v>
      </c>
    </row>
    <row r="586" spans="1:36">
      <c r="A586" s="11" t="s">
        <v>256</v>
      </c>
      <c r="B586" s="11">
        <v>7205</v>
      </c>
      <c r="C586" s="11" t="s">
        <v>1947</v>
      </c>
      <c r="D586" s="11" t="s">
        <v>1948</v>
      </c>
      <c r="E586" s="4" t="s">
        <v>1552</v>
      </c>
      <c r="F586" s="11" t="s">
        <v>2640</v>
      </c>
      <c r="G586" s="11" t="s">
        <v>2641</v>
      </c>
      <c r="H586" s="11" t="s">
        <v>511</v>
      </c>
      <c r="I586" s="11" t="s">
        <v>1154</v>
      </c>
      <c r="J586" s="11" t="s">
        <v>31</v>
      </c>
      <c r="K586" s="11" t="s">
        <v>31</v>
      </c>
      <c r="L586" s="11" t="s">
        <v>517</v>
      </c>
      <c r="M586" s="11" t="s">
        <v>32</v>
      </c>
      <c r="N586" s="11" t="s">
        <v>635</v>
      </c>
      <c r="O586" s="11" t="s">
        <v>312</v>
      </c>
      <c r="P586" s="11" t="s">
        <v>174</v>
      </c>
      <c r="Q586" s="11" t="s">
        <v>604</v>
      </c>
      <c r="R586" s="11" t="s">
        <v>596</v>
      </c>
      <c r="S586" s="11" t="s">
        <v>35</v>
      </c>
      <c r="T586" s="158">
        <v>4.0069999999999997</v>
      </c>
      <c r="U586" s="11" t="s">
        <v>219</v>
      </c>
      <c r="V586" s="174">
        <v>5.8900000000000001E-2</v>
      </c>
      <c r="W586" s="189">
        <v>6.2829999999999997E-2</v>
      </c>
      <c r="X586" s="4" t="s">
        <v>602</v>
      </c>
      <c r="Y586" s="4" t="s">
        <v>312</v>
      </c>
      <c r="Z586" s="158">
        <v>586000</v>
      </c>
      <c r="AA586" s="158">
        <v>1</v>
      </c>
      <c r="AB586" s="158">
        <v>98.86</v>
      </c>
      <c r="AD586" s="158">
        <v>579.32000000000005</v>
      </c>
      <c r="AG586" s="11" t="s">
        <v>37</v>
      </c>
      <c r="AH586" s="189">
        <v>2.9169999999999999E-3</v>
      </c>
      <c r="AI586" s="189">
        <v>1.89029543167044E-3</v>
      </c>
      <c r="AJ586" s="189">
        <v>3.1497200660385701E-4</v>
      </c>
    </row>
    <row r="587" spans="1:36">
      <c r="A587" s="11" t="s">
        <v>256</v>
      </c>
      <c r="B587" s="11">
        <v>7205</v>
      </c>
      <c r="C587" s="11" t="s">
        <v>2642</v>
      </c>
      <c r="D587" s="11" t="s">
        <v>2643</v>
      </c>
      <c r="E587" s="4" t="s">
        <v>1552</v>
      </c>
      <c r="F587" s="11" t="s">
        <v>2644</v>
      </c>
      <c r="G587" s="11" t="s">
        <v>2645</v>
      </c>
      <c r="H587" s="11" t="s">
        <v>511</v>
      </c>
      <c r="I587" s="11" t="s">
        <v>1154</v>
      </c>
      <c r="J587" s="11" t="s">
        <v>31</v>
      </c>
      <c r="K587" s="11" t="s">
        <v>31</v>
      </c>
      <c r="L587" s="11" t="s">
        <v>517</v>
      </c>
      <c r="M587" s="11" t="s">
        <v>32</v>
      </c>
      <c r="N587" s="11" t="s">
        <v>653</v>
      </c>
      <c r="O587" s="11" t="s">
        <v>312</v>
      </c>
      <c r="P587" s="11" t="s">
        <v>174</v>
      </c>
      <c r="Q587" s="11" t="s">
        <v>604</v>
      </c>
      <c r="R587" s="11" t="s">
        <v>596</v>
      </c>
      <c r="S587" s="11" t="s">
        <v>35</v>
      </c>
      <c r="T587" s="158">
        <v>1.629</v>
      </c>
      <c r="U587" s="11" t="s">
        <v>2198</v>
      </c>
      <c r="V587" s="174">
        <v>4.99E-2</v>
      </c>
      <c r="W587" s="189">
        <v>5.1920000000000001E-2</v>
      </c>
      <c r="X587" s="4" t="s">
        <v>602</v>
      </c>
      <c r="Y587" s="4" t="s">
        <v>312</v>
      </c>
      <c r="Z587" s="158">
        <v>308680.59000000003</v>
      </c>
      <c r="AA587" s="158">
        <v>1</v>
      </c>
      <c r="AB587" s="158">
        <v>101.04</v>
      </c>
      <c r="AD587" s="158">
        <v>311.89100000000002</v>
      </c>
      <c r="AG587" s="11" t="s">
        <v>37</v>
      </c>
      <c r="AH587" s="189">
        <v>9.7999999999999997E-4</v>
      </c>
      <c r="AI587" s="189">
        <v>1.01768675393895E-3</v>
      </c>
      <c r="AJ587" s="189">
        <v>1.6957287925044301E-4</v>
      </c>
    </row>
    <row r="588" spans="1:36">
      <c r="A588" s="11" t="s">
        <v>256</v>
      </c>
      <c r="B588" s="11">
        <v>7205</v>
      </c>
      <c r="C588" s="11" t="s">
        <v>2646</v>
      </c>
      <c r="D588" s="11" t="s">
        <v>2647</v>
      </c>
      <c r="E588" s="4" t="s">
        <v>1552</v>
      </c>
      <c r="F588" s="11" t="s">
        <v>2648</v>
      </c>
      <c r="G588" s="11" t="s">
        <v>2649</v>
      </c>
      <c r="H588" s="11" t="s">
        <v>511</v>
      </c>
      <c r="I588" s="11" t="s">
        <v>1154</v>
      </c>
      <c r="J588" s="11" t="s">
        <v>31</v>
      </c>
      <c r="K588" s="11" t="s">
        <v>31</v>
      </c>
      <c r="L588" s="11" t="s">
        <v>517</v>
      </c>
      <c r="M588" s="11" t="s">
        <v>32</v>
      </c>
      <c r="N588" s="11" t="s">
        <v>649</v>
      </c>
      <c r="O588" s="11" t="s">
        <v>312</v>
      </c>
      <c r="P588" s="11" t="s">
        <v>174</v>
      </c>
      <c r="Q588" s="11" t="s">
        <v>604</v>
      </c>
      <c r="R588" s="11" t="s">
        <v>596</v>
      </c>
      <c r="S588" s="11" t="s">
        <v>35</v>
      </c>
      <c r="T588" s="158">
        <v>1.456</v>
      </c>
      <c r="U588" s="11" t="s">
        <v>2333</v>
      </c>
      <c r="V588" s="174">
        <v>3.2500000000000001E-2</v>
      </c>
      <c r="W588" s="189">
        <v>5.3999999999999999E-2</v>
      </c>
      <c r="X588" s="4" t="s">
        <v>602</v>
      </c>
      <c r="Y588" s="4" t="s">
        <v>312</v>
      </c>
      <c r="Z588" s="158">
        <v>396991.07</v>
      </c>
      <c r="AA588" s="158">
        <v>1</v>
      </c>
      <c r="AB588" s="158">
        <v>97.08</v>
      </c>
      <c r="AD588" s="158">
        <v>385.399</v>
      </c>
      <c r="AG588" s="11" t="s">
        <v>37</v>
      </c>
      <c r="AH588" s="189">
        <v>1.253E-3</v>
      </c>
      <c r="AI588" s="189">
        <v>1.2575404632930399E-3</v>
      </c>
      <c r="AJ588" s="189">
        <v>2.0953869774680201E-4</v>
      </c>
    </row>
    <row r="589" spans="1:36">
      <c r="A589" s="11" t="s">
        <v>256</v>
      </c>
      <c r="B589" s="11">
        <v>7205</v>
      </c>
      <c r="C589" s="11" t="s">
        <v>2837</v>
      </c>
      <c r="D589" s="11" t="s">
        <v>2838</v>
      </c>
      <c r="E589" s="4" t="s">
        <v>1552</v>
      </c>
      <c r="F589" s="11" t="s">
        <v>2905</v>
      </c>
      <c r="G589" s="11" t="s">
        <v>2906</v>
      </c>
      <c r="H589" s="11" t="s">
        <v>511</v>
      </c>
      <c r="I589" s="11" t="s">
        <v>945</v>
      </c>
      <c r="J589" s="11" t="s">
        <v>31</v>
      </c>
      <c r="K589" s="11" t="s">
        <v>31</v>
      </c>
      <c r="L589" s="11" t="s">
        <v>517</v>
      </c>
      <c r="M589" s="11" t="s">
        <v>32</v>
      </c>
      <c r="N589" s="11" t="s">
        <v>635</v>
      </c>
      <c r="O589" s="11" t="s">
        <v>312</v>
      </c>
      <c r="P589" s="11" t="s">
        <v>2165</v>
      </c>
      <c r="Q589" s="27" t="s">
        <v>2165</v>
      </c>
      <c r="R589" s="16" t="s">
        <v>2165</v>
      </c>
      <c r="S589" s="11" t="s">
        <v>35</v>
      </c>
      <c r="T589" s="158">
        <v>3.4409999999999998</v>
      </c>
      <c r="U589" s="11" t="s">
        <v>2665</v>
      </c>
      <c r="V589" s="174">
        <v>3.7900000000000003E-2</v>
      </c>
      <c r="W589" s="189">
        <v>3.0700000000000002E-2</v>
      </c>
      <c r="X589" s="4" t="s">
        <v>602</v>
      </c>
      <c r="Y589" s="4" t="s">
        <v>312</v>
      </c>
      <c r="Z589" s="158">
        <v>766650</v>
      </c>
      <c r="AA589" s="158">
        <v>1</v>
      </c>
      <c r="AB589" s="158">
        <v>109.7</v>
      </c>
      <c r="AD589" s="158">
        <v>841.01499999999999</v>
      </c>
      <c r="AG589" s="11" t="s">
        <v>37</v>
      </c>
      <c r="AH589" s="189">
        <v>5.96E-3</v>
      </c>
      <c r="AI589" s="189">
        <v>2.7441966523851198E-3</v>
      </c>
      <c r="AJ589" s="189">
        <v>4.5725398878709302E-4</v>
      </c>
    </row>
    <row r="590" spans="1:36">
      <c r="A590" s="11" t="s">
        <v>256</v>
      </c>
      <c r="B590" s="11">
        <v>7205</v>
      </c>
      <c r="C590" s="11" t="s">
        <v>2650</v>
      </c>
      <c r="D590" s="11" t="s">
        <v>2651</v>
      </c>
      <c r="E590" s="4" t="s">
        <v>1552</v>
      </c>
      <c r="F590" s="11" t="s">
        <v>2652</v>
      </c>
      <c r="G590" s="11" t="s">
        <v>2653</v>
      </c>
      <c r="H590" s="11" t="s">
        <v>511</v>
      </c>
      <c r="I590" s="11" t="s">
        <v>1154</v>
      </c>
      <c r="J590" s="11" t="s">
        <v>31</v>
      </c>
      <c r="K590" s="18" t="s">
        <v>31</v>
      </c>
      <c r="L590" s="11" t="s">
        <v>517</v>
      </c>
      <c r="M590" s="11" t="s">
        <v>342</v>
      </c>
      <c r="N590" s="11" t="s">
        <v>635</v>
      </c>
      <c r="O590" s="11" t="s">
        <v>312</v>
      </c>
      <c r="P590" s="11" t="s">
        <v>2221</v>
      </c>
      <c r="Q590" s="11" t="s">
        <v>604</v>
      </c>
      <c r="R590" s="11" t="s">
        <v>596</v>
      </c>
      <c r="S590" s="11" t="s">
        <v>35</v>
      </c>
      <c r="T590" s="158">
        <v>0.98399999999999999</v>
      </c>
      <c r="U590" s="11" t="s">
        <v>2188</v>
      </c>
      <c r="V590" s="174">
        <v>4.3999999999999997E-2</v>
      </c>
      <c r="W590" s="189">
        <v>6.0580000000000002E-2</v>
      </c>
      <c r="X590" s="4" t="s">
        <v>602</v>
      </c>
      <c r="Y590" s="4" t="s">
        <v>312</v>
      </c>
      <c r="Z590" s="158">
        <v>86337.5</v>
      </c>
      <c r="AA590" s="158">
        <v>1</v>
      </c>
      <c r="AB590" s="158">
        <v>98.53</v>
      </c>
      <c r="AD590" s="158">
        <v>85.067999999999998</v>
      </c>
      <c r="AG590" s="11" t="s">
        <v>37</v>
      </c>
      <c r="AH590" s="189">
        <v>6.5399999999999996E-4</v>
      </c>
      <c r="AI590" s="189">
        <v>2.7757440300469499E-4</v>
      </c>
      <c r="AJ590" s="189">
        <v>4.6251059612939302E-5</v>
      </c>
    </row>
    <row r="591" spans="1:36">
      <c r="A591" s="11" t="s">
        <v>256</v>
      </c>
      <c r="B591" s="11">
        <v>7205</v>
      </c>
      <c r="C591" s="11" t="s">
        <v>2654</v>
      </c>
      <c r="D591" s="11" t="s">
        <v>2655</v>
      </c>
      <c r="E591" s="4" t="s">
        <v>1552</v>
      </c>
      <c r="F591" s="11" t="s">
        <v>2656</v>
      </c>
      <c r="G591" s="11" t="s">
        <v>2657</v>
      </c>
      <c r="H591" s="11" t="s">
        <v>511</v>
      </c>
      <c r="I591" s="11" t="s">
        <v>1154</v>
      </c>
      <c r="J591" s="11" t="s">
        <v>31</v>
      </c>
      <c r="K591" s="11" t="s">
        <v>31</v>
      </c>
      <c r="L591" s="11" t="s">
        <v>517</v>
      </c>
      <c r="M591" s="11" t="s">
        <v>32</v>
      </c>
      <c r="N591" s="11" t="s">
        <v>635</v>
      </c>
      <c r="O591" s="11" t="s">
        <v>312</v>
      </c>
      <c r="P591" s="11" t="s">
        <v>2327</v>
      </c>
      <c r="Q591" s="11" t="s">
        <v>358</v>
      </c>
      <c r="R591" s="11" t="s">
        <v>596</v>
      </c>
      <c r="S591" s="11" t="s">
        <v>35</v>
      </c>
      <c r="T591" s="158">
        <v>0.98</v>
      </c>
      <c r="U591" s="11" t="s">
        <v>2317</v>
      </c>
      <c r="V591" s="174">
        <v>4.9500000000000002E-2</v>
      </c>
      <c r="W591" s="189">
        <v>5.5849999999999997E-2</v>
      </c>
      <c r="X591" s="4" t="s">
        <v>602</v>
      </c>
      <c r="Y591" s="4" t="s">
        <v>312</v>
      </c>
      <c r="Z591" s="158">
        <v>419100</v>
      </c>
      <c r="AA591" s="158">
        <v>1</v>
      </c>
      <c r="AB591" s="158">
        <v>99.24</v>
      </c>
      <c r="AD591" s="158">
        <v>415.91500000000002</v>
      </c>
      <c r="AG591" s="11" t="s">
        <v>37</v>
      </c>
      <c r="AH591" s="189">
        <v>4.7629999999999999E-3</v>
      </c>
      <c r="AI591" s="189">
        <v>1.35711258865735E-3</v>
      </c>
      <c r="AJ591" s="189">
        <v>2.26129983744935E-4</v>
      </c>
    </row>
    <row r="592" spans="1:36">
      <c r="A592" s="11" t="s">
        <v>256</v>
      </c>
      <c r="B592" s="11">
        <v>7205</v>
      </c>
      <c r="C592" s="11" t="s">
        <v>2907</v>
      </c>
      <c r="D592" s="11" t="s">
        <v>2908</v>
      </c>
      <c r="E592" s="4" t="s">
        <v>504</v>
      </c>
      <c r="F592" s="11" t="s">
        <v>2909</v>
      </c>
      <c r="G592" s="11" t="s">
        <v>2910</v>
      </c>
      <c r="H592" s="11" t="s">
        <v>511</v>
      </c>
      <c r="I592" s="11" t="s">
        <v>945</v>
      </c>
      <c r="J592" s="11" t="s">
        <v>31</v>
      </c>
      <c r="K592" s="11" t="s">
        <v>31</v>
      </c>
      <c r="L592" s="11" t="s">
        <v>517</v>
      </c>
      <c r="M592" s="11" t="s">
        <v>32</v>
      </c>
      <c r="N592" s="11" t="s">
        <v>639</v>
      </c>
      <c r="O592" s="11" t="s">
        <v>312</v>
      </c>
      <c r="P592" s="11" t="s">
        <v>2165</v>
      </c>
      <c r="Q592" s="27" t="s">
        <v>2165</v>
      </c>
      <c r="R592" s="16" t="s">
        <v>2165</v>
      </c>
      <c r="S592" s="11" t="s">
        <v>35</v>
      </c>
      <c r="T592" s="158">
        <v>1.452</v>
      </c>
      <c r="U592" s="11" t="s">
        <v>2162</v>
      </c>
      <c r="V592" s="174">
        <v>4.9000000000000002E-2</v>
      </c>
      <c r="W592" s="189">
        <v>1E-4</v>
      </c>
      <c r="X592" s="4" t="s">
        <v>602</v>
      </c>
      <c r="Y592" s="4" t="s">
        <v>530</v>
      </c>
      <c r="Z592" s="158">
        <v>1027297.76</v>
      </c>
      <c r="AA592" s="158">
        <v>1</v>
      </c>
      <c r="AB592" s="158">
        <v>24.03</v>
      </c>
      <c r="AD592" s="158">
        <v>246.86</v>
      </c>
      <c r="AG592" s="11" t="s">
        <v>37</v>
      </c>
      <c r="AH592" s="189">
        <v>2.2620000000000001E-3</v>
      </c>
      <c r="AI592" s="189">
        <v>8.0549263640517996E-4</v>
      </c>
      <c r="AJ592" s="189">
        <v>1.34215862633161E-4</v>
      </c>
    </row>
    <row r="593" spans="1:36">
      <c r="A593" s="11" t="s">
        <v>256</v>
      </c>
      <c r="B593" s="11">
        <v>7205</v>
      </c>
      <c r="C593" s="11" t="s">
        <v>2658</v>
      </c>
      <c r="D593" s="11" t="s">
        <v>2659</v>
      </c>
      <c r="E593" s="4" t="s">
        <v>1552</v>
      </c>
      <c r="F593" s="11" t="s">
        <v>2660</v>
      </c>
      <c r="G593" s="11" t="s">
        <v>2661</v>
      </c>
      <c r="H593" s="11" t="s">
        <v>511</v>
      </c>
      <c r="I593" s="11" t="s">
        <v>1154</v>
      </c>
      <c r="J593" s="11" t="s">
        <v>31</v>
      </c>
      <c r="K593" s="11" t="s">
        <v>31</v>
      </c>
      <c r="L593" s="11" t="s">
        <v>517</v>
      </c>
      <c r="M593" s="11" t="s">
        <v>32</v>
      </c>
      <c r="N593" s="11" t="s">
        <v>650</v>
      </c>
      <c r="O593" s="11" t="s">
        <v>312</v>
      </c>
      <c r="P593" s="11" t="s">
        <v>2394</v>
      </c>
      <c r="Q593" s="11" t="s">
        <v>358</v>
      </c>
      <c r="R593" s="11" t="s">
        <v>596</v>
      </c>
      <c r="S593" s="11" t="s">
        <v>35</v>
      </c>
      <c r="T593" s="158">
        <v>1.133</v>
      </c>
      <c r="U593" s="11" t="s">
        <v>2662</v>
      </c>
      <c r="V593" s="174">
        <v>2.75E-2</v>
      </c>
      <c r="W593" s="189">
        <v>5.092E-2</v>
      </c>
      <c r="X593" s="4" t="s">
        <v>602</v>
      </c>
      <c r="Y593" s="4" t="s">
        <v>312</v>
      </c>
      <c r="Z593" s="158">
        <v>491594.4</v>
      </c>
      <c r="AA593" s="158">
        <v>1</v>
      </c>
      <c r="AB593" s="158">
        <v>98.38</v>
      </c>
      <c r="AD593" s="158">
        <v>483.63099999999997</v>
      </c>
      <c r="AG593" s="11" t="s">
        <v>37</v>
      </c>
      <c r="AH593" s="189">
        <v>2.183E-3</v>
      </c>
      <c r="AI593" s="189">
        <v>1.5780661632166101E-3</v>
      </c>
      <c r="AJ593" s="189">
        <v>2.6294655198037001E-4</v>
      </c>
    </row>
    <row r="594" spans="1:36">
      <c r="A594" s="11" t="s">
        <v>256</v>
      </c>
      <c r="B594" s="11">
        <v>7205</v>
      </c>
      <c r="C594" s="11" t="s">
        <v>2658</v>
      </c>
      <c r="D594" s="11" t="s">
        <v>2659</v>
      </c>
      <c r="E594" s="4" t="s">
        <v>1552</v>
      </c>
      <c r="F594" s="11" t="s">
        <v>2663</v>
      </c>
      <c r="G594" s="11" t="s">
        <v>2664</v>
      </c>
      <c r="H594" s="11" t="s">
        <v>511</v>
      </c>
      <c r="I594" s="11" t="s">
        <v>1154</v>
      </c>
      <c r="J594" s="11" t="s">
        <v>31</v>
      </c>
      <c r="K594" s="11" t="s">
        <v>31</v>
      </c>
      <c r="L594" s="11" t="s">
        <v>517</v>
      </c>
      <c r="M594" s="11" t="s">
        <v>32</v>
      </c>
      <c r="N594" s="11" t="s">
        <v>650</v>
      </c>
      <c r="O594" s="11" t="s">
        <v>312</v>
      </c>
      <c r="P594" s="11" t="s">
        <v>2394</v>
      </c>
      <c r="Q594" s="11" t="s">
        <v>358</v>
      </c>
      <c r="R594" s="11" t="s">
        <v>596</v>
      </c>
      <c r="S594" s="11" t="s">
        <v>35</v>
      </c>
      <c r="T594" s="158">
        <v>2.1419999999999999</v>
      </c>
      <c r="U594" s="11" t="s">
        <v>2665</v>
      </c>
      <c r="V594" s="174">
        <v>2.1499999999999998E-2</v>
      </c>
      <c r="W594" s="189">
        <v>5.5379999999999999E-2</v>
      </c>
      <c r="X594" s="4" t="s">
        <v>602</v>
      </c>
      <c r="Y594" s="4" t="s">
        <v>312</v>
      </c>
      <c r="Z594" s="158">
        <v>1509580.44</v>
      </c>
      <c r="AA594" s="158">
        <v>1</v>
      </c>
      <c r="AB594" s="158">
        <v>93.09</v>
      </c>
      <c r="AC594" s="158">
        <v>97.233000000000004</v>
      </c>
      <c r="AD594" s="158">
        <v>1502.501</v>
      </c>
      <c r="AG594" s="11" t="s">
        <v>37</v>
      </c>
      <c r="AH594" s="189">
        <v>1.5460000000000001E-3</v>
      </c>
      <c r="AI594" s="189">
        <v>4.9025978821337001E-3</v>
      </c>
      <c r="AJ594" s="189">
        <v>8.1689934104262703E-4</v>
      </c>
    </row>
    <row r="595" spans="1:36">
      <c r="A595" s="11" t="s">
        <v>256</v>
      </c>
      <c r="B595" s="11">
        <v>7205</v>
      </c>
      <c r="C595" s="11" t="s">
        <v>2666</v>
      </c>
      <c r="D595" s="11" t="s">
        <v>2667</v>
      </c>
      <c r="E595" s="4" t="s">
        <v>1552</v>
      </c>
      <c r="F595" s="11" t="s">
        <v>2668</v>
      </c>
      <c r="G595" s="11" t="s">
        <v>2669</v>
      </c>
      <c r="H595" s="11" t="s">
        <v>511</v>
      </c>
      <c r="I595" s="11" t="s">
        <v>945</v>
      </c>
      <c r="J595" s="11" t="s">
        <v>31</v>
      </c>
      <c r="K595" s="11" t="s">
        <v>31</v>
      </c>
      <c r="L595" s="11" t="s">
        <v>517</v>
      </c>
      <c r="M595" s="11" t="s">
        <v>32</v>
      </c>
      <c r="N595" s="11" t="s">
        <v>652</v>
      </c>
      <c r="O595" s="11" t="s">
        <v>312</v>
      </c>
      <c r="P595" s="11" t="s">
        <v>2169</v>
      </c>
      <c r="Q595" s="11" t="s">
        <v>604</v>
      </c>
      <c r="R595" s="11" t="s">
        <v>596</v>
      </c>
      <c r="S595" s="11" t="s">
        <v>35</v>
      </c>
      <c r="T595" s="158">
        <v>1.4059999999999999</v>
      </c>
      <c r="U595" s="11" t="s">
        <v>2670</v>
      </c>
      <c r="V595" s="174">
        <v>1.6E-2</v>
      </c>
      <c r="W595" s="189">
        <v>2.6790000000000001E-2</v>
      </c>
      <c r="X595" s="4" t="s">
        <v>602</v>
      </c>
      <c r="Y595" s="4" t="s">
        <v>312</v>
      </c>
      <c r="Z595" s="158">
        <v>1283995.03</v>
      </c>
      <c r="AA595" s="158">
        <v>1</v>
      </c>
      <c r="AB595" s="158">
        <v>113.63</v>
      </c>
      <c r="AD595" s="158">
        <v>1459.0039999999999</v>
      </c>
      <c r="AG595" s="11" t="s">
        <v>37</v>
      </c>
      <c r="AH595" s="189">
        <v>3.3119999999999998E-3</v>
      </c>
      <c r="AI595" s="189">
        <v>4.7606670829882696E-3</v>
      </c>
      <c r="AJ595" s="189">
        <v>7.9325000673395802E-4</v>
      </c>
    </row>
    <row r="596" spans="1:36">
      <c r="A596" s="11" t="s">
        <v>256</v>
      </c>
      <c r="B596" s="11">
        <v>7205</v>
      </c>
      <c r="C596" s="11" t="s">
        <v>2666</v>
      </c>
      <c r="D596" s="11" t="s">
        <v>2667</v>
      </c>
      <c r="E596" s="4" t="s">
        <v>1552</v>
      </c>
      <c r="F596" s="11" t="s">
        <v>2671</v>
      </c>
      <c r="G596" s="11" t="s">
        <v>2672</v>
      </c>
      <c r="H596" s="11" t="s">
        <v>511</v>
      </c>
      <c r="I596" s="11" t="s">
        <v>945</v>
      </c>
      <c r="J596" s="11" t="s">
        <v>31</v>
      </c>
      <c r="K596" s="11" t="s">
        <v>31</v>
      </c>
      <c r="L596" s="11" t="s">
        <v>517</v>
      </c>
      <c r="M596" s="11" t="s">
        <v>32</v>
      </c>
      <c r="N596" s="11" t="s">
        <v>652</v>
      </c>
      <c r="O596" s="11" t="s">
        <v>312</v>
      </c>
      <c r="P596" s="11" t="s">
        <v>2169</v>
      </c>
      <c r="Q596" s="11" t="s">
        <v>358</v>
      </c>
      <c r="R596" s="11" t="s">
        <v>596</v>
      </c>
      <c r="S596" s="11" t="s">
        <v>35</v>
      </c>
      <c r="T596" s="158">
        <v>2.484</v>
      </c>
      <c r="U596" s="11" t="s">
        <v>134</v>
      </c>
      <c r="V596" s="174">
        <v>1.4200000000000001E-2</v>
      </c>
      <c r="W596" s="189">
        <v>2.5100000000000001E-2</v>
      </c>
      <c r="X596" s="4" t="s">
        <v>602</v>
      </c>
      <c r="Y596" s="4" t="s">
        <v>312</v>
      </c>
      <c r="Z596" s="158">
        <v>1938088.53</v>
      </c>
      <c r="AA596" s="158">
        <v>1</v>
      </c>
      <c r="AB596" s="158">
        <v>110.8</v>
      </c>
      <c r="AD596" s="158">
        <v>2147.402</v>
      </c>
      <c r="AG596" s="11" t="s">
        <v>37</v>
      </c>
      <c r="AH596" s="189">
        <v>1.642E-3</v>
      </c>
      <c r="AI596" s="189">
        <v>7.0068824928942904E-3</v>
      </c>
      <c r="AJ596" s="189">
        <v>1.1675274678488001E-3</v>
      </c>
    </row>
    <row r="597" spans="1:36">
      <c r="A597" s="11" t="s">
        <v>256</v>
      </c>
      <c r="B597" s="11">
        <v>7205</v>
      </c>
      <c r="C597" s="11" t="s">
        <v>2673</v>
      </c>
      <c r="D597" s="11" t="s">
        <v>2674</v>
      </c>
      <c r="E597" s="4" t="s">
        <v>1552</v>
      </c>
      <c r="F597" s="11" t="s">
        <v>2675</v>
      </c>
      <c r="G597" s="11" t="s">
        <v>2676</v>
      </c>
      <c r="H597" s="11" t="s">
        <v>511</v>
      </c>
      <c r="I597" s="11" t="s">
        <v>1154</v>
      </c>
      <c r="J597" s="11" t="s">
        <v>31</v>
      </c>
      <c r="K597" s="11" t="s">
        <v>31</v>
      </c>
      <c r="L597" s="11" t="s">
        <v>517</v>
      </c>
      <c r="M597" s="11" t="s">
        <v>32</v>
      </c>
      <c r="N597" s="11" t="s">
        <v>635</v>
      </c>
      <c r="O597" s="11" t="s">
        <v>312</v>
      </c>
      <c r="P597" s="11" t="s">
        <v>2206</v>
      </c>
      <c r="Q597" s="11" t="s">
        <v>604</v>
      </c>
      <c r="R597" s="11" t="s">
        <v>596</v>
      </c>
      <c r="S597" s="11" t="s">
        <v>35</v>
      </c>
      <c r="T597" s="158">
        <v>0.51100000000000001</v>
      </c>
      <c r="U597" s="11" t="s">
        <v>2677</v>
      </c>
      <c r="V597" s="174">
        <v>4.3499999999999997E-2</v>
      </c>
      <c r="W597" s="189">
        <v>7.0150000000000004E-2</v>
      </c>
      <c r="X597" s="4" t="s">
        <v>602</v>
      </c>
      <c r="Y597" s="4" t="s">
        <v>312</v>
      </c>
      <c r="Z597" s="158">
        <v>284180.17</v>
      </c>
      <c r="AA597" s="158">
        <v>1</v>
      </c>
      <c r="AB597" s="158">
        <v>100.74</v>
      </c>
      <c r="AD597" s="158">
        <v>286.28300000000002</v>
      </c>
      <c r="AG597" s="11" t="s">
        <v>37</v>
      </c>
      <c r="AH597" s="189">
        <v>5.9199999999999999E-3</v>
      </c>
      <c r="AI597" s="189">
        <v>9.3412969672186804E-4</v>
      </c>
      <c r="AJ597" s="189">
        <v>1.5565011694745301E-4</v>
      </c>
    </row>
    <row r="598" spans="1:36">
      <c r="A598" s="11" t="s">
        <v>256</v>
      </c>
      <c r="B598" s="11">
        <v>7205</v>
      </c>
      <c r="C598" s="11" t="s">
        <v>2678</v>
      </c>
      <c r="D598" s="11" t="s">
        <v>2679</v>
      </c>
      <c r="E598" s="4" t="s">
        <v>1552</v>
      </c>
      <c r="F598" s="11" t="s">
        <v>2680</v>
      </c>
      <c r="G598" s="11" t="s">
        <v>2681</v>
      </c>
      <c r="H598" s="11" t="s">
        <v>511</v>
      </c>
      <c r="I598" s="11" t="s">
        <v>945</v>
      </c>
      <c r="J598" s="11" t="s">
        <v>31</v>
      </c>
      <c r="K598" s="11" t="s">
        <v>31</v>
      </c>
      <c r="L598" s="11" t="s">
        <v>517</v>
      </c>
      <c r="M598" s="11" t="s">
        <v>32</v>
      </c>
      <c r="N598" s="11" t="s">
        <v>652</v>
      </c>
      <c r="O598" s="11" t="s">
        <v>312</v>
      </c>
      <c r="P598" s="11" t="s">
        <v>2169</v>
      </c>
      <c r="Q598" s="11" t="s">
        <v>358</v>
      </c>
      <c r="R598" s="11" t="s">
        <v>596</v>
      </c>
      <c r="S598" s="11" t="s">
        <v>35</v>
      </c>
      <c r="T598" s="158">
        <v>0.219</v>
      </c>
      <c r="U598" s="11" t="s">
        <v>2682</v>
      </c>
      <c r="V598" s="174">
        <v>0.04</v>
      </c>
      <c r="W598" s="189">
        <v>2.223E-2</v>
      </c>
      <c r="X598" s="4" t="s">
        <v>602</v>
      </c>
      <c r="Y598" s="4" t="s">
        <v>312</v>
      </c>
      <c r="Z598" s="158">
        <v>806821.96</v>
      </c>
      <c r="AA598" s="158">
        <v>1</v>
      </c>
      <c r="AB598" s="158">
        <v>115.01</v>
      </c>
      <c r="AD598" s="158">
        <v>927.92600000000004</v>
      </c>
      <c r="AG598" s="11" t="s">
        <v>37</v>
      </c>
      <c r="AH598" s="189">
        <v>9.9100000000000004E-3</v>
      </c>
      <c r="AI598" s="189">
        <v>3.0277832100274399E-3</v>
      </c>
      <c r="AJ598" s="189">
        <v>5.0450682853370903E-4</v>
      </c>
    </row>
    <row r="599" spans="1:36">
      <c r="A599" s="11" t="s">
        <v>256</v>
      </c>
      <c r="B599" s="11">
        <v>7205</v>
      </c>
      <c r="C599" s="11" t="s">
        <v>2678</v>
      </c>
      <c r="D599" s="11" t="s">
        <v>2679</v>
      </c>
      <c r="E599" s="4" t="s">
        <v>1552</v>
      </c>
      <c r="F599" s="11" t="s">
        <v>2683</v>
      </c>
      <c r="G599" s="11" t="s">
        <v>2684</v>
      </c>
      <c r="H599" s="11" t="s">
        <v>511</v>
      </c>
      <c r="I599" s="11" t="s">
        <v>945</v>
      </c>
      <c r="J599" s="11" t="s">
        <v>31</v>
      </c>
      <c r="K599" s="11" t="s">
        <v>31</v>
      </c>
      <c r="L599" s="11" t="s">
        <v>517</v>
      </c>
      <c r="M599" s="11" t="s">
        <v>32</v>
      </c>
      <c r="N599" s="11" t="s">
        <v>652</v>
      </c>
      <c r="O599" s="11" t="s">
        <v>312</v>
      </c>
      <c r="P599" s="11" t="s">
        <v>2169</v>
      </c>
      <c r="Q599" s="11" t="s">
        <v>358</v>
      </c>
      <c r="R599" s="11" t="s">
        <v>596</v>
      </c>
      <c r="S599" s="11" t="s">
        <v>35</v>
      </c>
      <c r="T599" s="158">
        <v>3.621</v>
      </c>
      <c r="U599" s="11" t="s">
        <v>2685</v>
      </c>
      <c r="V599" s="174">
        <v>3.5000000000000003E-2</v>
      </c>
      <c r="W599" s="189">
        <v>3.109E-2</v>
      </c>
      <c r="X599" s="4" t="s">
        <v>602</v>
      </c>
      <c r="Y599" s="4" t="s">
        <v>312</v>
      </c>
      <c r="Z599" s="158">
        <v>2781141.96</v>
      </c>
      <c r="AA599" s="158">
        <v>1</v>
      </c>
      <c r="AB599" s="158">
        <v>118.06</v>
      </c>
      <c r="AD599" s="158">
        <v>3283.4160000000002</v>
      </c>
      <c r="AG599" s="11" t="s">
        <v>37</v>
      </c>
      <c r="AH599" s="189">
        <v>3.192E-3</v>
      </c>
      <c r="AI599" s="189">
        <v>1.07136486307502E-2</v>
      </c>
      <c r="AJ599" s="189">
        <v>1.7851703764072699E-3</v>
      </c>
    </row>
    <row r="600" spans="1:36">
      <c r="A600" s="11" t="s">
        <v>256</v>
      </c>
      <c r="B600" s="11">
        <v>7205</v>
      </c>
      <c r="C600" s="11" t="s">
        <v>2678</v>
      </c>
      <c r="D600" s="11" t="s">
        <v>2679</v>
      </c>
      <c r="E600" s="4" t="s">
        <v>1552</v>
      </c>
      <c r="F600" s="11" t="s">
        <v>2686</v>
      </c>
      <c r="G600" s="11" t="s">
        <v>2687</v>
      </c>
      <c r="H600" s="11" t="s">
        <v>511</v>
      </c>
      <c r="I600" s="11" t="s">
        <v>945</v>
      </c>
      <c r="J600" s="11" t="s">
        <v>31</v>
      </c>
      <c r="K600" s="11" t="s">
        <v>31</v>
      </c>
      <c r="L600" s="11" t="s">
        <v>517</v>
      </c>
      <c r="M600" s="11" t="s">
        <v>32</v>
      </c>
      <c r="N600" s="11" t="s">
        <v>652</v>
      </c>
      <c r="O600" s="11" t="s">
        <v>312</v>
      </c>
      <c r="P600" s="11" t="s">
        <v>2169</v>
      </c>
      <c r="Q600" s="11" t="s">
        <v>358</v>
      </c>
      <c r="R600" s="11" t="s">
        <v>596</v>
      </c>
      <c r="S600" s="11" t="s">
        <v>35</v>
      </c>
      <c r="T600" s="158">
        <v>2.2850000000000001</v>
      </c>
      <c r="U600" s="11" t="s">
        <v>2688</v>
      </c>
      <c r="V600" s="174">
        <v>0.04</v>
      </c>
      <c r="W600" s="189">
        <v>2.7150000000000001E-2</v>
      </c>
      <c r="X600" s="4" t="s">
        <v>602</v>
      </c>
      <c r="Y600" s="4" t="s">
        <v>312</v>
      </c>
      <c r="Z600" s="158">
        <v>1539530.08</v>
      </c>
      <c r="AA600" s="158">
        <v>1</v>
      </c>
      <c r="AB600" s="158">
        <v>118.66</v>
      </c>
      <c r="AD600" s="158">
        <v>1826.806</v>
      </c>
      <c r="AG600" s="11" t="s">
        <v>37</v>
      </c>
      <c r="AH600" s="189">
        <v>1.554E-3</v>
      </c>
      <c r="AI600" s="189">
        <v>5.9607922450718998E-3</v>
      </c>
      <c r="AJ600" s="189">
        <v>9.9322183343578704E-4</v>
      </c>
    </row>
    <row r="601" spans="1:36">
      <c r="A601" s="11" t="s">
        <v>256</v>
      </c>
      <c r="B601" s="11">
        <v>7205</v>
      </c>
      <c r="C601" s="11" t="s">
        <v>2689</v>
      </c>
      <c r="D601" s="11" t="s">
        <v>2690</v>
      </c>
      <c r="E601" s="4" t="s">
        <v>1552</v>
      </c>
      <c r="F601" s="11" t="s">
        <v>2691</v>
      </c>
      <c r="G601" s="11" t="s">
        <v>2692</v>
      </c>
      <c r="H601" s="11" t="s">
        <v>511</v>
      </c>
      <c r="I601" s="11" t="s">
        <v>945</v>
      </c>
      <c r="J601" s="11" t="s">
        <v>31</v>
      </c>
      <c r="K601" s="11" t="s">
        <v>31</v>
      </c>
      <c r="L601" s="11" t="s">
        <v>517</v>
      </c>
      <c r="M601" s="11" t="s">
        <v>32</v>
      </c>
      <c r="N601" s="11" t="s">
        <v>652</v>
      </c>
      <c r="O601" s="11" t="s">
        <v>312</v>
      </c>
      <c r="P601" s="11" t="s">
        <v>2165</v>
      </c>
      <c r="Q601" s="27" t="s">
        <v>2165</v>
      </c>
      <c r="R601" s="16" t="s">
        <v>2165</v>
      </c>
      <c r="S601" s="11" t="s">
        <v>35</v>
      </c>
      <c r="T601" s="158">
        <v>5.508</v>
      </c>
      <c r="U601" s="11" t="s">
        <v>2193</v>
      </c>
      <c r="V601" s="174">
        <v>6.4000000000000003E-3</v>
      </c>
      <c r="W601" s="189">
        <v>3.8469999999999997E-2</v>
      </c>
      <c r="X601" s="4" t="s">
        <v>602</v>
      </c>
      <c r="Y601" s="4" t="s">
        <v>312</v>
      </c>
      <c r="Z601" s="158">
        <v>1077923.8</v>
      </c>
      <c r="AA601" s="158">
        <v>1</v>
      </c>
      <c r="AB601" s="158">
        <v>94.5</v>
      </c>
      <c r="AD601" s="158">
        <v>1018.638</v>
      </c>
      <c r="AG601" s="11" t="s">
        <v>37</v>
      </c>
      <c r="AH601" s="189">
        <v>4.163E-3</v>
      </c>
      <c r="AI601" s="189">
        <v>3.3237728205868702E-3</v>
      </c>
      <c r="AJ601" s="189">
        <v>5.5382633701361395E-4</v>
      </c>
    </row>
    <row r="602" spans="1:36">
      <c r="A602" s="11" t="s">
        <v>256</v>
      </c>
      <c r="B602" s="11">
        <v>7205</v>
      </c>
      <c r="C602" s="11" t="s">
        <v>2693</v>
      </c>
      <c r="D602" s="11" t="s">
        <v>2694</v>
      </c>
      <c r="E602" s="4" t="s">
        <v>1552</v>
      </c>
      <c r="F602" s="11" t="s">
        <v>2695</v>
      </c>
      <c r="G602" s="11" t="s">
        <v>2696</v>
      </c>
      <c r="H602" s="11" t="s">
        <v>511</v>
      </c>
      <c r="I602" s="11" t="s">
        <v>945</v>
      </c>
      <c r="J602" s="11" t="s">
        <v>31</v>
      </c>
      <c r="K602" s="11" t="s">
        <v>31</v>
      </c>
      <c r="L602" s="11" t="s">
        <v>517</v>
      </c>
      <c r="M602" s="11" t="s">
        <v>32</v>
      </c>
      <c r="N602" s="11" t="s">
        <v>666</v>
      </c>
      <c r="O602" s="11" t="s">
        <v>312</v>
      </c>
      <c r="P602" s="11" t="s">
        <v>2571</v>
      </c>
      <c r="Q602" s="11" t="s">
        <v>604</v>
      </c>
      <c r="R602" s="11" t="s">
        <v>596</v>
      </c>
      <c r="S602" s="11" t="s">
        <v>35</v>
      </c>
      <c r="T602" s="158">
        <v>3.8940000000000001</v>
      </c>
      <c r="U602" s="11" t="s">
        <v>2697</v>
      </c>
      <c r="V602" s="174">
        <v>7.0000000000000001E-3</v>
      </c>
      <c r="W602" s="189">
        <v>1.8870000000000001E-2</v>
      </c>
      <c r="X602" s="4" t="s">
        <v>602</v>
      </c>
      <c r="Y602" s="4" t="s">
        <v>312</v>
      </c>
      <c r="Z602" s="158">
        <v>1332574.29</v>
      </c>
      <c r="AA602" s="158">
        <v>1</v>
      </c>
      <c r="AB602" s="158">
        <v>106.94</v>
      </c>
      <c r="AD602" s="158">
        <v>1425.0550000000001</v>
      </c>
      <c r="AG602" s="11" t="s">
        <v>37</v>
      </c>
      <c r="AH602" s="189">
        <v>1.6657000000000002E-2</v>
      </c>
      <c r="AI602" s="189">
        <v>4.6498942100098497E-3</v>
      </c>
      <c r="AJ602" s="189">
        <v>7.7479238709698202E-4</v>
      </c>
    </row>
    <row r="603" spans="1:36">
      <c r="A603" s="11" t="s">
        <v>256</v>
      </c>
      <c r="B603" s="11">
        <v>7205</v>
      </c>
      <c r="C603" s="11" t="s">
        <v>2698</v>
      </c>
      <c r="D603" s="11" t="s">
        <v>2699</v>
      </c>
      <c r="E603" s="4" t="s">
        <v>1552</v>
      </c>
      <c r="F603" s="11" t="s">
        <v>2700</v>
      </c>
      <c r="G603" s="11" t="s">
        <v>2701</v>
      </c>
      <c r="H603" s="11" t="s">
        <v>511</v>
      </c>
      <c r="I603" s="11" t="s">
        <v>945</v>
      </c>
      <c r="J603" s="11" t="s">
        <v>31</v>
      </c>
      <c r="K603" s="11" t="s">
        <v>31</v>
      </c>
      <c r="L603" s="11" t="s">
        <v>517</v>
      </c>
      <c r="M603" s="11" t="s">
        <v>32</v>
      </c>
      <c r="N603" s="11" t="s">
        <v>652</v>
      </c>
      <c r="O603" s="11" t="s">
        <v>312</v>
      </c>
      <c r="P603" s="11" t="s">
        <v>2165</v>
      </c>
      <c r="Q603" s="27" t="s">
        <v>2165</v>
      </c>
      <c r="R603" s="16" t="s">
        <v>2165</v>
      </c>
      <c r="S603" s="11" t="s">
        <v>35</v>
      </c>
      <c r="T603" s="158">
        <v>2.8450000000000002</v>
      </c>
      <c r="U603" s="11" t="s">
        <v>2180</v>
      </c>
      <c r="V603" s="174">
        <v>4.2000000000000003E-2</v>
      </c>
      <c r="W603" s="189">
        <v>4.052E-2</v>
      </c>
      <c r="X603" s="4" t="s">
        <v>602</v>
      </c>
      <c r="Y603" s="4" t="s">
        <v>312</v>
      </c>
      <c r="Z603" s="158">
        <v>744000</v>
      </c>
      <c r="AA603" s="158">
        <v>1</v>
      </c>
      <c r="AB603" s="158">
        <v>103.05</v>
      </c>
      <c r="AD603" s="158">
        <v>766.69200000000001</v>
      </c>
      <c r="AG603" s="11" t="s">
        <v>37</v>
      </c>
      <c r="AH603" s="189">
        <v>7.4400000000000004E-3</v>
      </c>
      <c r="AI603" s="189">
        <v>2.50168367356857E-3</v>
      </c>
      <c r="AJ603" s="189">
        <v>4.1684506736372202E-4</v>
      </c>
    </row>
    <row r="604" spans="1:36">
      <c r="A604" s="11" t="s">
        <v>256</v>
      </c>
      <c r="B604" s="11">
        <v>7205</v>
      </c>
      <c r="C604" s="11" t="s">
        <v>2702</v>
      </c>
      <c r="D604" s="11" t="s">
        <v>2703</v>
      </c>
      <c r="E604" s="4" t="s">
        <v>1552</v>
      </c>
      <c r="F604" s="11" t="s">
        <v>2704</v>
      </c>
      <c r="G604" s="11" t="s">
        <v>2705</v>
      </c>
      <c r="H604" s="11" t="s">
        <v>511</v>
      </c>
      <c r="I604" s="11" t="s">
        <v>945</v>
      </c>
      <c r="J604" s="11" t="s">
        <v>31</v>
      </c>
      <c r="K604" s="11" t="s">
        <v>31</v>
      </c>
      <c r="L604" s="11" t="s">
        <v>517</v>
      </c>
      <c r="M604" s="11" t="s">
        <v>32</v>
      </c>
      <c r="N604" s="11" t="s">
        <v>652</v>
      </c>
      <c r="O604" s="11" t="s">
        <v>312</v>
      </c>
      <c r="P604" s="11" t="s">
        <v>2327</v>
      </c>
      <c r="Q604" s="11" t="s">
        <v>358</v>
      </c>
      <c r="R604" s="11" t="s">
        <v>596</v>
      </c>
      <c r="S604" s="11" t="s">
        <v>35</v>
      </c>
      <c r="T604" s="158">
        <v>3.24</v>
      </c>
      <c r="U604" s="11" t="s">
        <v>2706</v>
      </c>
      <c r="V604" s="174">
        <v>1.0800000000000001E-2</v>
      </c>
      <c r="W604" s="189">
        <v>3.6830000000000002E-2</v>
      </c>
      <c r="X604" s="4" t="s">
        <v>602</v>
      </c>
      <c r="Y604" s="4" t="s">
        <v>312</v>
      </c>
      <c r="Z604" s="158">
        <v>142016.45000000001</v>
      </c>
      <c r="AA604" s="158">
        <v>1</v>
      </c>
      <c r="AB604" s="158">
        <v>104.74</v>
      </c>
      <c r="AD604" s="158">
        <v>148.74799999999999</v>
      </c>
      <c r="AG604" s="11" t="s">
        <v>37</v>
      </c>
      <c r="AH604" s="189">
        <v>4.75E-4</v>
      </c>
      <c r="AI604" s="189">
        <v>4.8535855004491101E-4</v>
      </c>
      <c r="AJ604" s="189">
        <v>8.0873261326611998E-5</v>
      </c>
    </row>
    <row r="605" spans="1:36">
      <c r="A605" s="11" t="s">
        <v>256</v>
      </c>
      <c r="B605" s="11">
        <v>7205</v>
      </c>
      <c r="C605" s="11" t="s">
        <v>2911</v>
      </c>
      <c r="D605" s="11" t="s">
        <v>2912</v>
      </c>
      <c r="E605" s="4" t="s">
        <v>1552</v>
      </c>
      <c r="F605" s="11" t="s">
        <v>2913</v>
      </c>
      <c r="G605" s="11" t="s">
        <v>2914</v>
      </c>
      <c r="H605" s="11" t="s">
        <v>511</v>
      </c>
      <c r="I605" s="11" t="s">
        <v>364</v>
      </c>
      <c r="J605" s="11" t="s">
        <v>31</v>
      </c>
      <c r="K605" s="11" t="s">
        <v>31</v>
      </c>
      <c r="L605" s="11" t="s">
        <v>517</v>
      </c>
      <c r="M605" s="11" t="s">
        <v>32</v>
      </c>
      <c r="N605" s="11" t="s">
        <v>642</v>
      </c>
      <c r="O605" s="11" t="s">
        <v>312</v>
      </c>
      <c r="P605" s="11" t="s">
        <v>2165</v>
      </c>
      <c r="Q605" s="27" t="s">
        <v>2165</v>
      </c>
      <c r="R605" s="16" t="s">
        <v>2165</v>
      </c>
      <c r="S605" s="11" t="s">
        <v>35</v>
      </c>
      <c r="T605" s="158">
        <v>2.78</v>
      </c>
      <c r="U605" s="11" t="s">
        <v>2915</v>
      </c>
      <c r="V605" s="174">
        <v>5.7000000000000002E-2</v>
      </c>
      <c r="W605" s="189">
        <v>7.9780000000000004E-2</v>
      </c>
      <c r="X605" s="4" t="s">
        <v>602</v>
      </c>
      <c r="Y605" s="4" t="s">
        <v>312</v>
      </c>
      <c r="Z605" s="158">
        <v>103775.76</v>
      </c>
      <c r="AA605" s="158">
        <v>1</v>
      </c>
      <c r="AB605" s="158">
        <v>110</v>
      </c>
      <c r="AD605" s="158">
        <v>114.15300000000001</v>
      </c>
      <c r="AG605" s="11" t="s">
        <v>37</v>
      </c>
      <c r="AH605" s="189">
        <v>3.9300000000000001E-4</v>
      </c>
      <c r="AI605" s="189">
        <v>3.7247752285740198E-4</v>
      </c>
      <c r="AJ605" s="189">
        <v>6.2064368787875205E-5</v>
      </c>
    </row>
    <row r="606" spans="1:36">
      <c r="A606" s="11" t="s">
        <v>256</v>
      </c>
      <c r="B606" s="11">
        <v>7205</v>
      </c>
      <c r="C606" s="11" t="s">
        <v>1979</v>
      </c>
      <c r="D606" s="11" t="s">
        <v>1980</v>
      </c>
      <c r="E606" s="4" t="s">
        <v>1552</v>
      </c>
      <c r="F606" s="11" t="s">
        <v>2707</v>
      </c>
      <c r="G606" s="11" t="s">
        <v>2708</v>
      </c>
      <c r="H606" s="11" t="s">
        <v>511</v>
      </c>
      <c r="I606" s="11" t="s">
        <v>1154</v>
      </c>
      <c r="J606" s="11" t="s">
        <v>31</v>
      </c>
      <c r="K606" s="11" t="s">
        <v>31</v>
      </c>
      <c r="L606" s="11" t="s">
        <v>517</v>
      </c>
      <c r="M606" s="11" t="s">
        <v>32</v>
      </c>
      <c r="N606" s="11" t="s">
        <v>647</v>
      </c>
      <c r="O606" s="11" t="s">
        <v>312</v>
      </c>
      <c r="P606" s="11" t="s">
        <v>2571</v>
      </c>
      <c r="Q606" s="11" t="s">
        <v>604</v>
      </c>
      <c r="R606" s="11" t="s">
        <v>596</v>
      </c>
      <c r="S606" s="11" t="s">
        <v>35</v>
      </c>
      <c r="T606" s="158">
        <v>1.9339999999999999</v>
      </c>
      <c r="U606" s="11" t="s">
        <v>2180</v>
      </c>
      <c r="V606" s="174">
        <v>2.6100000000000002E-2</v>
      </c>
      <c r="W606" s="189">
        <v>4.793E-2</v>
      </c>
      <c r="X606" s="4" t="s">
        <v>602</v>
      </c>
      <c r="Y606" s="4" t="s">
        <v>312</v>
      </c>
      <c r="Z606" s="158">
        <v>2868382.84</v>
      </c>
      <c r="AA606" s="158">
        <v>1</v>
      </c>
      <c r="AB606" s="158">
        <v>95.99</v>
      </c>
      <c r="AD606" s="158">
        <v>2753.3609999999999</v>
      </c>
      <c r="AG606" s="11" t="s">
        <v>37</v>
      </c>
      <c r="AH606" s="189">
        <v>5.9449999999999998E-3</v>
      </c>
      <c r="AI606" s="189">
        <v>8.9840998483162893E-3</v>
      </c>
      <c r="AJ606" s="189">
        <v>1.49698291036601E-3</v>
      </c>
    </row>
    <row r="607" spans="1:36">
      <c r="A607" s="11" t="s">
        <v>256</v>
      </c>
      <c r="B607" s="11">
        <v>7205</v>
      </c>
      <c r="C607" s="11" t="s">
        <v>2709</v>
      </c>
      <c r="D607" s="11" t="s">
        <v>2710</v>
      </c>
      <c r="E607" s="4" t="s">
        <v>1552</v>
      </c>
      <c r="F607" s="11" t="s">
        <v>2711</v>
      </c>
      <c r="G607" s="11" t="s">
        <v>2712</v>
      </c>
      <c r="H607" s="11" t="s">
        <v>511</v>
      </c>
      <c r="I607" s="11" t="s">
        <v>1154</v>
      </c>
      <c r="J607" s="11" t="s">
        <v>31</v>
      </c>
      <c r="K607" s="11" t="s">
        <v>31</v>
      </c>
      <c r="L607" s="11" t="s">
        <v>517</v>
      </c>
      <c r="M607" s="11" t="s">
        <v>32</v>
      </c>
      <c r="N607" s="11" t="s">
        <v>666</v>
      </c>
      <c r="O607" s="11" t="s">
        <v>312</v>
      </c>
      <c r="P607" s="11" t="s">
        <v>2169</v>
      </c>
      <c r="Q607" s="11" t="s">
        <v>358</v>
      </c>
      <c r="R607" s="11" t="s">
        <v>596</v>
      </c>
      <c r="S607" s="11" t="s">
        <v>35</v>
      </c>
      <c r="T607" s="158">
        <v>1.069</v>
      </c>
      <c r="U607" s="11" t="s">
        <v>2713</v>
      </c>
      <c r="V607" s="174">
        <v>2.7E-2</v>
      </c>
      <c r="W607" s="189">
        <v>4.9639999999999997E-2</v>
      </c>
      <c r="X607" s="4" t="s">
        <v>602</v>
      </c>
      <c r="Y607" s="4" t="s">
        <v>312</v>
      </c>
      <c r="Z607" s="158">
        <v>333630.56</v>
      </c>
      <c r="AA607" s="158">
        <v>1</v>
      </c>
      <c r="AB607" s="158">
        <v>97.8</v>
      </c>
      <c r="AD607" s="158">
        <v>326.291</v>
      </c>
      <c r="AG607" s="11" t="s">
        <v>37</v>
      </c>
      <c r="AH607" s="189">
        <v>2.6670000000000001E-3</v>
      </c>
      <c r="AI607" s="189">
        <v>1.0646727580391E-3</v>
      </c>
      <c r="AJ607" s="189">
        <v>1.77401960221477E-4</v>
      </c>
    </row>
    <row r="608" spans="1:36">
      <c r="A608" s="11" t="s">
        <v>256</v>
      </c>
      <c r="B608" s="11">
        <v>7205</v>
      </c>
      <c r="C608" s="11" t="s">
        <v>2709</v>
      </c>
      <c r="D608" s="11" t="s">
        <v>2710</v>
      </c>
      <c r="E608" s="4" t="s">
        <v>1552</v>
      </c>
      <c r="F608" s="11" t="s">
        <v>2714</v>
      </c>
      <c r="G608" s="11" t="s">
        <v>2715</v>
      </c>
      <c r="H608" s="11" t="s">
        <v>511</v>
      </c>
      <c r="I608" s="11" t="s">
        <v>945</v>
      </c>
      <c r="J608" s="11" t="s">
        <v>31</v>
      </c>
      <c r="K608" s="11" t="s">
        <v>31</v>
      </c>
      <c r="L608" s="11" t="s">
        <v>517</v>
      </c>
      <c r="M608" s="11" t="s">
        <v>32</v>
      </c>
      <c r="N608" s="11" t="s">
        <v>666</v>
      </c>
      <c r="O608" s="11" t="s">
        <v>312</v>
      </c>
      <c r="P608" s="11" t="s">
        <v>2169</v>
      </c>
      <c r="Q608" s="11" t="s">
        <v>358</v>
      </c>
      <c r="R608" s="11" t="s">
        <v>596</v>
      </c>
      <c r="S608" s="11" t="s">
        <v>35</v>
      </c>
      <c r="T608" s="158">
        <v>1.0780000000000001</v>
      </c>
      <c r="U608" s="11" t="s">
        <v>2713</v>
      </c>
      <c r="V608" s="174">
        <v>1.7999999999999999E-2</v>
      </c>
      <c r="W608" s="189">
        <v>3.0530000000000002E-2</v>
      </c>
      <c r="X608" s="4" t="s">
        <v>602</v>
      </c>
      <c r="Y608" s="4" t="s">
        <v>312</v>
      </c>
      <c r="Z608" s="158">
        <v>674005.33</v>
      </c>
      <c r="AA608" s="158">
        <v>1</v>
      </c>
      <c r="AB608" s="158">
        <v>112.65</v>
      </c>
      <c r="AD608" s="158">
        <v>759.26700000000005</v>
      </c>
      <c r="AG608" s="11" t="s">
        <v>37</v>
      </c>
      <c r="AH608" s="189">
        <v>1.0369999999999999E-3</v>
      </c>
      <c r="AI608" s="189">
        <v>2.4774562254452001E-3</v>
      </c>
      <c r="AJ608" s="189">
        <v>4.1280814920666799E-4</v>
      </c>
    </row>
    <row r="609" spans="1:36">
      <c r="A609" s="11" t="s">
        <v>256</v>
      </c>
      <c r="B609" s="11">
        <v>7205</v>
      </c>
      <c r="C609" s="11" t="s">
        <v>3031</v>
      </c>
      <c r="D609" s="11" t="s">
        <v>3032</v>
      </c>
      <c r="E609" s="4" t="s">
        <v>1552</v>
      </c>
      <c r="F609" s="11" t="s">
        <v>3033</v>
      </c>
      <c r="G609" s="11" t="s">
        <v>3034</v>
      </c>
      <c r="H609" s="11" t="s">
        <v>34</v>
      </c>
      <c r="I609" s="11" t="s">
        <v>945</v>
      </c>
      <c r="J609" s="11" t="s">
        <v>31</v>
      </c>
      <c r="K609" s="11" t="s">
        <v>31</v>
      </c>
      <c r="L609" s="11" t="s">
        <v>517</v>
      </c>
      <c r="M609" s="11" t="s">
        <v>32</v>
      </c>
      <c r="N609" s="11" t="s">
        <v>639</v>
      </c>
      <c r="O609" s="11" t="s">
        <v>312</v>
      </c>
      <c r="P609" s="11" t="s">
        <v>2165</v>
      </c>
      <c r="Q609" s="27" t="s">
        <v>2165</v>
      </c>
      <c r="R609" s="16" t="s">
        <v>2165</v>
      </c>
      <c r="S609" s="11" t="s">
        <v>35</v>
      </c>
      <c r="T609" s="158">
        <v>0.99</v>
      </c>
      <c r="U609" s="11" t="s">
        <v>3035</v>
      </c>
      <c r="V609" s="174">
        <v>5.0999999999999997E-2</v>
      </c>
      <c r="W609" s="189">
        <v>0.26619999999999999</v>
      </c>
      <c r="X609" s="4" t="s">
        <v>602</v>
      </c>
      <c r="Y609" s="4" t="s">
        <v>312</v>
      </c>
      <c r="Z609" s="158">
        <v>75.17</v>
      </c>
      <c r="AA609" s="158">
        <v>1</v>
      </c>
      <c r="AB609" s="158">
        <v>0.01</v>
      </c>
      <c r="AD609" s="158">
        <v>0</v>
      </c>
      <c r="AG609" s="11" t="s">
        <v>37</v>
      </c>
      <c r="AH609" s="189">
        <v>1.9999999999999999E-6</v>
      </c>
      <c r="AI609" s="189">
        <v>2.4527654096058001E-11</v>
      </c>
      <c r="AJ609" s="189">
        <v>4.0869402202880699E-12</v>
      </c>
    </row>
    <row r="610" spans="1:36">
      <c r="A610" s="11" t="s">
        <v>256</v>
      </c>
      <c r="B610" s="11">
        <v>7205</v>
      </c>
      <c r="C610" s="11" t="s">
        <v>2716</v>
      </c>
      <c r="D610" s="11" t="s">
        <v>2717</v>
      </c>
      <c r="E610" s="4" t="s">
        <v>1552</v>
      </c>
      <c r="F610" s="11" t="s">
        <v>2718</v>
      </c>
      <c r="G610" s="11" t="s">
        <v>2719</v>
      </c>
      <c r="H610" s="11" t="s">
        <v>511</v>
      </c>
      <c r="I610" s="11" t="s">
        <v>364</v>
      </c>
      <c r="J610" s="11" t="s">
        <v>31</v>
      </c>
      <c r="K610" s="11" t="s">
        <v>31</v>
      </c>
      <c r="L610" s="11" t="s">
        <v>517</v>
      </c>
      <c r="M610" s="11" t="s">
        <v>32</v>
      </c>
      <c r="N610" s="11" t="s">
        <v>642</v>
      </c>
      <c r="O610" s="11" t="s">
        <v>312</v>
      </c>
      <c r="P610" s="11" t="s">
        <v>2418</v>
      </c>
      <c r="Q610" s="11" t="s">
        <v>604</v>
      </c>
      <c r="R610" s="11" t="s">
        <v>596</v>
      </c>
      <c r="S610" s="11" t="s">
        <v>35</v>
      </c>
      <c r="T610" s="158">
        <v>2.8</v>
      </c>
      <c r="U610" s="11" t="s">
        <v>2720</v>
      </c>
      <c r="V610" s="174">
        <v>5.4800000000000001E-2</v>
      </c>
      <c r="W610" s="189">
        <v>6.6320000000000004E-2</v>
      </c>
      <c r="X610" s="4" t="s">
        <v>602</v>
      </c>
      <c r="Y610" s="4" t="s">
        <v>312</v>
      </c>
      <c r="Z610" s="158">
        <v>1534000</v>
      </c>
      <c r="AA610" s="158">
        <v>1</v>
      </c>
      <c r="AB610" s="158">
        <v>104.51</v>
      </c>
      <c r="AD610" s="158">
        <v>1603.183</v>
      </c>
      <c r="AG610" s="11" t="s">
        <v>37</v>
      </c>
      <c r="AH610" s="189">
        <v>5.3899999999999998E-3</v>
      </c>
      <c r="AI610" s="189">
        <v>5.2311198467130801E-3</v>
      </c>
      <c r="AJ610" s="189">
        <v>8.7163957934790104E-4</v>
      </c>
    </row>
    <row r="611" spans="1:36">
      <c r="A611" s="11" t="s">
        <v>256</v>
      </c>
      <c r="B611" s="11">
        <v>7205</v>
      </c>
      <c r="C611" s="11" t="s">
        <v>2721</v>
      </c>
      <c r="D611" s="11" t="s">
        <v>2722</v>
      </c>
      <c r="E611" s="4" t="s">
        <v>1552</v>
      </c>
      <c r="F611" s="11" t="s">
        <v>2723</v>
      </c>
      <c r="G611" s="11" t="s">
        <v>2724</v>
      </c>
      <c r="H611" s="11" t="s">
        <v>511</v>
      </c>
      <c r="I611" s="11" t="s">
        <v>364</v>
      </c>
      <c r="J611" s="11" t="s">
        <v>31</v>
      </c>
      <c r="K611" s="11" t="s">
        <v>31</v>
      </c>
      <c r="L611" s="11" t="s">
        <v>517</v>
      </c>
      <c r="M611" s="11" t="s">
        <v>32</v>
      </c>
      <c r="N611" s="11" t="s">
        <v>642</v>
      </c>
      <c r="O611" s="11" t="s">
        <v>312</v>
      </c>
      <c r="P611" s="11" t="s">
        <v>168</v>
      </c>
      <c r="Q611" s="11" t="s">
        <v>604</v>
      </c>
      <c r="R611" s="11" t="s">
        <v>596</v>
      </c>
      <c r="S611" s="11" t="s">
        <v>35</v>
      </c>
      <c r="T611" s="158">
        <v>3.05</v>
      </c>
      <c r="U611" s="11" t="s">
        <v>2720</v>
      </c>
      <c r="V611" s="174">
        <v>4.6899999999999997E-2</v>
      </c>
      <c r="W611" s="189">
        <v>7.7439999999999995E-2</v>
      </c>
      <c r="X611" s="4" t="s">
        <v>602</v>
      </c>
      <c r="Y611" s="4" t="s">
        <v>312</v>
      </c>
      <c r="Z611" s="158">
        <v>2573708.21</v>
      </c>
      <c r="AA611" s="158">
        <v>1</v>
      </c>
      <c r="AB611" s="158">
        <v>99.55</v>
      </c>
      <c r="AD611" s="158">
        <v>2562.127</v>
      </c>
      <c r="AG611" s="11" t="s">
        <v>37</v>
      </c>
      <c r="AH611" s="189">
        <v>1.8309999999999999E-3</v>
      </c>
      <c r="AI611" s="189">
        <v>8.3601108298295701E-3</v>
      </c>
      <c r="AJ611" s="189">
        <v>1.3930102350060299E-3</v>
      </c>
    </row>
    <row r="612" spans="1:36">
      <c r="A612" s="11" t="s">
        <v>256</v>
      </c>
      <c r="B612" s="11">
        <v>7205</v>
      </c>
      <c r="C612" s="11" t="s">
        <v>2725</v>
      </c>
      <c r="D612" s="11" t="s">
        <v>2726</v>
      </c>
      <c r="E612" s="4" t="s">
        <v>1552</v>
      </c>
      <c r="F612" s="11" t="s">
        <v>2727</v>
      </c>
      <c r="G612" s="11" t="s">
        <v>2728</v>
      </c>
      <c r="H612" s="11" t="s">
        <v>511</v>
      </c>
      <c r="I612" s="11" t="s">
        <v>1154</v>
      </c>
      <c r="J612" s="11" t="s">
        <v>31</v>
      </c>
      <c r="K612" s="11" t="s">
        <v>31</v>
      </c>
      <c r="L612" s="11" t="s">
        <v>517</v>
      </c>
      <c r="M612" s="11" t="s">
        <v>32</v>
      </c>
      <c r="N612" s="11" t="s">
        <v>634</v>
      </c>
      <c r="O612" s="11" t="s">
        <v>312</v>
      </c>
      <c r="P612" s="11" t="s">
        <v>357</v>
      </c>
      <c r="Q612" s="11" t="s">
        <v>358</v>
      </c>
      <c r="R612" s="11" t="s">
        <v>596</v>
      </c>
      <c r="S612" s="11" t="s">
        <v>35</v>
      </c>
      <c r="T612" s="158">
        <v>0.41599999999999998</v>
      </c>
      <c r="U612" s="11" t="s">
        <v>2608</v>
      </c>
      <c r="V612" s="174">
        <v>5.45E-2</v>
      </c>
      <c r="W612" s="189">
        <v>4.7469999999999998E-2</v>
      </c>
      <c r="X612" s="4" t="s">
        <v>602</v>
      </c>
      <c r="Y612" s="4" t="s">
        <v>312</v>
      </c>
      <c r="Z612" s="158">
        <v>355541.36</v>
      </c>
      <c r="AA612" s="158">
        <v>1</v>
      </c>
      <c r="AB612" s="158">
        <v>100.76</v>
      </c>
      <c r="AD612" s="158">
        <v>358.24299999999999</v>
      </c>
      <c r="AG612" s="11" t="s">
        <v>37</v>
      </c>
      <c r="AH612" s="189">
        <v>2.3019999999999998E-3</v>
      </c>
      <c r="AI612" s="189">
        <v>1.1689333538224601E-3</v>
      </c>
      <c r="AJ612" s="189">
        <v>1.9477446639876701E-4</v>
      </c>
    </row>
    <row r="613" spans="1:36">
      <c r="A613" s="11" t="s">
        <v>256</v>
      </c>
      <c r="B613" s="11">
        <v>7205</v>
      </c>
      <c r="C613" s="11" t="s">
        <v>2729</v>
      </c>
      <c r="D613" s="11" t="s">
        <v>2730</v>
      </c>
      <c r="E613" s="4" t="s">
        <v>505</v>
      </c>
      <c r="F613" s="11" t="s">
        <v>2731</v>
      </c>
      <c r="G613" s="11" t="s">
        <v>2732</v>
      </c>
      <c r="H613" s="11" t="s">
        <v>511</v>
      </c>
      <c r="I613" s="11" t="s">
        <v>364</v>
      </c>
      <c r="J613" s="11" t="s">
        <v>154</v>
      </c>
      <c r="K613" s="11" t="s">
        <v>155</v>
      </c>
      <c r="L613" s="11" t="s">
        <v>517</v>
      </c>
      <c r="M613" s="11" t="s">
        <v>342</v>
      </c>
      <c r="N613" s="11" t="s">
        <v>2733</v>
      </c>
      <c r="O613" s="11" t="s">
        <v>312</v>
      </c>
      <c r="P613" s="11" t="s">
        <v>2734</v>
      </c>
      <c r="Q613" s="11" t="s">
        <v>621</v>
      </c>
      <c r="R613" s="11" t="s">
        <v>596</v>
      </c>
      <c r="S613" s="11" t="s">
        <v>159</v>
      </c>
      <c r="T613" s="158">
        <v>3.25</v>
      </c>
      <c r="U613" s="11" t="s">
        <v>2735</v>
      </c>
      <c r="V613" s="174">
        <v>7.9500000000000001E-2</v>
      </c>
      <c r="W613" s="189">
        <v>6.8110000000000004E-2</v>
      </c>
      <c r="X613" s="4" t="s">
        <v>602</v>
      </c>
      <c r="Y613" s="4" t="s">
        <v>312</v>
      </c>
      <c r="Z613" s="158">
        <v>185000</v>
      </c>
      <c r="AA613" s="158">
        <v>3.7589999999999999</v>
      </c>
      <c r="AB613" s="158">
        <v>103.755</v>
      </c>
      <c r="AD613" s="158">
        <v>721.53099999999995</v>
      </c>
      <c r="AG613" s="11" t="s">
        <v>37</v>
      </c>
      <c r="AH613" s="189">
        <v>0</v>
      </c>
      <c r="AI613" s="189">
        <v>2.35432435572325E-3</v>
      </c>
      <c r="AJ613" s="189">
        <v>3.9229120173198801E-4</v>
      </c>
    </row>
    <row r="614" spans="1:36">
      <c r="A614" s="11" t="s">
        <v>256</v>
      </c>
      <c r="B614" s="11">
        <v>7205</v>
      </c>
      <c r="C614" s="11" t="s">
        <v>2729</v>
      </c>
      <c r="D614" s="11" t="s">
        <v>2730</v>
      </c>
      <c r="E614" s="4" t="s">
        <v>505</v>
      </c>
      <c r="F614" s="11" t="s">
        <v>2736</v>
      </c>
      <c r="G614" s="11" t="s">
        <v>2737</v>
      </c>
      <c r="H614" s="11" t="s">
        <v>511</v>
      </c>
      <c r="I614" s="11" t="s">
        <v>364</v>
      </c>
      <c r="J614" s="11" t="s">
        <v>154</v>
      </c>
      <c r="K614" s="11" t="s">
        <v>155</v>
      </c>
      <c r="L614" s="11" t="s">
        <v>517</v>
      </c>
      <c r="M614" s="11" t="s">
        <v>342</v>
      </c>
      <c r="N614" s="11" t="s">
        <v>2733</v>
      </c>
      <c r="O614" s="11" t="s">
        <v>312</v>
      </c>
      <c r="P614" s="11" t="s">
        <v>2734</v>
      </c>
      <c r="Q614" s="11" t="s">
        <v>621</v>
      </c>
      <c r="R614" s="11" t="s">
        <v>596</v>
      </c>
      <c r="S614" s="11" t="s">
        <v>159</v>
      </c>
      <c r="T614" s="158">
        <v>5.26</v>
      </c>
      <c r="U614" s="11" t="s">
        <v>2738</v>
      </c>
      <c r="V614" s="174">
        <v>6.6500000000000004E-2</v>
      </c>
      <c r="W614" s="189">
        <v>6.8970000000000004E-2</v>
      </c>
      <c r="X614" s="4" t="s">
        <v>602</v>
      </c>
      <c r="Y614" s="4" t="s">
        <v>312</v>
      </c>
      <c r="Z614" s="158">
        <v>73000</v>
      </c>
      <c r="AA614" s="158">
        <v>3.7589999999999999</v>
      </c>
      <c r="AB614" s="158">
        <v>98.322999999999993</v>
      </c>
      <c r="AD614" s="158">
        <v>269.80500000000001</v>
      </c>
      <c r="AG614" s="11" t="s">
        <v>37</v>
      </c>
      <c r="AH614" s="189">
        <v>0</v>
      </c>
      <c r="AI614" s="189">
        <v>8.8036198075537597E-4</v>
      </c>
      <c r="AJ614" s="189">
        <v>1.4669102774650901E-4</v>
      </c>
    </row>
    <row r="615" spans="1:36">
      <c r="A615" s="11" t="s">
        <v>256</v>
      </c>
      <c r="B615" s="11">
        <v>7205</v>
      </c>
      <c r="C615" s="11" t="s">
        <v>2739</v>
      </c>
      <c r="D615" s="11" t="s">
        <v>2740</v>
      </c>
      <c r="E615" s="4" t="s">
        <v>505</v>
      </c>
      <c r="F615" s="11" t="s">
        <v>2741</v>
      </c>
      <c r="G615" s="11" t="s">
        <v>2742</v>
      </c>
      <c r="H615" s="11" t="s">
        <v>511</v>
      </c>
      <c r="I615" s="11" t="s">
        <v>364</v>
      </c>
      <c r="J615" s="11" t="s">
        <v>154</v>
      </c>
      <c r="K615" s="11" t="s">
        <v>486</v>
      </c>
      <c r="L615" s="11" t="s">
        <v>517</v>
      </c>
      <c r="M615" s="11" t="s">
        <v>156</v>
      </c>
      <c r="N615" s="11" t="s">
        <v>678</v>
      </c>
      <c r="O615" s="11" t="s">
        <v>312</v>
      </c>
      <c r="P615" s="11" t="s">
        <v>2743</v>
      </c>
      <c r="Q615" s="11" t="s">
        <v>158</v>
      </c>
      <c r="R615" s="11" t="s">
        <v>596</v>
      </c>
      <c r="S615" s="11" t="s">
        <v>159</v>
      </c>
      <c r="T615" s="158">
        <v>6.17</v>
      </c>
      <c r="U615" s="11" t="s">
        <v>2744</v>
      </c>
      <c r="V615" s="174">
        <v>7.3779999999999998E-2</v>
      </c>
      <c r="W615" s="189">
        <v>6.1440000000000002E-2</v>
      </c>
      <c r="X615" s="4" t="s">
        <v>602</v>
      </c>
      <c r="Y615" s="4" t="s">
        <v>312</v>
      </c>
      <c r="Z615" s="158">
        <v>230000</v>
      </c>
      <c r="AA615" s="158">
        <v>3.7589999999999999</v>
      </c>
      <c r="AB615" s="158">
        <v>110.13800000000001</v>
      </c>
      <c r="AD615" s="158">
        <v>952.21799999999996</v>
      </c>
      <c r="AG615" s="11" t="s">
        <v>37</v>
      </c>
      <c r="AH615" s="189">
        <v>3.8299999999999999E-4</v>
      </c>
      <c r="AI615" s="189">
        <v>3.10704685421825E-3</v>
      </c>
      <c r="AJ615" s="189">
        <v>5.17714197415434E-4</v>
      </c>
    </row>
    <row r="616" spans="1:36">
      <c r="A616" s="11" t="s">
        <v>256</v>
      </c>
      <c r="B616" s="11">
        <v>7205</v>
      </c>
      <c r="C616" s="11" t="s">
        <v>2745</v>
      </c>
      <c r="D616" s="11" t="s">
        <v>2746</v>
      </c>
      <c r="E616" s="4" t="s">
        <v>505</v>
      </c>
      <c r="F616" s="11" t="s">
        <v>2747</v>
      </c>
      <c r="G616" s="11" t="s">
        <v>2748</v>
      </c>
      <c r="H616" s="11" t="s">
        <v>511</v>
      </c>
      <c r="I616" s="11" t="s">
        <v>364</v>
      </c>
      <c r="J616" s="11" t="s">
        <v>154</v>
      </c>
      <c r="K616" s="11" t="s">
        <v>486</v>
      </c>
      <c r="L616" s="11" t="s">
        <v>517</v>
      </c>
      <c r="M616" s="11" t="s">
        <v>342</v>
      </c>
      <c r="N616" s="11" t="s">
        <v>757</v>
      </c>
      <c r="O616" s="11" t="s">
        <v>312</v>
      </c>
      <c r="P616" s="11" t="s">
        <v>2749</v>
      </c>
      <c r="Q616" s="11" t="s">
        <v>158</v>
      </c>
      <c r="R616" s="11" t="s">
        <v>596</v>
      </c>
      <c r="S616" s="11" t="s">
        <v>169</v>
      </c>
      <c r="T616" s="158">
        <v>1.1399999999999999</v>
      </c>
      <c r="U616" s="11" t="s">
        <v>2750</v>
      </c>
      <c r="V616" s="174">
        <v>4.2500000000000003E-2</v>
      </c>
      <c r="W616" s="189">
        <v>7.918E-2</v>
      </c>
      <c r="X616" s="4" t="s">
        <v>602</v>
      </c>
      <c r="Y616" s="4" t="s">
        <v>312</v>
      </c>
      <c r="Z616" s="158">
        <v>155000</v>
      </c>
      <c r="AA616" s="158">
        <v>4.0199999999999996</v>
      </c>
      <c r="AB616" s="158">
        <v>99.793000000000006</v>
      </c>
      <c r="AD616" s="158">
        <v>621.83900000000006</v>
      </c>
      <c r="AG616" s="11" t="s">
        <v>37</v>
      </c>
      <c r="AH616" s="189">
        <v>0</v>
      </c>
      <c r="AI616" s="189">
        <v>2.0290352014444798E-3</v>
      </c>
      <c r="AJ616" s="189">
        <v>3.3808963306019901E-4</v>
      </c>
    </row>
    <row r="617" spans="1:36">
      <c r="A617" s="11" t="s">
        <v>256</v>
      </c>
      <c r="B617" s="11">
        <v>7205</v>
      </c>
      <c r="C617" s="11" t="s">
        <v>2751</v>
      </c>
      <c r="D617" s="11" t="s">
        <v>2752</v>
      </c>
      <c r="E617" s="4" t="s">
        <v>505</v>
      </c>
      <c r="F617" s="11" t="s">
        <v>2753</v>
      </c>
      <c r="G617" s="11" t="s">
        <v>2754</v>
      </c>
      <c r="H617" s="11" t="s">
        <v>511</v>
      </c>
      <c r="I617" s="11" t="s">
        <v>364</v>
      </c>
      <c r="J617" s="11" t="s">
        <v>154</v>
      </c>
      <c r="K617" s="11" t="s">
        <v>155</v>
      </c>
      <c r="L617" s="11" t="s">
        <v>517</v>
      </c>
      <c r="M617" s="11" t="s">
        <v>342</v>
      </c>
      <c r="N617" s="11" t="s">
        <v>738</v>
      </c>
      <c r="O617" s="11" t="s">
        <v>312</v>
      </c>
      <c r="P617" s="11" t="s">
        <v>2418</v>
      </c>
      <c r="Q617" s="11" t="s">
        <v>158</v>
      </c>
      <c r="R617" s="11" t="s">
        <v>596</v>
      </c>
      <c r="S617" s="11" t="s">
        <v>159</v>
      </c>
      <c r="T617" s="158">
        <v>3.56</v>
      </c>
      <c r="U617" s="11" t="s">
        <v>2175</v>
      </c>
      <c r="V617" s="174">
        <v>4.5999999999999999E-2</v>
      </c>
      <c r="W617" s="189">
        <v>4.9149999999999999E-2</v>
      </c>
      <c r="X617" s="4" t="s">
        <v>602</v>
      </c>
      <c r="Y617" s="4" t="s">
        <v>312</v>
      </c>
      <c r="Z617" s="158">
        <v>70000</v>
      </c>
      <c r="AA617" s="158">
        <v>3.7589999999999999</v>
      </c>
      <c r="AB617" s="158">
        <v>100.154</v>
      </c>
      <c r="AD617" s="158">
        <v>263.53500000000003</v>
      </c>
      <c r="AG617" s="11" t="s">
        <v>37</v>
      </c>
      <c r="AH617" s="189">
        <v>4.6999999999999997E-5</v>
      </c>
      <c r="AI617" s="189">
        <v>8.5990240481034904E-4</v>
      </c>
      <c r="AJ617" s="189">
        <v>1.43281934341477E-4</v>
      </c>
    </row>
    <row r="618" spans="1:36">
      <c r="A618" s="11" t="s">
        <v>256</v>
      </c>
      <c r="B618" s="11">
        <v>7205</v>
      </c>
      <c r="C618" s="11" t="s">
        <v>2755</v>
      </c>
      <c r="D618" s="11" t="s">
        <v>2756</v>
      </c>
      <c r="E618" s="4" t="s">
        <v>505</v>
      </c>
      <c r="F618" s="11" t="s">
        <v>2757</v>
      </c>
      <c r="G618" s="11" t="s">
        <v>2758</v>
      </c>
      <c r="H618" s="11" t="s">
        <v>511</v>
      </c>
      <c r="I618" s="11" t="s">
        <v>364</v>
      </c>
      <c r="J618" s="11" t="s">
        <v>154</v>
      </c>
      <c r="K618" s="11" t="s">
        <v>155</v>
      </c>
      <c r="L618" s="11" t="s">
        <v>517</v>
      </c>
      <c r="M618" s="11" t="s">
        <v>342</v>
      </c>
      <c r="N618" s="11" t="s">
        <v>738</v>
      </c>
      <c r="O618" s="11" t="s">
        <v>312</v>
      </c>
      <c r="P618" s="11" t="s">
        <v>2327</v>
      </c>
      <c r="Q618" s="11" t="s">
        <v>621</v>
      </c>
      <c r="R618" s="11" t="s">
        <v>596</v>
      </c>
      <c r="S618" s="11" t="s">
        <v>159</v>
      </c>
      <c r="T618" s="158">
        <v>0.78</v>
      </c>
      <c r="U618" s="11" t="s">
        <v>2759</v>
      </c>
      <c r="V618" s="174">
        <v>3.3500000000000002E-2</v>
      </c>
      <c r="W618" s="189">
        <v>5.5079999999999997E-2</v>
      </c>
      <c r="X618" s="4" t="s">
        <v>602</v>
      </c>
      <c r="Y618" s="4" t="s">
        <v>312</v>
      </c>
      <c r="Z618" s="158">
        <v>150000</v>
      </c>
      <c r="AA618" s="158">
        <v>3.7589999999999999</v>
      </c>
      <c r="AB618" s="158">
        <v>99.387</v>
      </c>
      <c r="AD618" s="158">
        <v>560.39499999999998</v>
      </c>
      <c r="AG618" s="11" t="s">
        <v>37</v>
      </c>
      <c r="AH618" s="189">
        <v>0</v>
      </c>
      <c r="AI618" s="189">
        <v>1.82854682265621E-3</v>
      </c>
      <c r="AJ618" s="189">
        <v>3.0468309463784702E-4</v>
      </c>
    </row>
    <row r="619" spans="1:36">
      <c r="A619" s="11" t="s">
        <v>256</v>
      </c>
      <c r="B619" s="11">
        <v>7205</v>
      </c>
      <c r="C619" s="11" t="s">
        <v>2916</v>
      </c>
      <c r="D619" s="11" t="s">
        <v>2917</v>
      </c>
      <c r="E619" s="4" t="s">
        <v>505</v>
      </c>
      <c r="F619" s="11" t="s">
        <v>2918</v>
      </c>
      <c r="G619" s="11" t="s">
        <v>2919</v>
      </c>
      <c r="H619" s="11" t="s">
        <v>511</v>
      </c>
      <c r="I619" s="11" t="s">
        <v>364</v>
      </c>
      <c r="J619" s="11" t="s">
        <v>154</v>
      </c>
      <c r="K619" s="11" t="s">
        <v>155</v>
      </c>
      <c r="L619" s="11" t="s">
        <v>517</v>
      </c>
      <c r="M619" s="11" t="s">
        <v>342</v>
      </c>
      <c r="N619" s="11" t="s">
        <v>735</v>
      </c>
      <c r="O619" s="11" t="s">
        <v>312</v>
      </c>
      <c r="P619" s="11" t="s">
        <v>1556</v>
      </c>
      <c r="Q619" s="11" t="s">
        <v>158</v>
      </c>
      <c r="R619" s="11" t="s">
        <v>596</v>
      </c>
      <c r="S619" s="11" t="s">
        <v>159</v>
      </c>
      <c r="T619" s="158">
        <v>0.67</v>
      </c>
      <c r="U619" s="11" t="s">
        <v>2920</v>
      </c>
      <c r="V619" s="174">
        <v>2.5000000000000001E-2</v>
      </c>
      <c r="W619" s="189">
        <v>5.2589999999999998E-2</v>
      </c>
      <c r="X619" s="4" t="s">
        <v>602</v>
      </c>
      <c r="Y619" s="4" t="s">
        <v>312</v>
      </c>
      <c r="Z619" s="158">
        <v>170000</v>
      </c>
      <c r="AA619" s="158">
        <v>3.7589999999999999</v>
      </c>
      <c r="AB619" s="158">
        <v>99.27</v>
      </c>
      <c r="AD619" s="158">
        <v>634.36500000000001</v>
      </c>
      <c r="AG619" s="11" t="s">
        <v>37</v>
      </c>
      <c r="AH619" s="189">
        <v>1.13E-4</v>
      </c>
      <c r="AI619" s="189">
        <v>2.0699076734088202E-3</v>
      </c>
      <c r="AJ619" s="189">
        <v>3.4490004178984999E-4</v>
      </c>
    </row>
    <row r="620" spans="1:36">
      <c r="A620" s="11" t="s">
        <v>256</v>
      </c>
      <c r="B620" s="11">
        <v>7205</v>
      </c>
      <c r="C620" s="11" t="s">
        <v>2760</v>
      </c>
      <c r="D620" s="11" t="s">
        <v>2761</v>
      </c>
      <c r="E620" s="4" t="s">
        <v>505</v>
      </c>
      <c r="F620" s="11" t="s">
        <v>2762</v>
      </c>
      <c r="G620" s="11" t="s">
        <v>2763</v>
      </c>
      <c r="H620" s="11" t="s">
        <v>511</v>
      </c>
      <c r="I620" s="11" t="s">
        <v>364</v>
      </c>
      <c r="J620" s="11" t="s">
        <v>154</v>
      </c>
      <c r="K620" s="11" t="s">
        <v>155</v>
      </c>
      <c r="L620" s="11" t="s">
        <v>517</v>
      </c>
      <c r="M620" s="11" t="s">
        <v>342</v>
      </c>
      <c r="N620" s="11" t="s">
        <v>704</v>
      </c>
      <c r="O620" s="11" t="s">
        <v>312</v>
      </c>
      <c r="P620" s="11" t="s">
        <v>168</v>
      </c>
      <c r="Q620" s="11" t="s">
        <v>158</v>
      </c>
      <c r="R620" s="11" t="s">
        <v>596</v>
      </c>
      <c r="S620" s="11" t="s">
        <v>159</v>
      </c>
      <c r="T620" s="158">
        <v>3.12</v>
      </c>
      <c r="U620" s="11" t="s">
        <v>2764</v>
      </c>
      <c r="V620" s="174">
        <v>4.5499999999999999E-2</v>
      </c>
      <c r="W620" s="189">
        <v>4.9110000000000001E-2</v>
      </c>
      <c r="X620" s="4" t="s">
        <v>602</v>
      </c>
      <c r="Y620" s="4" t="s">
        <v>312</v>
      </c>
      <c r="Z620" s="158">
        <v>297000</v>
      </c>
      <c r="AA620" s="158">
        <v>3.7589999999999999</v>
      </c>
      <c r="AB620" s="158">
        <v>99.274000000000001</v>
      </c>
      <c r="AD620" s="158">
        <v>1108.318</v>
      </c>
      <c r="AG620" s="11" t="s">
        <v>37</v>
      </c>
      <c r="AH620" s="189">
        <v>0</v>
      </c>
      <c r="AI620" s="189">
        <v>3.6163941555191299E-3</v>
      </c>
      <c r="AJ620" s="189">
        <v>6.0258460384033199E-4</v>
      </c>
    </row>
    <row r="621" spans="1:36">
      <c r="A621" s="11" t="s">
        <v>256</v>
      </c>
      <c r="B621" s="11">
        <v>7205</v>
      </c>
      <c r="C621" s="11" t="s">
        <v>2760</v>
      </c>
      <c r="D621" s="11" t="s">
        <v>2761</v>
      </c>
      <c r="E621" s="4" t="s">
        <v>505</v>
      </c>
      <c r="F621" s="11" t="s">
        <v>2921</v>
      </c>
      <c r="G621" s="11" t="s">
        <v>2922</v>
      </c>
      <c r="H621" s="11" t="s">
        <v>511</v>
      </c>
      <c r="I621" s="11" t="s">
        <v>364</v>
      </c>
      <c r="J621" s="11" t="s">
        <v>154</v>
      </c>
      <c r="K621" s="11" t="s">
        <v>155</v>
      </c>
      <c r="L621" s="11" t="s">
        <v>517</v>
      </c>
      <c r="M621" s="11" t="s">
        <v>156</v>
      </c>
      <c r="N621" s="11" t="s">
        <v>704</v>
      </c>
      <c r="O621" s="11" t="s">
        <v>312</v>
      </c>
      <c r="P621" s="11" t="s">
        <v>168</v>
      </c>
      <c r="Q621" s="11" t="s">
        <v>158</v>
      </c>
      <c r="R621" s="11" t="s">
        <v>596</v>
      </c>
      <c r="S621" s="11" t="s">
        <v>159</v>
      </c>
      <c r="T621" s="158">
        <v>0.49</v>
      </c>
      <c r="U621" s="11" t="s">
        <v>160</v>
      </c>
      <c r="V621" s="174">
        <v>3.7999999999999999E-2</v>
      </c>
      <c r="W621" s="189">
        <v>5.3600000000000002E-2</v>
      </c>
      <c r="X621" s="4" t="s">
        <v>602</v>
      </c>
      <c r="Y621" s="4" t="s">
        <v>312</v>
      </c>
      <c r="Z621" s="158">
        <v>850000</v>
      </c>
      <c r="AA621" s="158">
        <v>3.7589999999999999</v>
      </c>
      <c r="AB621" s="158">
        <v>99.561999999999998</v>
      </c>
      <c r="AC621" s="158">
        <v>14.275</v>
      </c>
      <c r="AD621" s="158">
        <v>3234.8130000000001</v>
      </c>
      <c r="AG621" s="11" t="s">
        <v>37</v>
      </c>
      <c r="AH621" s="189">
        <v>6.8000000000000005E-4</v>
      </c>
      <c r="AI621" s="189">
        <v>1.05550584872025E-2</v>
      </c>
      <c r="AJ621" s="189">
        <v>1.75874516535088E-3</v>
      </c>
    </row>
    <row r="622" spans="1:36">
      <c r="A622" s="11" t="s">
        <v>256</v>
      </c>
      <c r="B622" s="11">
        <v>7205</v>
      </c>
      <c r="C622" s="11" t="s">
        <v>2765</v>
      </c>
      <c r="D622" s="11" t="s">
        <v>2766</v>
      </c>
      <c r="E622" s="4" t="s">
        <v>505</v>
      </c>
      <c r="F622" s="11" t="s">
        <v>2767</v>
      </c>
      <c r="G622" s="11" t="s">
        <v>2768</v>
      </c>
      <c r="H622" s="11" t="s">
        <v>511</v>
      </c>
      <c r="I622" s="11" t="s">
        <v>364</v>
      </c>
      <c r="J622" s="11" t="s">
        <v>154</v>
      </c>
      <c r="K622" s="11" t="s">
        <v>155</v>
      </c>
      <c r="L622" s="11" t="s">
        <v>517</v>
      </c>
      <c r="M622" s="11" t="s">
        <v>342</v>
      </c>
      <c r="N622" s="11" t="s">
        <v>726</v>
      </c>
      <c r="O622" s="11" t="s">
        <v>312</v>
      </c>
      <c r="P622" s="11" t="s">
        <v>2769</v>
      </c>
      <c r="Q622" s="11" t="s">
        <v>158</v>
      </c>
      <c r="R622" s="11" t="s">
        <v>596</v>
      </c>
      <c r="S622" s="11" t="s">
        <v>159</v>
      </c>
      <c r="T622" s="158">
        <v>3.97</v>
      </c>
      <c r="U622" s="11" t="s">
        <v>2596</v>
      </c>
      <c r="V622" s="174">
        <v>6.9000000000000006E-2</v>
      </c>
      <c r="W622" s="189">
        <v>6.7960000000000007E-2</v>
      </c>
      <c r="X622" s="4" t="s">
        <v>602</v>
      </c>
      <c r="Y622" s="4" t="s">
        <v>312</v>
      </c>
      <c r="Z622" s="158">
        <v>285000</v>
      </c>
      <c r="AA622" s="158">
        <v>3.7589999999999999</v>
      </c>
      <c r="AB622" s="158">
        <v>102.36</v>
      </c>
      <c r="AD622" s="158">
        <v>1096.5930000000001</v>
      </c>
      <c r="AG622" s="11" t="s">
        <v>37</v>
      </c>
      <c r="AH622" s="189">
        <v>4.3800000000000002E-4</v>
      </c>
      <c r="AI622" s="189">
        <v>3.5781356759545802E-3</v>
      </c>
      <c r="AJ622" s="189">
        <v>5.9620975371047099E-4</v>
      </c>
    </row>
    <row r="623" spans="1:36">
      <c r="A623" s="11" t="s">
        <v>256</v>
      </c>
      <c r="B623" s="11">
        <v>7205</v>
      </c>
      <c r="C623" s="11" t="s">
        <v>2770</v>
      </c>
      <c r="D623" s="11" t="s">
        <v>2771</v>
      </c>
      <c r="E623" s="4" t="s">
        <v>505</v>
      </c>
      <c r="F623" s="11" t="s">
        <v>2772</v>
      </c>
      <c r="G623" s="11" t="s">
        <v>2773</v>
      </c>
      <c r="H623" s="11" t="s">
        <v>511</v>
      </c>
      <c r="I623" s="11" t="s">
        <v>364</v>
      </c>
      <c r="J623" s="11" t="s">
        <v>154</v>
      </c>
      <c r="K623" s="11" t="s">
        <v>155</v>
      </c>
      <c r="L623" s="11" t="s">
        <v>517</v>
      </c>
      <c r="M623" s="11" t="s">
        <v>342</v>
      </c>
      <c r="N623" s="11" t="s">
        <v>2774</v>
      </c>
      <c r="O623" s="11" t="s">
        <v>312</v>
      </c>
      <c r="P623" s="11" t="s">
        <v>2734</v>
      </c>
      <c r="Q623" s="11" t="s">
        <v>621</v>
      </c>
      <c r="R623" s="11" t="s">
        <v>596</v>
      </c>
      <c r="S623" s="11" t="s">
        <v>159</v>
      </c>
      <c r="T623" s="158">
        <v>7.3</v>
      </c>
      <c r="U623" s="11" t="s">
        <v>2775</v>
      </c>
      <c r="V623" s="174">
        <v>5.8749999999999997E-2</v>
      </c>
      <c r="W623" s="189">
        <v>6.2039999999999998E-2</v>
      </c>
      <c r="X623" s="4" t="s">
        <v>602</v>
      </c>
      <c r="Y623" s="4" t="s">
        <v>312</v>
      </c>
      <c r="Z623" s="158">
        <v>290000</v>
      </c>
      <c r="AA623" s="158">
        <v>3.7589999999999999</v>
      </c>
      <c r="AB623" s="158">
        <v>100.241</v>
      </c>
      <c r="AD623" s="158">
        <v>1092.732</v>
      </c>
      <c r="AG623" s="11" t="s">
        <v>37</v>
      </c>
      <c r="AH623" s="189">
        <v>5.8E-4</v>
      </c>
      <c r="AI623" s="189">
        <v>3.56553949283045E-3</v>
      </c>
      <c r="AJ623" s="189">
        <v>5.9411090450008596E-4</v>
      </c>
    </row>
    <row r="624" spans="1:36">
      <c r="A624" s="11" t="s">
        <v>256</v>
      </c>
      <c r="B624" s="11">
        <v>7205</v>
      </c>
      <c r="C624" s="11" t="s">
        <v>2745</v>
      </c>
      <c r="D624" s="11" t="s">
        <v>2746</v>
      </c>
      <c r="E624" s="4" t="s">
        <v>505</v>
      </c>
      <c r="F624" s="11" t="s">
        <v>2923</v>
      </c>
      <c r="G624" s="11" t="s">
        <v>2924</v>
      </c>
      <c r="H624" s="11" t="s">
        <v>511</v>
      </c>
      <c r="I624" s="11" t="s">
        <v>364</v>
      </c>
      <c r="J624" s="11" t="s">
        <v>154</v>
      </c>
      <c r="K624" s="11" t="s">
        <v>468</v>
      </c>
      <c r="L624" s="11" t="s">
        <v>517</v>
      </c>
      <c r="M624" s="11" t="s">
        <v>156</v>
      </c>
      <c r="N624" s="11" t="s">
        <v>757</v>
      </c>
      <c r="O624" s="11" t="s">
        <v>312</v>
      </c>
      <c r="P624" s="11" t="s">
        <v>2749</v>
      </c>
      <c r="Q624" s="11" t="s">
        <v>158</v>
      </c>
      <c r="R624" s="11" t="s">
        <v>596</v>
      </c>
      <c r="S624" s="11" t="s">
        <v>169</v>
      </c>
      <c r="T624" s="158">
        <v>2.86</v>
      </c>
      <c r="U624" s="11" t="s">
        <v>2925</v>
      </c>
      <c r="V624" s="174">
        <v>2.6249999999999999E-2</v>
      </c>
      <c r="W624" s="189">
        <v>7.9949999999999993E-2</v>
      </c>
      <c r="X624" s="4" t="s">
        <v>602</v>
      </c>
      <c r="Y624" s="4" t="s">
        <v>312</v>
      </c>
      <c r="Z624" s="158">
        <v>240000</v>
      </c>
      <c r="AA624" s="158">
        <v>4.0199999999999996</v>
      </c>
      <c r="AB624" s="158">
        <v>86.938999999999993</v>
      </c>
      <c r="AD624" s="158">
        <v>838.827</v>
      </c>
      <c r="AG624" s="11" t="s">
        <v>37</v>
      </c>
      <c r="AH624" s="189">
        <v>6.8599999999999998E-4</v>
      </c>
      <c r="AI624" s="189">
        <v>2.7370568451249599E-3</v>
      </c>
      <c r="AJ624" s="189">
        <v>4.5606431262228901E-4</v>
      </c>
    </row>
    <row r="625" spans="1:36">
      <c r="A625" s="11" t="s">
        <v>256</v>
      </c>
      <c r="B625" s="11">
        <v>7205</v>
      </c>
      <c r="C625" s="11" t="s">
        <v>2926</v>
      </c>
      <c r="D625" s="11" t="s">
        <v>2927</v>
      </c>
      <c r="E625" s="4" t="s">
        <v>505</v>
      </c>
      <c r="F625" s="11" t="s">
        <v>2928</v>
      </c>
      <c r="G625" s="11" t="s">
        <v>2929</v>
      </c>
      <c r="H625" s="11" t="s">
        <v>511</v>
      </c>
      <c r="I625" s="11" t="s">
        <v>364</v>
      </c>
      <c r="J625" s="11" t="s">
        <v>154</v>
      </c>
      <c r="K625" s="11" t="s">
        <v>155</v>
      </c>
      <c r="L625" s="11" t="s">
        <v>517</v>
      </c>
      <c r="M625" s="11" t="s">
        <v>342</v>
      </c>
      <c r="N625" s="11" t="s">
        <v>737</v>
      </c>
      <c r="O625" s="11" t="s">
        <v>312</v>
      </c>
      <c r="P625" s="11" t="s">
        <v>2769</v>
      </c>
      <c r="Q625" s="11" t="s">
        <v>621</v>
      </c>
      <c r="R625" s="11" t="s">
        <v>596</v>
      </c>
      <c r="S625" s="11" t="s">
        <v>159</v>
      </c>
      <c r="T625" s="158">
        <v>5.95</v>
      </c>
      <c r="U625" s="11" t="s">
        <v>194</v>
      </c>
      <c r="V625" s="174">
        <v>2.4500000000000001E-2</v>
      </c>
      <c r="W625" s="189">
        <v>5.5120000000000002E-2</v>
      </c>
      <c r="X625" s="4" t="s">
        <v>602</v>
      </c>
      <c r="Y625" s="4" t="s">
        <v>312</v>
      </c>
      <c r="Z625" s="158">
        <v>79000</v>
      </c>
      <c r="AA625" s="158">
        <v>3.7589999999999999</v>
      </c>
      <c r="AB625" s="158">
        <v>85.105000000000004</v>
      </c>
      <c r="AD625" s="158">
        <v>252.727</v>
      </c>
      <c r="AG625" s="11" t="s">
        <v>37</v>
      </c>
      <c r="AH625" s="189">
        <v>2.9E-5</v>
      </c>
      <c r="AI625" s="189">
        <v>8.2463865346700505E-4</v>
      </c>
      <c r="AJ625" s="189">
        <v>1.37406083225878E-4</v>
      </c>
    </row>
    <row r="626" spans="1:36">
      <c r="A626" s="11" t="s">
        <v>256</v>
      </c>
      <c r="B626" s="11">
        <v>7205</v>
      </c>
      <c r="C626" s="11" t="s">
        <v>362</v>
      </c>
      <c r="D626" s="11" t="s">
        <v>1802</v>
      </c>
      <c r="E626" s="4" t="s">
        <v>1552</v>
      </c>
      <c r="F626" s="11" t="s">
        <v>2930</v>
      </c>
      <c r="G626" s="11" t="s">
        <v>2931</v>
      </c>
      <c r="H626" s="11" t="s">
        <v>511</v>
      </c>
      <c r="I626" s="11" t="s">
        <v>364</v>
      </c>
      <c r="J626" s="11" t="s">
        <v>154</v>
      </c>
      <c r="K626" s="11" t="s">
        <v>2114</v>
      </c>
      <c r="L626" s="11" t="s">
        <v>517</v>
      </c>
      <c r="M626" s="11" t="s">
        <v>342</v>
      </c>
      <c r="N626" s="11" t="s">
        <v>725</v>
      </c>
      <c r="O626" s="11" t="s">
        <v>312</v>
      </c>
      <c r="P626" s="11" t="s">
        <v>2327</v>
      </c>
      <c r="Q626" s="11" t="s">
        <v>621</v>
      </c>
      <c r="R626" s="11" t="s">
        <v>596</v>
      </c>
      <c r="S626" s="11" t="s">
        <v>159</v>
      </c>
      <c r="T626" s="158">
        <v>2.82</v>
      </c>
      <c r="U626" s="11" t="s">
        <v>2932</v>
      </c>
      <c r="V626" s="174">
        <v>5.1249999999999997E-2</v>
      </c>
      <c r="W626" s="189">
        <v>6.0760000000000002E-2</v>
      </c>
      <c r="X626" s="4" t="s">
        <v>602</v>
      </c>
      <c r="Y626" s="4" t="s">
        <v>312</v>
      </c>
      <c r="Z626" s="158">
        <v>505000</v>
      </c>
      <c r="AA626" s="158">
        <v>3.7589999999999999</v>
      </c>
      <c r="AB626" s="158">
        <v>99.316000000000003</v>
      </c>
      <c r="AD626" s="158">
        <v>1885.319</v>
      </c>
      <c r="AG626" s="11" t="s">
        <v>37</v>
      </c>
      <c r="AH626" s="189">
        <v>0</v>
      </c>
      <c r="AI626" s="189">
        <v>6.1517154414020402E-3</v>
      </c>
      <c r="AJ626" s="189">
        <v>1.02503456558749E-3</v>
      </c>
    </row>
    <row r="627" spans="1:36">
      <c r="A627" s="11" t="s">
        <v>256</v>
      </c>
      <c r="B627" s="11">
        <v>7205</v>
      </c>
      <c r="C627" s="11" t="s">
        <v>2776</v>
      </c>
      <c r="D627" s="11" t="s">
        <v>2777</v>
      </c>
      <c r="E627" s="4" t="s">
        <v>505</v>
      </c>
      <c r="F627" s="11" t="s">
        <v>2778</v>
      </c>
      <c r="G627" s="11" t="s">
        <v>2779</v>
      </c>
      <c r="H627" s="11" t="s">
        <v>511</v>
      </c>
      <c r="I627" s="11" t="s">
        <v>364</v>
      </c>
      <c r="J627" s="11" t="s">
        <v>154</v>
      </c>
      <c r="K627" s="11" t="s">
        <v>431</v>
      </c>
      <c r="L627" s="11" t="s">
        <v>517</v>
      </c>
      <c r="M627" s="11" t="s">
        <v>342</v>
      </c>
      <c r="N627" s="11" t="s">
        <v>723</v>
      </c>
      <c r="O627" s="11" t="s">
        <v>312</v>
      </c>
      <c r="P627" s="11" t="s">
        <v>2743</v>
      </c>
      <c r="Q627" s="11" t="s">
        <v>158</v>
      </c>
      <c r="R627" s="11" t="s">
        <v>596</v>
      </c>
      <c r="S627" s="11" t="s">
        <v>159</v>
      </c>
      <c r="T627" s="158">
        <v>3.95</v>
      </c>
      <c r="U627" s="11" t="s">
        <v>2780</v>
      </c>
      <c r="V627" s="174">
        <v>4.3749999999999997E-2</v>
      </c>
      <c r="W627" s="189">
        <v>5.9139999999999998E-2</v>
      </c>
      <c r="X627" s="4" t="s">
        <v>602</v>
      </c>
      <c r="Y627" s="4" t="s">
        <v>312</v>
      </c>
      <c r="Z627" s="158">
        <v>300000</v>
      </c>
      <c r="AA627" s="158">
        <v>3.7589999999999999</v>
      </c>
      <c r="AB627" s="158">
        <v>94.977999999999994</v>
      </c>
      <c r="AD627" s="158">
        <v>1071.07</v>
      </c>
      <c r="AG627" s="11" t="s">
        <v>37</v>
      </c>
      <c r="AH627" s="189">
        <v>8.6000000000000003E-5</v>
      </c>
      <c r="AI627" s="189">
        <v>3.4948568921941399E-3</v>
      </c>
      <c r="AJ627" s="189">
        <v>5.8233335894747199E-4</v>
      </c>
    </row>
    <row r="628" spans="1:36">
      <c r="A628" s="11" t="s">
        <v>256</v>
      </c>
      <c r="B628" s="11">
        <v>7205</v>
      </c>
      <c r="C628" s="11" t="s">
        <v>2933</v>
      </c>
      <c r="D628" s="11" t="s">
        <v>2934</v>
      </c>
      <c r="E628" s="4" t="s">
        <v>505</v>
      </c>
      <c r="F628" s="11" t="s">
        <v>2935</v>
      </c>
      <c r="G628" s="11" t="s">
        <v>2936</v>
      </c>
      <c r="H628" s="11" t="s">
        <v>511</v>
      </c>
      <c r="I628" s="11" t="s">
        <v>364</v>
      </c>
      <c r="J628" s="11" t="s">
        <v>154</v>
      </c>
      <c r="K628" s="11" t="s">
        <v>470</v>
      </c>
      <c r="L628" s="11" t="s">
        <v>517</v>
      </c>
      <c r="M628" s="11" t="s">
        <v>553</v>
      </c>
      <c r="N628" s="11" t="s">
        <v>757</v>
      </c>
      <c r="O628" s="11" t="s">
        <v>312</v>
      </c>
      <c r="P628" s="11" t="s">
        <v>2937</v>
      </c>
      <c r="Q628" s="11" t="s">
        <v>158</v>
      </c>
      <c r="R628" s="11" t="s">
        <v>596</v>
      </c>
      <c r="S628" s="11" t="s">
        <v>169</v>
      </c>
      <c r="T628" s="158">
        <v>3.46</v>
      </c>
      <c r="U628" s="11" t="s">
        <v>2938</v>
      </c>
      <c r="V628" s="174">
        <v>1.6250000000000001E-2</v>
      </c>
      <c r="W628" s="189">
        <v>6.0409999999999998E-2</v>
      </c>
      <c r="X628" s="4" t="s">
        <v>602</v>
      </c>
      <c r="Y628" s="4" t="s">
        <v>312</v>
      </c>
      <c r="Z628" s="158">
        <v>155000</v>
      </c>
      <c r="AA628" s="158">
        <v>4.0199999999999996</v>
      </c>
      <c r="AB628" s="158">
        <v>86.126000000000005</v>
      </c>
      <c r="AD628" s="158">
        <v>536.67999999999995</v>
      </c>
      <c r="AG628" s="11" t="s">
        <v>37</v>
      </c>
      <c r="AH628" s="189">
        <v>4.4299999999999998E-4</v>
      </c>
      <c r="AI628" s="189">
        <v>1.7511649414975201E-3</v>
      </c>
      <c r="AJ628" s="189">
        <v>2.9178927604474097E-4</v>
      </c>
    </row>
    <row r="629" spans="1:36">
      <c r="A629" s="11" t="s">
        <v>256</v>
      </c>
      <c r="B629" s="11">
        <v>7205</v>
      </c>
      <c r="C629" s="11" t="s">
        <v>2939</v>
      </c>
      <c r="D629" s="11" t="s">
        <v>2940</v>
      </c>
      <c r="E629" s="4" t="s">
        <v>505</v>
      </c>
      <c r="F629" s="11" t="s">
        <v>2941</v>
      </c>
      <c r="G629" s="11" t="s">
        <v>2942</v>
      </c>
      <c r="H629" s="11" t="s">
        <v>511</v>
      </c>
      <c r="I629" s="11" t="s">
        <v>364</v>
      </c>
      <c r="J629" s="11" t="s">
        <v>154</v>
      </c>
      <c r="K629" s="11" t="s">
        <v>155</v>
      </c>
      <c r="L629" s="11" t="s">
        <v>517</v>
      </c>
      <c r="M629" s="11" t="s">
        <v>156</v>
      </c>
      <c r="N629" s="11" t="s">
        <v>701</v>
      </c>
      <c r="O629" s="11" t="s">
        <v>312</v>
      </c>
      <c r="P629" s="11" t="s">
        <v>2943</v>
      </c>
      <c r="Q629" s="11" t="s">
        <v>158</v>
      </c>
      <c r="R629" s="11" t="s">
        <v>596</v>
      </c>
      <c r="S629" s="11" t="s">
        <v>159</v>
      </c>
      <c r="T629" s="158">
        <v>6.17</v>
      </c>
      <c r="U629" s="11" t="s">
        <v>246</v>
      </c>
      <c r="V629" s="174">
        <v>4.4999999999999998E-2</v>
      </c>
      <c r="W629" s="189">
        <v>7.0239999999999997E-2</v>
      </c>
      <c r="X629" s="4" t="s">
        <v>602</v>
      </c>
      <c r="Y629" s="4" t="s">
        <v>312</v>
      </c>
      <c r="Z629" s="158">
        <v>240000</v>
      </c>
      <c r="AA629" s="158">
        <v>3.7589999999999999</v>
      </c>
      <c r="AB629" s="158">
        <v>87.688999999999993</v>
      </c>
      <c r="AD629" s="158">
        <v>791.09500000000003</v>
      </c>
      <c r="AG629" s="11" t="s">
        <v>37</v>
      </c>
      <c r="AH629" s="189">
        <v>5.3300000000000005E-4</v>
      </c>
      <c r="AI629" s="189">
        <v>2.5813099026473002E-3</v>
      </c>
      <c r="AJ629" s="189">
        <v>4.3011285224593102E-4</v>
      </c>
    </row>
    <row r="630" spans="1:36">
      <c r="A630" s="11" t="s">
        <v>256</v>
      </c>
      <c r="B630" s="11">
        <v>7205</v>
      </c>
      <c r="C630" s="11" t="s">
        <v>2781</v>
      </c>
      <c r="D630" s="11" t="s">
        <v>2782</v>
      </c>
      <c r="E630" s="4" t="s">
        <v>505</v>
      </c>
      <c r="F630" s="11" t="s">
        <v>2783</v>
      </c>
      <c r="G630" s="11" t="s">
        <v>2784</v>
      </c>
      <c r="H630" s="11" t="s">
        <v>511</v>
      </c>
      <c r="I630" s="11" t="s">
        <v>364</v>
      </c>
      <c r="J630" s="11" t="s">
        <v>154</v>
      </c>
      <c r="K630" s="11" t="s">
        <v>155</v>
      </c>
      <c r="L630" s="11" t="s">
        <v>517</v>
      </c>
      <c r="M630" s="11" t="s">
        <v>156</v>
      </c>
      <c r="N630" s="11" t="s">
        <v>1999</v>
      </c>
      <c r="O630" s="11" t="s">
        <v>312</v>
      </c>
      <c r="P630" s="11" t="s">
        <v>2354</v>
      </c>
      <c r="Q630" s="11" t="s">
        <v>621</v>
      </c>
      <c r="R630" s="11" t="s">
        <v>596</v>
      </c>
      <c r="S630" s="11" t="s">
        <v>159</v>
      </c>
      <c r="T630" s="158">
        <v>3.57</v>
      </c>
      <c r="U630" s="11" t="s">
        <v>2785</v>
      </c>
      <c r="V630" s="174">
        <v>5.1999999999999998E-2</v>
      </c>
      <c r="W630" s="189">
        <v>5.423E-2</v>
      </c>
      <c r="X630" s="4" t="s">
        <v>602</v>
      </c>
      <c r="Y630" s="4" t="s">
        <v>312</v>
      </c>
      <c r="Z630" s="158">
        <v>225000</v>
      </c>
      <c r="AA630" s="158">
        <v>3.7589999999999999</v>
      </c>
      <c r="AB630" s="158">
        <v>102.297</v>
      </c>
      <c r="AD630" s="158">
        <v>865.20100000000002</v>
      </c>
      <c r="AG630" s="11" t="s">
        <v>37</v>
      </c>
      <c r="AH630" s="189">
        <v>4.4999999999999999E-4</v>
      </c>
      <c r="AI630" s="189">
        <v>2.8231129918663599E-3</v>
      </c>
      <c r="AJ630" s="189">
        <v>4.7040348774042502E-4</v>
      </c>
    </row>
    <row r="631" spans="1:36">
      <c r="A631" s="11" t="s">
        <v>256</v>
      </c>
      <c r="B631" s="11">
        <v>7205</v>
      </c>
      <c r="C631" s="11" t="s">
        <v>2781</v>
      </c>
      <c r="D631" s="11" t="s">
        <v>2782</v>
      </c>
      <c r="E631" s="4" t="s">
        <v>505</v>
      </c>
      <c r="F631" s="11" t="s">
        <v>2786</v>
      </c>
      <c r="G631" s="11" t="s">
        <v>2787</v>
      </c>
      <c r="H631" s="11" t="s">
        <v>511</v>
      </c>
      <c r="I631" s="11" t="s">
        <v>364</v>
      </c>
      <c r="J631" s="11" t="s">
        <v>154</v>
      </c>
      <c r="K631" s="11" t="s">
        <v>155</v>
      </c>
      <c r="L631" s="11" t="s">
        <v>517</v>
      </c>
      <c r="M631" s="11" t="s">
        <v>156</v>
      </c>
      <c r="N631" s="11" t="s">
        <v>1999</v>
      </c>
      <c r="O631" s="11" t="s">
        <v>312</v>
      </c>
      <c r="P631" s="11" t="s">
        <v>2354</v>
      </c>
      <c r="Q631" s="11" t="s">
        <v>621</v>
      </c>
      <c r="R631" s="11" t="s">
        <v>596</v>
      </c>
      <c r="S631" s="11" t="s">
        <v>159</v>
      </c>
      <c r="T631" s="158">
        <v>6.91</v>
      </c>
      <c r="U631" s="11" t="s">
        <v>2788</v>
      </c>
      <c r="V631" s="174">
        <v>5.45E-2</v>
      </c>
      <c r="W631" s="189">
        <v>5.7049999999999997E-2</v>
      </c>
      <c r="X631" s="4" t="s">
        <v>602</v>
      </c>
      <c r="Y631" s="4" t="s">
        <v>312</v>
      </c>
      <c r="Z631" s="158">
        <v>225000</v>
      </c>
      <c r="AA631" s="158">
        <v>3.7589999999999999</v>
      </c>
      <c r="AB631" s="158">
        <v>102.005</v>
      </c>
      <c r="AD631" s="158">
        <v>862.73500000000001</v>
      </c>
      <c r="AG631" s="11" t="s">
        <v>37</v>
      </c>
      <c r="AH631" s="189">
        <v>2.2499999999999999E-4</v>
      </c>
      <c r="AI631" s="189">
        <v>2.8150691508461601E-3</v>
      </c>
      <c r="AJ631" s="189">
        <v>4.6906317621848602E-4</v>
      </c>
    </row>
    <row r="632" spans="1:36">
      <c r="A632" s="11" t="s">
        <v>256</v>
      </c>
      <c r="B632" s="11">
        <v>7205</v>
      </c>
      <c r="C632" s="11" t="s">
        <v>2944</v>
      </c>
      <c r="D632" s="11" t="s">
        <v>2945</v>
      </c>
      <c r="E632" s="4" t="s">
        <v>34</v>
      </c>
      <c r="F632" s="11" t="s">
        <v>2946</v>
      </c>
      <c r="G632" s="11" t="s">
        <v>2947</v>
      </c>
      <c r="H632" s="11" t="s">
        <v>511</v>
      </c>
      <c r="I632" s="11" t="s">
        <v>364</v>
      </c>
      <c r="J632" s="11" t="s">
        <v>154</v>
      </c>
      <c r="K632" s="11" t="s">
        <v>155</v>
      </c>
      <c r="L632" s="11" t="s">
        <v>517</v>
      </c>
      <c r="M632" s="11" t="s">
        <v>342</v>
      </c>
      <c r="N632" s="11" t="s">
        <v>675</v>
      </c>
      <c r="O632" s="11" t="s">
        <v>312</v>
      </c>
      <c r="P632" s="11" t="s">
        <v>2769</v>
      </c>
      <c r="Q632" s="11" t="s">
        <v>158</v>
      </c>
      <c r="R632" s="11" t="s">
        <v>596</v>
      </c>
      <c r="S632" s="11" t="s">
        <v>159</v>
      </c>
      <c r="T632" s="158">
        <v>5.34</v>
      </c>
      <c r="U632" s="11" t="s">
        <v>2948</v>
      </c>
      <c r="V632" s="174">
        <v>4.4999999999999998E-2</v>
      </c>
      <c r="W632" s="189">
        <v>5.9499999999999997E-2</v>
      </c>
      <c r="X632" s="4" t="s">
        <v>602</v>
      </c>
      <c r="Y632" s="4" t="s">
        <v>312</v>
      </c>
      <c r="Z632" s="158">
        <v>79000</v>
      </c>
      <c r="AA632" s="158">
        <v>3.7589999999999999</v>
      </c>
      <c r="AB632" s="158">
        <v>95.087000000000003</v>
      </c>
      <c r="AD632" s="158">
        <v>282.37099999999998</v>
      </c>
      <c r="AG632" s="11" t="s">
        <v>37</v>
      </c>
      <c r="AH632" s="189">
        <v>0</v>
      </c>
      <c r="AI632" s="189">
        <v>9.2136566741214503E-4</v>
      </c>
      <c r="AJ632" s="189">
        <v>1.53523300230512E-4</v>
      </c>
    </row>
    <row r="633" spans="1:36">
      <c r="A633" s="11" t="s">
        <v>256</v>
      </c>
      <c r="B633" s="11">
        <v>7205</v>
      </c>
      <c r="C633" s="11" t="s">
        <v>2949</v>
      </c>
      <c r="D633" s="11" t="s">
        <v>2950</v>
      </c>
      <c r="E633" s="4" t="s">
        <v>505</v>
      </c>
      <c r="F633" s="11" t="s">
        <v>2951</v>
      </c>
      <c r="G633" s="11" t="s">
        <v>2952</v>
      </c>
      <c r="H633" s="11" t="s">
        <v>511</v>
      </c>
      <c r="I633" s="11" t="s">
        <v>364</v>
      </c>
      <c r="J633" s="11" t="s">
        <v>154</v>
      </c>
      <c r="K633" s="11" t="s">
        <v>155</v>
      </c>
      <c r="L633" s="11" t="s">
        <v>517</v>
      </c>
      <c r="M633" s="11" t="s">
        <v>156</v>
      </c>
      <c r="N633" s="11" t="s">
        <v>704</v>
      </c>
      <c r="O633" s="11" t="s">
        <v>312</v>
      </c>
      <c r="P633" s="11" t="s">
        <v>2769</v>
      </c>
      <c r="Q633" s="11" t="s">
        <v>158</v>
      </c>
      <c r="R633" s="11" t="s">
        <v>596</v>
      </c>
      <c r="S633" s="11" t="s">
        <v>159</v>
      </c>
      <c r="T633" s="158">
        <v>6.46</v>
      </c>
      <c r="U633" s="11" t="s">
        <v>2953</v>
      </c>
      <c r="V633" s="174">
        <v>3.15E-2</v>
      </c>
      <c r="W633" s="189">
        <v>5.8680000000000003E-2</v>
      </c>
      <c r="X633" s="4" t="s">
        <v>602</v>
      </c>
      <c r="Y633" s="4" t="s">
        <v>312</v>
      </c>
      <c r="Z633" s="158">
        <v>155000</v>
      </c>
      <c r="AA633" s="158">
        <v>3.7589999999999999</v>
      </c>
      <c r="AB633" s="158">
        <v>86.38</v>
      </c>
      <c r="AD633" s="158">
        <v>503.28699999999998</v>
      </c>
      <c r="AG633" s="11" t="s">
        <v>37</v>
      </c>
      <c r="AH633" s="189">
        <v>0</v>
      </c>
      <c r="AI633" s="189">
        <v>1.64220522384961E-3</v>
      </c>
      <c r="AJ633" s="189">
        <v>2.73633774882564E-4</v>
      </c>
    </row>
    <row r="634" spans="1:36">
      <c r="A634" s="11" t="s">
        <v>256</v>
      </c>
      <c r="B634" s="11">
        <v>7205</v>
      </c>
      <c r="C634" s="11" t="s">
        <v>2954</v>
      </c>
      <c r="D634" s="11" t="s">
        <v>2955</v>
      </c>
      <c r="E634" s="4" t="s">
        <v>505</v>
      </c>
      <c r="F634" s="11" t="s">
        <v>2956</v>
      </c>
      <c r="G634" s="11" t="s">
        <v>2957</v>
      </c>
      <c r="H634" s="11" t="s">
        <v>511</v>
      </c>
      <c r="I634" s="11" t="s">
        <v>364</v>
      </c>
      <c r="J634" s="11" t="s">
        <v>154</v>
      </c>
      <c r="K634" s="11" t="s">
        <v>155</v>
      </c>
      <c r="L634" s="11" t="s">
        <v>517</v>
      </c>
      <c r="M634" s="11" t="s">
        <v>156</v>
      </c>
      <c r="N634" s="11" t="s">
        <v>704</v>
      </c>
      <c r="O634" s="11" t="s">
        <v>312</v>
      </c>
      <c r="P634" s="11" t="s">
        <v>2221</v>
      </c>
      <c r="Q634" s="11" t="s">
        <v>158</v>
      </c>
      <c r="R634" s="11" t="s">
        <v>596</v>
      </c>
      <c r="S634" s="11" t="s">
        <v>159</v>
      </c>
      <c r="T634" s="158">
        <v>5.18</v>
      </c>
      <c r="U634" s="11" t="s">
        <v>2958</v>
      </c>
      <c r="V634" s="174">
        <v>2.7E-2</v>
      </c>
      <c r="W634" s="189">
        <v>5.2929999999999998E-2</v>
      </c>
      <c r="X634" s="4" t="s">
        <v>602</v>
      </c>
      <c r="Y634" s="4" t="s">
        <v>312</v>
      </c>
      <c r="Z634" s="158">
        <v>155000</v>
      </c>
      <c r="AA634" s="158">
        <v>3.7589999999999999</v>
      </c>
      <c r="AB634" s="158">
        <v>88.885999999999996</v>
      </c>
      <c r="AD634" s="158">
        <v>517.88900000000001</v>
      </c>
      <c r="AG634" s="11" t="s">
        <v>37</v>
      </c>
      <c r="AH634" s="189">
        <v>1.63E-4</v>
      </c>
      <c r="AI634" s="189">
        <v>1.68984989216066E-3</v>
      </c>
      <c r="AJ634" s="189">
        <v>2.8157260631096298E-4</v>
      </c>
    </row>
    <row r="635" spans="1:36">
      <c r="A635" s="11" t="s">
        <v>256</v>
      </c>
      <c r="B635" s="11">
        <v>7205</v>
      </c>
      <c r="C635" s="11" t="s">
        <v>2789</v>
      </c>
      <c r="D635" s="11" t="s">
        <v>2790</v>
      </c>
      <c r="E635" s="4" t="s">
        <v>505</v>
      </c>
      <c r="F635" s="11" t="s">
        <v>2791</v>
      </c>
      <c r="G635" s="11" t="s">
        <v>2792</v>
      </c>
      <c r="H635" s="11" t="s">
        <v>511</v>
      </c>
      <c r="I635" s="11" t="s">
        <v>364</v>
      </c>
      <c r="J635" s="11" t="s">
        <v>154</v>
      </c>
      <c r="K635" s="11" t="s">
        <v>474</v>
      </c>
      <c r="L635" s="11" t="s">
        <v>517</v>
      </c>
      <c r="M635" s="11" t="s">
        <v>342</v>
      </c>
      <c r="N635" s="11" t="s">
        <v>746</v>
      </c>
      <c r="O635" s="11" t="s">
        <v>312</v>
      </c>
      <c r="P635" s="11" t="s">
        <v>2354</v>
      </c>
      <c r="Q635" s="11" t="s">
        <v>621</v>
      </c>
      <c r="R635" s="11" t="s">
        <v>596</v>
      </c>
      <c r="S635" s="11" t="s">
        <v>159</v>
      </c>
      <c r="T635" s="158">
        <v>3.45</v>
      </c>
      <c r="U635" s="11" t="s">
        <v>2793</v>
      </c>
      <c r="V635" s="174">
        <v>5.7000000000000002E-2</v>
      </c>
      <c r="W635" s="189">
        <v>5.4559999999999997E-2</v>
      </c>
      <c r="X635" s="4" t="s">
        <v>602</v>
      </c>
      <c r="Y635" s="4" t="s">
        <v>312</v>
      </c>
      <c r="Z635" s="158">
        <v>305000</v>
      </c>
      <c r="AA635" s="158">
        <v>3.7589999999999999</v>
      </c>
      <c r="AB635" s="158">
        <v>101.672</v>
      </c>
      <c r="AD635" s="158">
        <v>1165.662</v>
      </c>
      <c r="AG635" s="11" t="s">
        <v>37</v>
      </c>
      <c r="AH635" s="189">
        <v>3.0499999999999999E-4</v>
      </c>
      <c r="AI635" s="189">
        <v>3.8035075484911698E-3</v>
      </c>
      <c r="AJ635" s="189">
        <v>6.3376252442324296E-4</v>
      </c>
    </row>
    <row r="636" spans="1:36">
      <c r="A636" s="11" t="s">
        <v>256</v>
      </c>
      <c r="B636" s="11">
        <v>7205</v>
      </c>
      <c r="C636" s="11" t="s">
        <v>2789</v>
      </c>
      <c r="D636" s="11" t="s">
        <v>2790</v>
      </c>
      <c r="E636" s="4" t="s">
        <v>505</v>
      </c>
      <c r="F636" s="11" t="s">
        <v>2794</v>
      </c>
      <c r="G636" s="11" t="s">
        <v>2795</v>
      </c>
      <c r="H636" s="11" t="s">
        <v>511</v>
      </c>
      <c r="I636" s="11" t="s">
        <v>364</v>
      </c>
      <c r="J636" s="11" t="s">
        <v>154</v>
      </c>
      <c r="K636" s="11" t="s">
        <v>155</v>
      </c>
      <c r="L636" s="11" t="s">
        <v>517</v>
      </c>
      <c r="M636" s="11" t="s">
        <v>342</v>
      </c>
      <c r="N636" s="11" t="s">
        <v>746</v>
      </c>
      <c r="O636" s="11" t="s">
        <v>312</v>
      </c>
      <c r="P636" s="11" t="s">
        <v>2354</v>
      </c>
      <c r="Q636" s="11" t="s">
        <v>621</v>
      </c>
      <c r="R636" s="11" t="s">
        <v>596</v>
      </c>
      <c r="S636" s="11" t="s">
        <v>159</v>
      </c>
      <c r="T636" s="158">
        <v>3.45</v>
      </c>
      <c r="U636" s="11" t="s">
        <v>2793</v>
      </c>
      <c r="V636" s="174">
        <v>5.7000000000000002E-2</v>
      </c>
      <c r="W636" s="189">
        <v>5.4649999999999997E-2</v>
      </c>
      <c r="X636" s="4" t="s">
        <v>602</v>
      </c>
      <c r="Y636" s="4" t="s">
        <v>312</v>
      </c>
      <c r="Z636" s="158">
        <v>145000</v>
      </c>
      <c r="AA636" s="158">
        <v>3.7589999999999999</v>
      </c>
      <c r="AB636" s="158">
        <v>101.532</v>
      </c>
      <c r="AD636" s="158">
        <v>553.404</v>
      </c>
      <c r="AG636" s="11" t="s">
        <v>37</v>
      </c>
      <c r="AH636" s="189">
        <v>1.45E-4</v>
      </c>
      <c r="AI636" s="189">
        <v>1.8057350114181699E-3</v>
      </c>
      <c r="AJ636" s="189">
        <v>3.0088205812284799E-4</v>
      </c>
    </row>
    <row r="637" spans="1:36">
      <c r="A637" s="11" t="s">
        <v>256</v>
      </c>
      <c r="B637" s="11">
        <v>7205</v>
      </c>
      <c r="C637" s="11" t="s">
        <v>1678</v>
      </c>
      <c r="D637" s="11" t="s">
        <v>1679</v>
      </c>
      <c r="E637" s="4" t="s">
        <v>505</v>
      </c>
      <c r="F637" s="11" t="s">
        <v>2959</v>
      </c>
      <c r="G637" s="11" t="s">
        <v>2960</v>
      </c>
      <c r="H637" s="11" t="s">
        <v>511</v>
      </c>
      <c r="I637" s="11" t="s">
        <v>364</v>
      </c>
      <c r="J637" s="11" t="s">
        <v>154</v>
      </c>
      <c r="K637" s="11" t="s">
        <v>426</v>
      </c>
      <c r="L637" s="11" t="s">
        <v>517</v>
      </c>
      <c r="M637" s="11" t="s">
        <v>342</v>
      </c>
      <c r="N637" s="11" t="s">
        <v>675</v>
      </c>
      <c r="O637" s="11" t="s">
        <v>312</v>
      </c>
      <c r="P637" s="11" t="s">
        <v>2961</v>
      </c>
      <c r="Q637" s="11" t="s">
        <v>621</v>
      </c>
      <c r="R637" s="11" t="s">
        <v>596</v>
      </c>
      <c r="S637" s="11" t="s">
        <v>159</v>
      </c>
      <c r="T637" s="158">
        <v>2.57</v>
      </c>
      <c r="U637" s="11" t="s">
        <v>2891</v>
      </c>
      <c r="V637" s="174">
        <v>6.5000000000000002E-2</v>
      </c>
      <c r="W637" s="189">
        <v>8.5900000000000004E-2</v>
      </c>
      <c r="X637" s="4" t="s">
        <v>602</v>
      </c>
      <c r="Y637" s="4" t="s">
        <v>312</v>
      </c>
      <c r="Z637" s="158">
        <v>410000</v>
      </c>
      <c r="AA637" s="158">
        <v>3.7589999999999999</v>
      </c>
      <c r="AB637" s="158">
        <v>99.774000000000001</v>
      </c>
      <c r="AD637" s="158">
        <v>1537.712</v>
      </c>
      <c r="AG637" s="11" t="s">
        <v>37</v>
      </c>
      <c r="AH637" s="189">
        <v>9.1100000000000003E-4</v>
      </c>
      <c r="AI637" s="189">
        <v>5.01748958538054E-3</v>
      </c>
      <c r="AJ637" s="189">
        <v>8.3604326410750796E-4</v>
      </c>
    </row>
    <row r="638" spans="1:36">
      <c r="A638" s="11" t="s">
        <v>256</v>
      </c>
      <c r="B638" s="11">
        <v>7205</v>
      </c>
      <c r="C638" s="11" t="s">
        <v>2962</v>
      </c>
      <c r="D638" s="11" t="s">
        <v>2963</v>
      </c>
      <c r="E638" s="4" t="s">
        <v>505</v>
      </c>
      <c r="F638" s="11" t="s">
        <v>2964</v>
      </c>
      <c r="G638" s="11" t="s">
        <v>2965</v>
      </c>
      <c r="H638" s="11" t="s">
        <v>511</v>
      </c>
      <c r="I638" s="11" t="s">
        <v>364</v>
      </c>
      <c r="J638" s="11" t="s">
        <v>154</v>
      </c>
      <c r="K638" s="11" t="s">
        <v>155</v>
      </c>
      <c r="L638" s="11" t="s">
        <v>517</v>
      </c>
      <c r="M638" s="11" t="s">
        <v>156</v>
      </c>
      <c r="N638" s="11" t="s">
        <v>698</v>
      </c>
      <c r="O638" s="11" t="s">
        <v>312</v>
      </c>
      <c r="P638" s="11" t="s">
        <v>2743</v>
      </c>
      <c r="Q638" s="11" t="s">
        <v>158</v>
      </c>
      <c r="R638" s="11" t="s">
        <v>596</v>
      </c>
      <c r="S638" s="11" t="s">
        <v>159</v>
      </c>
      <c r="T638" s="158">
        <v>5.16</v>
      </c>
      <c r="U638" s="11" t="s">
        <v>2966</v>
      </c>
      <c r="V638" s="174">
        <v>4.2500000000000003E-2</v>
      </c>
      <c r="W638" s="189">
        <v>5.1999999999999998E-2</v>
      </c>
      <c r="X638" s="4" t="s">
        <v>602</v>
      </c>
      <c r="Y638" s="4" t="s">
        <v>312</v>
      </c>
      <c r="Z638" s="158">
        <v>155000</v>
      </c>
      <c r="AA638" s="158">
        <v>3.7589999999999999</v>
      </c>
      <c r="AB638" s="158">
        <v>96.417000000000002</v>
      </c>
      <c r="AD638" s="158">
        <v>561.77</v>
      </c>
      <c r="AG638" s="11" t="s">
        <v>37</v>
      </c>
      <c r="AH638" s="189">
        <v>2.0699999999999999E-4</v>
      </c>
      <c r="AI638" s="189">
        <v>1.8330309172957999E-3</v>
      </c>
      <c r="AJ638" s="189">
        <v>3.0543026053729799E-4</v>
      </c>
    </row>
    <row r="639" spans="1:36">
      <c r="A639" s="11" t="s">
        <v>256</v>
      </c>
      <c r="B639" s="11">
        <v>7205</v>
      </c>
      <c r="C639" s="11" t="s">
        <v>2967</v>
      </c>
      <c r="D639" s="11" t="s">
        <v>2968</v>
      </c>
      <c r="E639" s="4" t="s">
        <v>505</v>
      </c>
      <c r="F639" s="11" t="s">
        <v>2969</v>
      </c>
      <c r="G639" s="11" t="s">
        <v>2970</v>
      </c>
      <c r="H639" s="11" t="s">
        <v>511</v>
      </c>
      <c r="I639" s="11" t="s">
        <v>364</v>
      </c>
      <c r="J639" s="11" t="s">
        <v>154</v>
      </c>
      <c r="K639" s="11" t="s">
        <v>155</v>
      </c>
      <c r="L639" s="11" t="s">
        <v>517</v>
      </c>
      <c r="M639" s="11" t="s">
        <v>156</v>
      </c>
      <c r="N639" s="11" t="s">
        <v>2971</v>
      </c>
      <c r="O639" s="11" t="s">
        <v>312</v>
      </c>
      <c r="P639" s="11" t="s">
        <v>2769</v>
      </c>
      <c r="Q639" s="11" t="s">
        <v>158</v>
      </c>
      <c r="R639" s="11" t="s">
        <v>596</v>
      </c>
      <c r="S639" s="11" t="s">
        <v>159</v>
      </c>
      <c r="T639" s="158">
        <v>3.94</v>
      </c>
      <c r="U639" s="11" t="s">
        <v>2972</v>
      </c>
      <c r="V639" s="174">
        <v>3.125E-2</v>
      </c>
      <c r="W639" s="189">
        <v>6.7650000000000002E-2</v>
      </c>
      <c r="X639" s="4" t="s">
        <v>602</v>
      </c>
      <c r="Y639" s="4" t="s">
        <v>312</v>
      </c>
      <c r="Z639" s="158">
        <v>320000</v>
      </c>
      <c r="AA639" s="158">
        <v>3.7589999999999999</v>
      </c>
      <c r="AB639" s="158">
        <v>87.599000000000004</v>
      </c>
      <c r="AD639" s="158">
        <v>1053.7049999999999</v>
      </c>
      <c r="AG639" s="11" t="s">
        <v>37</v>
      </c>
      <c r="AH639" s="189">
        <v>4.2700000000000002E-4</v>
      </c>
      <c r="AI639" s="189">
        <v>3.4381953174292099E-3</v>
      </c>
      <c r="AJ639" s="189">
        <v>5.7289207818149402E-4</v>
      </c>
    </row>
    <row r="640" spans="1:36">
      <c r="A640" s="11" t="s">
        <v>256</v>
      </c>
      <c r="B640" s="11">
        <v>7205</v>
      </c>
      <c r="C640" s="11" t="s">
        <v>2115</v>
      </c>
      <c r="D640" s="11" t="s">
        <v>2116</v>
      </c>
      <c r="E640" s="4" t="s">
        <v>505</v>
      </c>
      <c r="F640" s="11" t="s">
        <v>2796</v>
      </c>
      <c r="G640" s="11" t="s">
        <v>2797</v>
      </c>
      <c r="H640" s="11" t="s">
        <v>511</v>
      </c>
      <c r="I640" s="11" t="s">
        <v>364</v>
      </c>
      <c r="J640" s="11" t="s">
        <v>154</v>
      </c>
      <c r="K640" s="11" t="s">
        <v>446</v>
      </c>
      <c r="L640" s="11" t="s">
        <v>517</v>
      </c>
      <c r="M640" s="11" t="s">
        <v>553</v>
      </c>
      <c r="N640" s="11" t="s">
        <v>757</v>
      </c>
      <c r="O640" s="11" t="s">
        <v>312</v>
      </c>
      <c r="P640" s="11" t="s">
        <v>2221</v>
      </c>
      <c r="Q640" s="11" t="s">
        <v>158</v>
      </c>
      <c r="R640" s="11" t="s">
        <v>596</v>
      </c>
      <c r="S640" s="11" t="s">
        <v>169</v>
      </c>
      <c r="T640" s="158">
        <v>3.43</v>
      </c>
      <c r="U640" s="11" t="s">
        <v>2798</v>
      </c>
      <c r="V640" s="174">
        <v>1.25E-3</v>
      </c>
      <c r="W640" s="189">
        <v>4.9979999999999997E-2</v>
      </c>
      <c r="X640" s="4" t="s">
        <v>602</v>
      </c>
      <c r="Y640" s="4" t="s">
        <v>312</v>
      </c>
      <c r="Z640" s="158">
        <v>312000</v>
      </c>
      <c r="AA640" s="158">
        <v>4.0199999999999996</v>
      </c>
      <c r="AB640" s="158">
        <v>85.742999999999995</v>
      </c>
      <c r="AD640" s="158">
        <v>1075.482</v>
      </c>
      <c r="AG640" s="11" t="s">
        <v>37</v>
      </c>
      <c r="AH640" s="189">
        <v>3.1199999999999999E-4</v>
      </c>
      <c r="AI640" s="189">
        <v>3.5092509393753698E-3</v>
      </c>
      <c r="AJ640" s="189">
        <v>5.8473177871184502E-4</v>
      </c>
    </row>
    <row r="641" spans="1:36">
      <c r="A641" s="11" t="s">
        <v>256</v>
      </c>
      <c r="B641" s="11">
        <v>7205</v>
      </c>
      <c r="C641" s="11" t="s">
        <v>2973</v>
      </c>
      <c r="D641" s="11" t="s">
        <v>2974</v>
      </c>
      <c r="E641" s="4" t="s">
        <v>505</v>
      </c>
      <c r="F641" s="11" t="s">
        <v>2975</v>
      </c>
      <c r="G641" s="11" t="s">
        <v>2976</v>
      </c>
      <c r="H641" s="11" t="s">
        <v>511</v>
      </c>
      <c r="I641" s="11" t="s">
        <v>364</v>
      </c>
      <c r="J641" s="11" t="s">
        <v>154</v>
      </c>
      <c r="K641" s="11" t="s">
        <v>426</v>
      </c>
      <c r="L641" s="11" t="s">
        <v>517</v>
      </c>
      <c r="M641" s="11" t="s">
        <v>342</v>
      </c>
      <c r="N641" s="11" t="s">
        <v>675</v>
      </c>
      <c r="O641" s="11" t="s">
        <v>312</v>
      </c>
      <c r="P641" s="11" t="s">
        <v>2977</v>
      </c>
      <c r="Q641" s="11" t="s">
        <v>158</v>
      </c>
      <c r="R641" s="11" t="s">
        <v>596</v>
      </c>
      <c r="S641" s="11" t="s">
        <v>159</v>
      </c>
      <c r="T641" s="158">
        <v>1.02</v>
      </c>
      <c r="U641" s="11" t="s">
        <v>2235</v>
      </c>
      <c r="V641" s="174">
        <v>0.09</v>
      </c>
      <c r="W641" s="189">
        <v>8.2320000000000004E-2</v>
      </c>
      <c r="X641" s="4" t="s">
        <v>602</v>
      </c>
      <c r="Y641" s="4" t="s">
        <v>312</v>
      </c>
      <c r="Z641" s="158">
        <v>120000</v>
      </c>
      <c r="AA641" s="158">
        <v>3.7589999999999999</v>
      </c>
      <c r="AB641" s="158">
        <v>105.29900000000001</v>
      </c>
      <c r="AD641" s="158">
        <v>474.983</v>
      </c>
      <c r="AG641" s="11" t="s">
        <v>37</v>
      </c>
      <c r="AH641" s="189">
        <v>0</v>
      </c>
      <c r="AI641" s="189">
        <v>1.54984862091515E-3</v>
      </c>
      <c r="AJ641" s="189">
        <v>2.5824478115068198E-4</v>
      </c>
    </row>
    <row r="642" spans="1:36">
      <c r="A642" s="11" t="s">
        <v>256</v>
      </c>
      <c r="B642" s="11">
        <v>7205</v>
      </c>
      <c r="C642" s="11" t="s">
        <v>1742</v>
      </c>
      <c r="D642" s="11" t="s">
        <v>1743</v>
      </c>
      <c r="E642" s="4" t="s">
        <v>1552</v>
      </c>
      <c r="F642" s="11" t="s">
        <v>2799</v>
      </c>
      <c r="G642" s="11" t="s">
        <v>2800</v>
      </c>
      <c r="H642" s="11" t="s">
        <v>511</v>
      </c>
      <c r="I642" s="11" t="s">
        <v>364</v>
      </c>
      <c r="J642" s="11" t="s">
        <v>31</v>
      </c>
      <c r="K642" s="11" t="s">
        <v>31</v>
      </c>
      <c r="L642" s="11" t="s">
        <v>517</v>
      </c>
      <c r="M642" s="11" t="s">
        <v>342</v>
      </c>
      <c r="N642" s="11" t="s">
        <v>725</v>
      </c>
      <c r="O642" s="11" t="s">
        <v>312</v>
      </c>
      <c r="P642" s="11" t="s">
        <v>2801</v>
      </c>
      <c r="Q642" s="11" t="s">
        <v>158</v>
      </c>
      <c r="R642" s="11" t="s">
        <v>596</v>
      </c>
      <c r="S642" s="11" t="s">
        <v>159</v>
      </c>
      <c r="T642" s="158">
        <v>3.2</v>
      </c>
      <c r="U642" s="11" t="s">
        <v>2802</v>
      </c>
      <c r="V642" s="174">
        <v>5.3749999999999999E-2</v>
      </c>
      <c r="W642" s="189">
        <v>6.182E-2</v>
      </c>
      <c r="X642" s="4" t="s">
        <v>602</v>
      </c>
      <c r="Y642" s="4" t="s">
        <v>312</v>
      </c>
      <c r="Z642" s="158">
        <v>475000</v>
      </c>
      <c r="AA642" s="158">
        <v>3.7589999999999999</v>
      </c>
      <c r="AB642" s="158">
        <v>99.41</v>
      </c>
      <c r="AD642" s="158">
        <v>1774.9960000000001</v>
      </c>
      <c r="AG642" s="11" t="s">
        <v>37</v>
      </c>
      <c r="AH642" s="189">
        <v>5.9400000000000002E-4</v>
      </c>
      <c r="AI642" s="189">
        <v>5.7917366548659102E-3</v>
      </c>
      <c r="AJ642" s="189">
        <v>9.6505280885759005E-4</v>
      </c>
    </row>
    <row r="643" spans="1:36">
      <c r="A643" s="11" t="s">
        <v>256</v>
      </c>
      <c r="B643" s="11">
        <v>7205</v>
      </c>
      <c r="C643" s="11" t="s">
        <v>2803</v>
      </c>
      <c r="D643" s="11" t="s">
        <v>2804</v>
      </c>
      <c r="E643" s="4" t="s">
        <v>505</v>
      </c>
      <c r="F643" s="11" t="s">
        <v>2805</v>
      </c>
      <c r="G643" s="11" t="s">
        <v>2806</v>
      </c>
      <c r="H643" s="11" t="s">
        <v>511</v>
      </c>
      <c r="I643" s="11" t="s">
        <v>364</v>
      </c>
      <c r="J643" s="11" t="s">
        <v>154</v>
      </c>
      <c r="K643" s="11" t="s">
        <v>155</v>
      </c>
      <c r="L643" s="11" t="s">
        <v>517</v>
      </c>
      <c r="M643" s="11" t="s">
        <v>342</v>
      </c>
      <c r="N643" s="11" t="s">
        <v>737</v>
      </c>
      <c r="O643" s="11" t="s">
        <v>312</v>
      </c>
      <c r="P643" s="11" t="s">
        <v>2206</v>
      </c>
      <c r="Q643" s="11" t="s">
        <v>158</v>
      </c>
      <c r="R643" s="11" t="s">
        <v>596</v>
      </c>
      <c r="S643" s="11" t="s">
        <v>159</v>
      </c>
      <c r="T643" s="158">
        <v>1.58</v>
      </c>
      <c r="U643" s="11" t="s">
        <v>2807</v>
      </c>
      <c r="V643" s="174">
        <v>4.8750000000000002E-2</v>
      </c>
      <c r="W643" s="189">
        <v>5.2900000000000003E-2</v>
      </c>
      <c r="X643" s="4" t="s">
        <v>602</v>
      </c>
      <c r="Y643" s="4" t="s">
        <v>312</v>
      </c>
      <c r="Z643" s="158">
        <v>150000</v>
      </c>
      <c r="AA643" s="158">
        <v>3.7589999999999999</v>
      </c>
      <c r="AB643" s="158">
        <v>101.283</v>
      </c>
      <c r="AD643" s="158">
        <v>571.08299999999997</v>
      </c>
      <c r="AG643" s="11" t="s">
        <v>37</v>
      </c>
      <c r="AH643" s="189">
        <v>0</v>
      </c>
      <c r="AI643" s="189">
        <v>1.86342058761296E-3</v>
      </c>
      <c r="AJ643" s="189">
        <v>3.1049396395606402E-4</v>
      </c>
    </row>
    <row r="644" spans="1:36">
      <c r="A644" s="11" t="s">
        <v>256</v>
      </c>
      <c r="B644" s="11">
        <v>7205</v>
      </c>
      <c r="C644" s="11" t="s">
        <v>2808</v>
      </c>
      <c r="D644" s="11" t="s">
        <v>2809</v>
      </c>
      <c r="E644" s="4" t="s">
        <v>505</v>
      </c>
      <c r="F644" s="11" t="s">
        <v>2810</v>
      </c>
      <c r="G644" s="11" t="s">
        <v>2811</v>
      </c>
      <c r="H644" s="11" t="s">
        <v>511</v>
      </c>
      <c r="I644" s="11" t="s">
        <v>364</v>
      </c>
      <c r="J644" s="11" t="s">
        <v>154</v>
      </c>
      <c r="K644" s="11" t="s">
        <v>155</v>
      </c>
      <c r="L644" s="11" t="s">
        <v>517</v>
      </c>
      <c r="M644" s="11" t="s">
        <v>342</v>
      </c>
      <c r="N644" s="11" t="s">
        <v>719</v>
      </c>
      <c r="O644" s="11" t="s">
        <v>312</v>
      </c>
      <c r="P644" s="11" t="s">
        <v>2769</v>
      </c>
      <c r="Q644" s="11" t="s">
        <v>158</v>
      </c>
      <c r="R644" s="11" t="s">
        <v>596</v>
      </c>
      <c r="S644" s="11" t="s">
        <v>159</v>
      </c>
      <c r="T644" s="158">
        <v>3.42</v>
      </c>
      <c r="U644" s="11" t="s">
        <v>2175</v>
      </c>
      <c r="V644" s="174">
        <v>5.7000000000000002E-2</v>
      </c>
      <c r="W644" s="189">
        <v>5.6270000000000001E-2</v>
      </c>
      <c r="X644" s="4" t="s">
        <v>602</v>
      </c>
      <c r="Y644" s="4" t="s">
        <v>312</v>
      </c>
      <c r="Z644" s="158">
        <v>150000</v>
      </c>
      <c r="AA644" s="158">
        <v>3.7589999999999999</v>
      </c>
      <c r="AB644" s="158">
        <v>101.53100000000001</v>
      </c>
      <c r="AD644" s="158">
        <v>572.48500000000001</v>
      </c>
      <c r="AG644" s="11" t="s">
        <v>37</v>
      </c>
      <c r="AH644" s="189">
        <v>0</v>
      </c>
      <c r="AI644" s="189">
        <v>1.8679956036435101E-3</v>
      </c>
      <c r="AJ644" s="189">
        <v>3.1125627970589E-4</v>
      </c>
    </row>
    <row r="645" spans="1:36">
      <c r="A645" s="11" t="s">
        <v>256</v>
      </c>
      <c r="B645" s="11">
        <v>7205</v>
      </c>
      <c r="C645" s="11" t="s">
        <v>2978</v>
      </c>
      <c r="D645" s="11" t="s">
        <v>2979</v>
      </c>
      <c r="E645" s="4" t="s">
        <v>1552</v>
      </c>
      <c r="F645" s="11" t="s">
        <v>2980</v>
      </c>
      <c r="G645" s="11" t="s">
        <v>2981</v>
      </c>
      <c r="H645" s="11" t="s">
        <v>511</v>
      </c>
      <c r="I645" s="11" t="s">
        <v>364</v>
      </c>
      <c r="J645" s="11" t="s">
        <v>154</v>
      </c>
      <c r="K645" s="11" t="s">
        <v>2114</v>
      </c>
      <c r="L645" s="11" t="s">
        <v>517</v>
      </c>
      <c r="M645" s="11" t="s">
        <v>342</v>
      </c>
      <c r="N645" s="11" t="s">
        <v>678</v>
      </c>
      <c r="O645" s="11" t="s">
        <v>312</v>
      </c>
      <c r="P645" s="11" t="s">
        <v>2734</v>
      </c>
      <c r="Q645" s="11" t="s">
        <v>621</v>
      </c>
      <c r="R645" s="11" t="s">
        <v>596</v>
      </c>
      <c r="S645" s="11" t="s">
        <v>159</v>
      </c>
      <c r="T645" s="158">
        <v>8.89</v>
      </c>
      <c r="U645" s="11" t="s">
        <v>2982</v>
      </c>
      <c r="V645" s="174">
        <v>6.3750000000000001E-2</v>
      </c>
      <c r="W645" s="189">
        <v>7.4079999999999993E-2</v>
      </c>
      <c r="X645" s="4" t="s">
        <v>602</v>
      </c>
      <c r="Y645" s="4" t="s">
        <v>312</v>
      </c>
      <c r="Z645" s="158">
        <v>1250000</v>
      </c>
      <c r="AA645" s="158">
        <v>3.7589999999999999</v>
      </c>
      <c r="AB645" s="158">
        <v>91.981999999999999</v>
      </c>
      <c r="AD645" s="158">
        <v>4322.0159999999996</v>
      </c>
      <c r="AG645" s="11" t="s">
        <v>37</v>
      </c>
      <c r="AH645" s="189">
        <v>1.8029999999999999E-3</v>
      </c>
      <c r="AI645" s="189">
        <v>1.41025559073817E-2</v>
      </c>
      <c r="AJ645" s="189">
        <v>2.3498497948893598E-3</v>
      </c>
    </row>
    <row r="646" spans="1:36">
      <c r="A646" s="11" t="s">
        <v>256</v>
      </c>
      <c r="B646" s="11">
        <v>7205</v>
      </c>
      <c r="C646" s="11" t="s">
        <v>2983</v>
      </c>
      <c r="D646" s="11" t="s">
        <v>2984</v>
      </c>
      <c r="E646" s="4" t="s">
        <v>505</v>
      </c>
      <c r="F646" s="11" t="s">
        <v>2985</v>
      </c>
      <c r="G646" s="11" t="s">
        <v>2986</v>
      </c>
      <c r="H646" s="11" t="s">
        <v>511</v>
      </c>
      <c r="I646" s="11" t="s">
        <v>364</v>
      </c>
      <c r="J646" s="11" t="s">
        <v>154</v>
      </c>
      <c r="K646" s="11" t="s">
        <v>155</v>
      </c>
      <c r="L646" s="11" t="s">
        <v>517</v>
      </c>
      <c r="M646" s="11" t="s">
        <v>342</v>
      </c>
      <c r="N646" s="11" t="s">
        <v>714</v>
      </c>
      <c r="O646" s="11" t="s">
        <v>312</v>
      </c>
      <c r="P646" s="11" t="s">
        <v>2743</v>
      </c>
      <c r="Q646" s="11" t="s">
        <v>158</v>
      </c>
      <c r="R646" s="11" t="s">
        <v>596</v>
      </c>
      <c r="S646" s="11" t="s">
        <v>159</v>
      </c>
      <c r="T646" s="158">
        <v>5.0999999999999996</v>
      </c>
      <c r="U646" s="11" t="s">
        <v>2987</v>
      </c>
      <c r="V646" s="174">
        <v>3.7499999999999999E-2</v>
      </c>
      <c r="W646" s="189">
        <v>5.2540000000000003E-2</v>
      </c>
      <c r="X646" s="4" t="s">
        <v>602</v>
      </c>
      <c r="Y646" s="4" t="s">
        <v>312</v>
      </c>
      <c r="Z646" s="158">
        <v>155000</v>
      </c>
      <c r="AA646" s="158">
        <v>3.7589999999999999</v>
      </c>
      <c r="AB646" s="158">
        <v>94.272999999999996</v>
      </c>
      <c r="AD646" s="158">
        <v>549.27700000000004</v>
      </c>
      <c r="AG646" s="11" t="s">
        <v>37</v>
      </c>
      <c r="AH646" s="189">
        <v>1.56E-4</v>
      </c>
      <c r="AI646" s="189">
        <v>1.79226902084952E-3</v>
      </c>
      <c r="AJ646" s="189">
        <v>2.9863827654286001E-4</v>
      </c>
    </row>
    <row r="647" spans="1:36">
      <c r="A647" s="11" t="s">
        <v>256</v>
      </c>
      <c r="B647" s="11">
        <v>7205</v>
      </c>
      <c r="C647" s="11" t="s">
        <v>2988</v>
      </c>
      <c r="D647" s="11" t="s">
        <v>2989</v>
      </c>
      <c r="E647" s="4" t="s">
        <v>505</v>
      </c>
      <c r="F647" s="11" t="s">
        <v>2990</v>
      </c>
      <c r="G647" s="11" t="s">
        <v>2991</v>
      </c>
      <c r="H647" s="11" t="s">
        <v>511</v>
      </c>
      <c r="I647" s="11" t="s">
        <v>364</v>
      </c>
      <c r="J647" s="11" t="s">
        <v>154</v>
      </c>
      <c r="K647" s="11" t="s">
        <v>155</v>
      </c>
      <c r="L647" s="11" t="s">
        <v>517</v>
      </c>
      <c r="M647" s="11" t="s">
        <v>156</v>
      </c>
      <c r="N647" s="11" t="s">
        <v>706</v>
      </c>
      <c r="O647" s="11" t="s">
        <v>312</v>
      </c>
      <c r="P647" s="11" t="s">
        <v>2221</v>
      </c>
      <c r="Q647" s="11" t="s">
        <v>158</v>
      </c>
      <c r="R647" s="11" t="s">
        <v>596</v>
      </c>
      <c r="S647" s="11" t="s">
        <v>159</v>
      </c>
      <c r="T647" s="158">
        <v>5.26</v>
      </c>
      <c r="U647" s="11" t="s">
        <v>2992</v>
      </c>
      <c r="V647" s="174">
        <v>3.5999999999999997E-2</v>
      </c>
      <c r="W647" s="189">
        <v>5.2380000000000003E-2</v>
      </c>
      <c r="X647" s="4" t="s">
        <v>602</v>
      </c>
      <c r="Y647" s="4" t="s">
        <v>312</v>
      </c>
      <c r="Z647" s="158">
        <v>155000</v>
      </c>
      <c r="AA647" s="158">
        <v>3.7589999999999999</v>
      </c>
      <c r="AB647" s="158">
        <v>92.516000000000005</v>
      </c>
      <c r="AC647" s="158">
        <v>2.79</v>
      </c>
      <c r="AD647" s="158">
        <v>549.52700000000004</v>
      </c>
      <c r="AG647" s="11" t="s">
        <v>37</v>
      </c>
      <c r="AH647" s="189">
        <v>4.4299999999999998E-4</v>
      </c>
      <c r="AI647" s="189">
        <v>1.79308492896309E-3</v>
      </c>
      <c r="AJ647" s="189">
        <v>2.9877422789281001E-4</v>
      </c>
    </row>
    <row r="648" spans="1:36">
      <c r="A648" s="11" t="s">
        <v>256</v>
      </c>
      <c r="B648" s="11">
        <v>7205</v>
      </c>
      <c r="C648" s="11" t="s">
        <v>2993</v>
      </c>
      <c r="D648" s="11" t="s">
        <v>2994</v>
      </c>
      <c r="E648" s="4" t="s">
        <v>505</v>
      </c>
      <c r="F648" s="11" t="s">
        <v>2995</v>
      </c>
      <c r="G648" s="11" t="s">
        <v>2996</v>
      </c>
      <c r="H648" s="11" t="s">
        <v>511</v>
      </c>
      <c r="I648" s="11" t="s">
        <v>364</v>
      </c>
      <c r="J648" s="11" t="s">
        <v>154</v>
      </c>
      <c r="K648" s="11" t="s">
        <v>155</v>
      </c>
      <c r="L648" s="11" t="s">
        <v>517</v>
      </c>
      <c r="M648" s="11" t="s">
        <v>156</v>
      </c>
      <c r="N648" s="11" t="s">
        <v>735</v>
      </c>
      <c r="O648" s="11" t="s">
        <v>312</v>
      </c>
      <c r="P648" s="11" t="s">
        <v>2354</v>
      </c>
      <c r="Q648" s="11" t="s">
        <v>621</v>
      </c>
      <c r="R648" s="11" t="s">
        <v>596</v>
      </c>
      <c r="S648" s="11" t="s">
        <v>159</v>
      </c>
      <c r="T648" s="158">
        <v>4.37</v>
      </c>
      <c r="U648" s="11" t="s">
        <v>2997</v>
      </c>
      <c r="V648" s="174">
        <v>4.5999999999999999E-2</v>
      </c>
      <c r="W648" s="189">
        <v>5.3769999999999998E-2</v>
      </c>
      <c r="X648" s="4" t="s">
        <v>602</v>
      </c>
      <c r="Y648" s="4" t="s">
        <v>312</v>
      </c>
      <c r="Z648" s="158">
        <v>155000</v>
      </c>
      <c r="AA648" s="158">
        <v>3.7589999999999999</v>
      </c>
      <c r="AB648" s="158">
        <v>97.816000000000003</v>
      </c>
      <c r="AD648" s="158">
        <v>569.91700000000003</v>
      </c>
      <c r="AG648" s="11" t="s">
        <v>37</v>
      </c>
      <c r="AH648" s="189">
        <v>1.94E-4</v>
      </c>
      <c r="AI648" s="189">
        <v>1.85961659179742E-3</v>
      </c>
      <c r="AJ648" s="189">
        <v>3.09860120073748E-4</v>
      </c>
    </row>
    <row r="649" spans="1:36">
      <c r="A649" s="11" t="s">
        <v>256</v>
      </c>
      <c r="B649" s="11">
        <v>7205</v>
      </c>
      <c r="C649" s="11" t="s">
        <v>2998</v>
      </c>
      <c r="D649" s="11" t="s">
        <v>2999</v>
      </c>
      <c r="E649" s="4" t="s">
        <v>505</v>
      </c>
      <c r="F649" s="11" t="s">
        <v>3000</v>
      </c>
      <c r="G649" s="11" t="s">
        <v>3001</v>
      </c>
      <c r="H649" s="11" t="s">
        <v>511</v>
      </c>
      <c r="I649" s="11" t="s">
        <v>364</v>
      </c>
      <c r="J649" s="11" t="s">
        <v>154</v>
      </c>
      <c r="K649" s="11" t="s">
        <v>155</v>
      </c>
      <c r="L649" s="11" t="s">
        <v>517</v>
      </c>
      <c r="M649" s="11" t="s">
        <v>156</v>
      </c>
      <c r="N649" s="11" t="s">
        <v>733</v>
      </c>
      <c r="O649" s="11" t="s">
        <v>312</v>
      </c>
      <c r="P649" s="11" t="s">
        <v>2743</v>
      </c>
      <c r="Q649" s="11" t="s">
        <v>158</v>
      </c>
      <c r="R649" s="11" t="s">
        <v>596</v>
      </c>
      <c r="S649" s="11" t="s">
        <v>159</v>
      </c>
      <c r="T649" s="158">
        <v>3.2</v>
      </c>
      <c r="U649" s="11" t="s">
        <v>2328</v>
      </c>
      <c r="V649" s="174">
        <v>3.2500000000000001E-2</v>
      </c>
      <c r="W649" s="189">
        <v>5.3019999999999998E-2</v>
      </c>
      <c r="X649" s="4" t="s">
        <v>602</v>
      </c>
      <c r="Y649" s="4" t="s">
        <v>312</v>
      </c>
      <c r="Z649" s="158">
        <v>155000</v>
      </c>
      <c r="AA649" s="158">
        <v>3.7589999999999999</v>
      </c>
      <c r="AB649" s="158">
        <v>94.647000000000006</v>
      </c>
      <c r="AD649" s="158">
        <v>551.45799999999997</v>
      </c>
      <c r="AG649" s="11" t="s">
        <v>37</v>
      </c>
      <c r="AH649" s="189">
        <v>5.5999999999999999E-5</v>
      </c>
      <c r="AI649" s="189">
        <v>1.79938437156541E-3</v>
      </c>
      <c r="AJ649" s="189">
        <v>2.9982387761617798E-4</v>
      </c>
    </row>
    <row r="650" spans="1:36">
      <c r="A650" s="11" t="s">
        <v>256</v>
      </c>
      <c r="B650" s="11">
        <v>7205</v>
      </c>
      <c r="C650" s="11" t="s">
        <v>3002</v>
      </c>
      <c r="D650" s="11" t="s">
        <v>3003</v>
      </c>
      <c r="E650" s="4" t="s">
        <v>505</v>
      </c>
      <c r="F650" s="11" t="s">
        <v>3004</v>
      </c>
      <c r="G650" s="11" t="s">
        <v>3005</v>
      </c>
      <c r="H650" s="11" t="s">
        <v>511</v>
      </c>
      <c r="I650" s="11" t="s">
        <v>364</v>
      </c>
      <c r="J650" s="11" t="s">
        <v>154</v>
      </c>
      <c r="K650" s="11" t="s">
        <v>155</v>
      </c>
      <c r="L650" s="11" t="s">
        <v>517</v>
      </c>
      <c r="M650" s="11" t="s">
        <v>156</v>
      </c>
      <c r="N650" s="11" t="s">
        <v>723</v>
      </c>
      <c r="O650" s="11" t="s">
        <v>312</v>
      </c>
      <c r="P650" s="11" t="s">
        <v>2961</v>
      </c>
      <c r="Q650" s="11" t="s">
        <v>621</v>
      </c>
      <c r="R650" s="11" t="s">
        <v>596</v>
      </c>
      <c r="S650" s="11" t="s">
        <v>159</v>
      </c>
      <c r="T650" s="158">
        <v>1.67</v>
      </c>
      <c r="U650" s="11" t="s">
        <v>3006</v>
      </c>
      <c r="V650" s="174">
        <v>4.3749999999999997E-2</v>
      </c>
      <c r="W650" s="189">
        <v>6.3939999999999997E-2</v>
      </c>
      <c r="X650" s="4" t="s">
        <v>602</v>
      </c>
      <c r="Y650" s="4" t="s">
        <v>312</v>
      </c>
      <c r="Z650" s="158">
        <v>155000</v>
      </c>
      <c r="AA650" s="158">
        <v>3.7589999999999999</v>
      </c>
      <c r="AB650" s="158">
        <v>98.013999999999996</v>
      </c>
      <c r="AD650" s="158">
        <v>571.07399999999996</v>
      </c>
      <c r="AG650" s="11" t="s">
        <v>37</v>
      </c>
      <c r="AH650" s="189">
        <v>0</v>
      </c>
      <c r="AI650" s="189">
        <v>1.86339010304234E-3</v>
      </c>
      <c r="AJ650" s="189">
        <v>3.1048888443980502E-4</v>
      </c>
    </row>
    <row r="651" spans="1:36">
      <c r="A651" s="11" t="s">
        <v>256</v>
      </c>
      <c r="B651" s="11">
        <v>7205</v>
      </c>
      <c r="C651" s="11" t="s">
        <v>1786</v>
      </c>
      <c r="D651" s="11" t="s">
        <v>1787</v>
      </c>
      <c r="E651" s="4" t="s">
        <v>1552</v>
      </c>
      <c r="F651" s="11" t="s">
        <v>3007</v>
      </c>
      <c r="G651" s="11" t="s">
        <v>3008</v>
      </c>
      <c r="H651" s="11" t="s">
        <v>511</v>
      </c>
      <c r="I651" s="11" t="s">
        <v>364</v>
      </c>
      <c r="J651" s="11" t="s">
        <v>31</v>
      </c>
      <c r="K651" s="11" t="s">
        <v>155</v>
      </c>
      <c r="L651" s="11" t="s">
        <v>517</v>
      </c>
      <c r="M651" s="11" t="s">
        <v>342</v>
      </c>
      <c r="N651" s="11" t="s">
        <v>723</v>
      </c>
      <c r="O651" s="11" t="s">
        <v>312</v>
      </c>
      <c r="P651" s="11" t="s">
        <v>2814</v>
      </c>
      <c r="Q651" s="11" t="s">
        <v>158</v>
      </c>
      <c r="R651" s="11" t="s">
        <v>596</v>
      </c>
      <c r="S651" s="11" t="s">
        <v>169</v>
      </c>
      <c r="T651" s="158">
        <v>2.73</v>
      </c>
      <c r="U651" s="11" t="s">
        <v>3009</v>
      </c>
      <c r="V651" s="174">
        <v>3.7499999999999999E-2</v>
      </c>
      <c r="W651" s="189">
        <v>4.6969999999999998E-2</v>
      </c>
      <c r="X651" s="4" t="s">
        <v>602</v>
      </c>
      <c r="Y651" s="4" t="s">
        <v>312</v>
      </c>
      <c r="Z651" s="158">
        <v>632000</v>
      </c>
      <c r="AA651" s="158">
        <v>4.0199999999999996</v>
      </c>
      <c r="AB651" s="158">
        <v>98.337999999999994</v>
      </c>
      <c r="AD651" s="158">
        <v>2498.5450000000001</v>
      </c>
      <c r="AG651" s="11" t="s">
        <v>37</v>
      </c>
      <c r="AH651" s="189">
        <v>5.7499999999999999E-4</v>
      </c>
      <c r="AI651" s="189">
        <v>8.1526476999985199E-3</v>
      </c>
      <c r="AJ651" s="189">
        <v>1.3584415230447099E-3</v>
      </c>
    </row>
    <row r="652" spans="1:36">
      <c r="A652" s="11" t="s">
        <v>256</v>
      </c>
      <c r="B652" s="11">
        <v>7205</v>
      </c>
      <c r="C652" s="11" t="s">
        <v>1786</v>
      </c>
      <c r="D652" s="11" t="s">
        <v>1787</v>
      </c>
      <c r="E652" s="4" t="s">
        <v>1552</v>
      </c>
      <c r="F652" s="11" t="s">
        <v>3010</v>
      </c>
      <c r="G652" s="11" t="s">
        <v>3011</v>
      </c>
      <c r="H652" s="11" t="s">
        <v>511</v>
      </c>
      <c r="I652" s="11" t="s">
        <v>364</v>
      </c>
      <c r="J652" s="11" t="s">
        <v>31</v>
      </c>
      <c r="K652" s="11" t="s">
        <v>155</v>
      </c>
      <c r="L652" s="11" t="s">
        <v>517</v>
      </c>
      <c r="M652" s="11" t="s">
        <v>156</v>
      </c>
      <c r="N652" s="11" t="s">
        <v>723</v>
      </c>
      <c r="O652" s="11" t="s">
        <v>312</v>
      </c>
      <c r="P652" s="11" t="s">
        <v>2814</v>
      </c>
      <c r="Q652" s="11" t="s">
        <v>158</v>
      </c>
      <c r="R652" s="11" t="s">
        <v>596</v>
      </c>
      <c r="S652" s="11" t="s">
        <v>169</v>
      </c>
      <c r="T652" s="158">
        <v>5.13</v>
      </c>
      <c r="U652" s="11" t="s">
        <v>3012</v>
      </c>
      <c r="V652" s="174">
        <v>4.3749999999999997E-2</v>
      </c>
      <c r="W652" s="189">
        <v>5.033E-2</v>
      </c>
      <c r="X652" s="4" t="s">
        <v>602</v>
      </c>
      <c r="Y652" s="4" t="s">
        <v>312</v>
      </c>
      <c r="Z652" s="158">
        <v>320000</v>
      </c>
      <c r="AA652" s="158">
        <v>4.0199999999999996</v>
      </c>
      <c r="AB652" s="158">
        <v>97.528999999999996</v>
      </c>
      <c r="AD652" s="158">
        <v>1254.67</v>
      </c>
      <c r="AG652" s="11" t="s">
        <v>37</v>
      </c>
      <c r="AH652" s="189">
        <v>4.2700000000000002E-4</v>
      </c>
      <c r="AI652" s="189">
        <v>4.0939357450234699E-3</v>
      </c>
      <c r="AJ652" s="189">
        <v>6.8215535778859795E-4</v>
      </c>
    </row>
    <row r="653" spans="1:36">
      <c r="A653" s="11" t="s">
        <v>256</v>
      </c>
      <c r="B653" s="11">
        <v>7205</v>
      </c>
      <c r="C653" s="11" t="s">
        <v>1786</v>
      </c>
      <c r="D653" s="11" t="s">
        <v>1787</v>
      </c>
      <c r="E653" s="4" t="s">
        <v>1552</v>
      </c>
      <c r="F653" s="11" t="s">
        <v>2812</v>
      </c>
      <c r="G653" s="11" t="s">
        <v>2813</v>
      </c>
      <c r="H653" s="11" t="s">
        <v>511</v>
      </c>
      <c r="I653" s="11" t="s">
        <v>364</v>
      </c>
      <c r="J653" s="11" t="s">
        <v>31</v>
      </c>
      <c r="K653" s="11" t="s">
        <v>155</v>
      </c>
      <c r="L653" s="11" t="s">
        <v>517</v>
      </c>
      <c r="M653" s="11" t="s">
        <v>342</v>
      </c>
      <c r="N653" s="11" t="s">
        <v>723</v>
      </c>
      <c r="O653" s="11" t="s">
        <v>312</v>
      </c>
      <c r="P653" s="11" t="s">
        <v>2814</v>
      </c>
      <c r="Q653" s="11" t="s">
        <v>158</v>
      </c>
      <c r="R653" s="11" t="s">
        <v>596</v>
      </c>
      <c r="S653" s="11" t="s">
        <v>169</v>
      </c>
      <c r="T653" s="158">
        <v>4.17</v>
      </c>
      <c r="U653" s="11" t="s">
        <v>2815</v>
      </c>
      <c r="V653" s="174">
        <v>7.3749999999999996E-2</v>
      </c>
      <c r="W653" s="189">
        <v>5.0279999999999998E-2</v>
      </c>
      <c r="X653" s="4" t="s">
        <v>602</v>
      </c>
      <c r="Y653" s="4" t="s">
        <v>312</v>
      </c>
      <c r="Z653" s="158">
        <v>37000</v>
      </c>
      <c r="AA653" s="158">
        <v>4.0199999999999996</v>
      </c>
      <c r="AB653" s="158">
        <v>113.035</v>
      </c>
      <c r="AD653" s="158">
        <v>168.137</v>
      </c>
      <c r="AG653" s="11" t="s">
        <v>37</v>
      </c>
      <c r="AH653" s="189">
        <v>4.6E-5</v>
      </c>
      <c r="AI653" s="189">
        <v>5.48622916433176E-4</v>
      </c>
      <c r="AJ653" s="189">
        <v>9.1414737592162995E-5</v>
      </c>
    </row>
    <row r="654" spans="1:36">
      <c r="A654" s="11" t="s">
        <v>256</v>
      </c>
      <c r="B654" s="11">
        <v>7205</v>
      </c>
      <c r="C654" s="11" t="s">
        <v>1786</v>
      </c>
      <c r="D654" s="11" t="s">
        <v>1787</v>
      </c>
      <c r="E654" s="4" t="s">
        <v>1552</v>
      </c>
      <c r="F654" s="11" t="s">
        <v>2816</v>
      </c>
      <c r="G654" s="11" t="s">
        <v>2817</v>
      </c>
      <c r="H654" s="11" t="s">
        <v>511</v>
      </c>
      <c r="I654" s="11" t="s">
        <v>364</v>
      </c>
      <c r="J654" s="11" t="s">
        <v>31</v>
      </c>
      <c r="K654" s="11" t="s">
        <v>155</v>
      </c>
      <c r="L654" s="11" t="s">
        <v>517</v>
      </c>
      <c r="M654" s="11" t="s">
        <v>342</v>
      </c>
      <c r="N654" s="11" t="s">
        <v>723</v>
      </c>
      <c r="O654" s="11" t="s">
        <v>312</v>
      </c>
      <c r="P654" s="11" t="s">
        <v>2814</v>
      </c>
      <c r="Q654" s="11" t="s">
        <v>158</v>
      </c>
      <c r="R654" s="11" t="s">
        <v>596</v>
      </c>
      <c r="S654" s="11" t="s">
        <v>169</v>
      </c>
      <c r="T654" s="158">
        <v>5.43</v>
      </c>
      <c r="U654" s="11" t="s">
        <v>2818</v>
      </c>
      <c r="V654" s="174">
        <v>7.8750000000000001E-2</v>
      </c>
      <c r="W654" s="189">
        <v>5.2429999999999997E-2</v>
      </c>
      <c r="X654" s="4" t="s">
        <v>602</v>
      </c>
      <c r="Y654" s="4" t="s">
        <v>312</v>
      </c>
      <c r="Z654" s="158">
        <v>37000</v>
      </c>
      <c r="AA654" s="158">
        <v>4.0199999999999996</v>
      </c>
      <c r="AB654" s="158">
        <v>117.645</v>
      </c>
      <c r="AD654" s="158">
        <v>174.994</v>
      </c>
      <c r="AG654" s="11" t="s">
        <v>37</v>
      </c>
      <c r="AH654" s="189">
        <v>7.3999999999999996E-5</v>
      </c>
      <c r="AI654" s="189">
        <v>5.7099704281179996E-4</v>
      </c>
      <c r="AJ654" s="189">
        <v>9.5142844513130303E-5</v>
      </c>
    </row>
    <row r="655" spans="1:36">
      <c r="A655" s="11" t="s">
        <v>256</v>
      </c>
      <c r="B655" s="11">
        <v>7205</v>
      </c>
      <c r="C655" s="11" t="s">
        <v>1786</v>
      </c>
      <c r="D655" s="11" t="s">
        <v>1787</v>
      </c>
      <c r="E655" s="4" t="s">
        <v>1552</v>
      </c>
      <c r="F655" s="11" t="s">
        <v>3013</v>
      </c>
      <c r="G655" s="11" t="s">
        <v>3014</v>
      </c>
      <c r="H655" s="11" t="s">
        <v>511</v>
      </c>
      <c r="I655" s="11" t="s">
        <v>364</v>
      </c>
      <c r="J655" s="11" t="s">
        <v>31</v>
      </c>
      <c r="K655" s="11" t="s">
        <v>155</v>
      </c>
      <c r="L655" s="11" t="s">
        <v>517</v>
      </c>
      <c r="M655" s="11" t="s">
        <v>156</v>
      </c>
      <c r="N655" s="11" t="s">
        <v>723</v>
      </c>
      <c r="O655" s="11" t="s">
        <v>312</v>
      </c>
      <c r="P655" s="11" t="s">
        <v>2814</v>
      </c>
      <c r="Q655" s="11" t="s">
        <v>158</v>
      </c>
      <c r="R655" s="11" t="s">
        <v>596</v>
      </c>
      <c r="S655" s="11" t="s">
        <v>159</v>
      </c>
      <c r="T655" s="158">
        <v>2.19</v>
      </c>
      <c r="U655" s="11" t="s">
        <v>3015</v>
      </c>
      <c r="V655" s="174">
        <v>3.15E-2</v>
      </c>
      <c r="W655" s="189">
        <v>6.3009999999999997E-2</v>
      </c>
      <c r="X655" s="4" t="s">
        <v>602</v>
      </c>
      <c r="Y655" s="4" t="s">
        <v>312</v>
      </c>
      <c r="Z655" s="158">
        <v>800000</v>
      </c>
      <c r="AA655" s="158">
        <v>3.7589999999999999</v>
      </c>
      <c r="AB655" s="158">
        <v>94.74</v>
      </c>
      <c r="AD655" s="158">
        <v>2849.027</v>
      </c>
      <c r="AG655" s="11" t="s">
        <v>37</v>
      </c>
      <c r="AH655" s="189">
        <v>2.2900000000000001E-4</v>
      </c>
      <c r="AI655" s="189">
        <v>9.2962556301244698E-3</v>
      </c>
      <c r="AJ655" s="189">
        <v>1.54899612021768E-3</v>
      </c>
    </row>
    <row r="656" spans="1:36">
      <c r="A656" s="11" t="s">
        <v>256</v>
      </c>
      <c r="B656" s="11">
        <v>7205</v>
      </c>
      <c r="C656" s="11" t="s">
        <v>3016</v>
      </c>
      <c r="D656" s="11" t="s">
        <v>3017</v>
      </c>
      <c r="E656" s="4" t="s">
        <v>505</v>
      </c>
      <c r="F656" s="11" t="s">
        <v>3018</v>
      </c>
      <c r="G656" s="11" t="s">
        <v>3019</v>
      </c>
      <c r="H656" s="11" t="s">
        <v>511</v>
      </c>
      <c r="I656" s="11" t="s">
        <v>364</v>
      </c>
      <c r="J656" s="11" t="s">
        <v>154</v>
      </c>
      <c r="K656" s="11" t="s">
        <v>155</v>
      </c>
      <c r="L656" s="11" t="s">
        <v>517</v>
      </c>
      <c r="M656" s="11" t="s">
        <v>156</v>
      </c>
      <c r="N656" s="11" t="s">
        <v>739</v>
      </c>
      <c r="O656" s="11" t="s">
        <v>312</v>
      </c>
      <c r="P656" s="11" t="s">
        <v>2221</v>
      </c>
      <c r="Q656" s="11" t="s">
        <v>158</v>
      </c>
      <c r="R656" s="11" t="s">
        <v>596</v>
      </c>
      <c r="S656" s="11" t="s">
        <v>159</v>
      </c>
      <c r="T656" s="158">
        <v>4.74</v>
      </c>
      <c r="U656" s="11" t="s">
        <v>3020</v>
      </c>
      <c r="V656" s="174">
        <v>4.0160000000000001E-2</v>
      </c>
      <c r="W656" s="189">
        <v>5.3199999999999997E-2</v>
      </c>
      <c r="X656" s="4" t="s">
        <v>602</v>
      </c>
      <c r="Y656" s="4" t="s">
        <v>312</v>
      </c>
      <c r="Z656" s="158">
        <v>155000</v>
      </c>
      <c r="AA656" s="158">
        <v>3.7589999999999999</v>
      </c>
      <c r="AB656" s="158">
        <v>94.822999999999993</v>
      </c>
      <c r="AD656" s="158">
        <v>552.48299999999995</v>
      </c>
      <c r="AG656" s="11" t="s">
        <v>37</v>
      </c>
      <c r="AH656" s="189">
        <v>3.8999999999999999E-5</v>
      </c>
      <c r="AI656" s="189">
        <v>1.80272754183864E-3</v>
      </c>
      <c r="AJ656" s="189">
        <v>3.00380936069442E-4</v>
      </c>
    </row>
    <row r="657" spans="1:36">
      <c r="A657" s="11" t="s">
        <v>256</v>
      </c>
      <c r="B657" s="11">
        <v>7205</v>
      </c>
      <c r="C657" s="11" t="s">
        <v>3021</v>
      </c>
      <c r="D657" s="11" t="s">
        <v>3022</v>
      </c>
      <c r="E657" s="4" t="s">
        <v>505</v>
      </c>
      <c r="F657" s="11" t="s">
        <v>3023</v>
      </c>
      <c r="G657" s="11" t="s">
        <v>3024</v>
      </c>
      <c r="H657" s="11" t="s">
        <v>511</v>
      </c>
      <c r="I657" s="11" t="s">
        <v>364</v>
      </c>
      <c r="J657" s="11" t="s">
        <v>154</v>
      </c>
      <c r="K657" s="11" t="s">
        <v>155</v>
      </c>
      <c r="L657" s="11" t="s">
        <v>517</v>
      </c>
      <c r="M657" s="11" t="s">
        <v>535</v>
      </c>
      <c r="N657" s="11" t="s">
        <v>723</v>
      </c>
      <c r="O657" s="11" t="s">
        <v>312</v>
      </c>
      <c r="P657" s="11" t="s">
        <v>2769</v>
      </c>
      <c r="Q657" s="11" t="s">
        <v>158</v>
      </c>
      <c r="R657" s="11" t="s">
        <v>596</v>
      </c>
      <c r="S657" s="11" t="s">
        <v>159</v>
      </c>
      <c r="T657" s="158">
        <v>2.85</v>
      </c>
      <c r="U657" s="11" t="s">
        <v>3025</v>
      </c>
      <c r="V657" s="174">
        <v>2.3E-2</v>
      </c>
      <c r="W657" s="189">
        <v>5.7570000000000003E-2</v>
      </c>
      <c r="X657" s="4" t="s">
        <v>602</v>
      </c>
      <c r="Y657" s="4" t="s">
        <v>312</v>
      </c>
      <c r="Z657" s="158">
        <v>155000</v>
      </c>
      <c r="AA657" s="158">
        <v>3.7589999999999999</v>
      </c>
      <c r="AB657" s="158">
        <v>91.283000000000001</v>
      </c>
      <c r="AD657" s="158">
        <v>531.85599999999999</v>
      </c>
      <c r="AG657" s="11" t="s">
        <v>37</v>
      </c>
      <c r="AH657" s="189">
        <v>0</v>
      </c>
      <c r="AI657" s="189">
        <v>1.7354252807210799E-3</v>
      </c>
      <c r="AJ657" s="189">
        <v>2.8916664232571599E-4</v>
      </c>
    </row>
    <row r="658" spans="1:36">
      <c r="A658" s="11" t="s">
        <v>256</v>
      </c>
      <c r="B658" s="11">
        <v>7205</v>
      </c>
      <c r="C658" s="11" t="s">
        <v>1674</v>
      </c>
      <c r="D658" s="11" t="s">
        <v>1675</v>
      </c>
      <c r="E658" s="4" t="s">
        <v>1552</v>
      </c>
      <c r="F658" s="11" t="s">
        <v>2819</v>
      </c>
      <c r="G658" s="11" t="s">
        <v>2820</v>
      </c>
      <c r="H658" s="11" t="s">
        <v>511</v>
      </c>
      <c r="I658" s="11" t="s">
        <v>1154</v>
      </c>
      <c r="J658" s="11" t="s">
        <v>31</v>
      </c>
      <c r="K658" s="11" t="s">
        <v>155</v>
      </c>
      <c r="L658" s="11" t="s">
        <v>517</v>
      </c>
      <c r="M658" s="11" t="s">
        <v>32</v>
      </c>
      <c r="N658" s="11" t="s">
        <v>629</v>
      </c>
      <c r="O658" s="11" t="s">
        <v>312</v>
      </c>
      <c r="P658" s="11" t="s">
        <v>2165</v>
      </c>
      <c r="Q658" s="27" t="s">
        <v>2165</v>
      </c>
      <c r="R658" s="16" t="s">
        <v>2165</v>
      </c>
      <c r="S658" s="11" t="s">
        <v>35</v>
      </c>
      <c r="T658" s="158">
        <v>0.627</v>
      </c>
      <c r="U658" s="11" t="s">
        <v>2821</v>
      </c>
      <c r="V658" s="174">
        <v>4.2500000000000003E-2</v>
      </c>
      <c r="W658" s="189">
        <v>5.5780000000000003E-2</v>
      </c>
      <c r="X658" s="4" t="s">
        <v>602</v>
      </c>
      <c r="Y658" s="4" t="s">
        <v>312</v>
      </c>
      <c r="Z658" s="158">
        <v>832420.08</v>
      </c>
      <c r="AA658" s="158">
        <v>1</v>
      </c>
      <c r="AB658" s="158">
        <v>100.64</v>
      </c>
      <c r="AD658" s="158">
        <v>837.74800000000005</v>
      </c>
      <c r="AG658" s="11" t="s">
        <v>37</v>
      </c>
      <c r="AH658" s="189">
        <v>1.0026E-2</v>
      </c>
      <c r="AI658" s="189">
        <v>2.7335349980412401E-3</v>
      </c>
      <c r="AJ658" s="189">
        <v>4.5547748200082801E-4</v>
      </c>
    </row>
    <row r="659" spans="1:36">
      <c r="A659" s="11" t="s">
        <v>256</v>
      </c>
      <c r="B659" s="11">
        <v>7205</v>
      </c>
      <c r="C659" s="11" t="s">
        <v>2323</v>
      </c>
      <c r="D659" s="11" t="s">
        <v>2324</v>
      </c>
      <c r="E659" s="4" t="s">
        <v>504</v>
      </c>
      <c r="F659" s="11" t="s">
        <v>2822</v>
      </c>
      <c r="G659" s="11" t="s">
        <v>2823</v>
      </c>
      <c r="H659" s="11" t="s">
        <v>511</v>
      </c>
      <c r="I659" s="11" t="s">
        <v>1154</v>
      </c>
      <c r="J659" s="11" t="s">
        <v>154</v>
      </c>
      <c r="K659" s="11" t="s">
        <v>155</v>
      </c>
      <c r="L659" s="11" t="s">
        <v>517</v>
      </c>
      <c r="M659" s="11" t="s">
        <v>32</v>
      </c>
      <c r="N659" s="11" t="s">
        <v>653</v>
      </c>
      <c r="O659" s="11" t="s">
        <v>312</v>
      </c>
      <c r="P659" s="11" t="s">
        <v>2161</v>
      </c>
      <c r="Q659" s="11" t="s">
        <v>358</v>
      </c>
      <c r="R659" s="11" t="s">
        <v>596</v>
      </c>
      <c r="S659" s="11" t="s">
        <v>35</v>
      </c>
      <c r="T659" s="158">
        <v>1.105</v>
      </c>
      <c r="U659" s="11" t="s">
        <v>119</v>
      </c>
      <c r="V659" s="174">
        <v>5.9499999999999997E-2</v>
      </c>
      <c r="W659" s="189">
        <v>7.4579999999999994E-2</v>
      </c>
      <c r="X659" s="4" t="s">
        <v>602</v>
      </c>
      <c r="Y659" s="4" t="s">
        <v>530</v>
      </c>
      <c r="Z659" s="158">
        <v>1670257.04</v>
      </c>
      <c r="AA659" s="158">
        <v>1</v>
      </c>
      <c r="AB659" s="158">
        <v>99.4</v>
      </c>
      <c r="AD659" s="158">
        <v>1660.2349999999999</v>
      </c>
      <c r="AG659" s="11" t="s">
        <v>37</v>
      </c>
      <c r="AH659" s="189">
        <v>5.8320000000000004E-3</v>
      </c>
      <c r="AI659" s="189">
        <v>5.4172784364844998E-3</v>
      </c>
      <c r="AJ659" s="189">
        <v>9.0265840507454105E-4</v>
      </c>
    </row>
    <row r="660" spans="1:36">
      <c r="A660" s="11" t="s">
        <v>256</v>
      </c>
      <c r="B660" s="11">
        <v>7205</v>
      </c>
      <c r="C660" s="11" t="s">
        <v>1754</v>
      </c>
      <c r="D660" s="11" t="s">
        <v>1755</v>
      </c>
      <c r="E660" s="4" t="s">
        <v>1552</v>
      </c>
      <c r="F660" s="11" t="s">
        <v>2824</v>
      </c>
      <c r="G660" s="11" t="s">
        <v>2825</v>
      </c>
      <c r="H660" s="11" t="s">
        <v>511</v>
      </c>
      <c r="I660" s="11" t="s">
        <v>1154</v>
      </c>
      <c r="J660" s="11" t="s">
        <v>154</v>
      </c>
      <c r="K660" s="11" t="s">
        <v>31</v>
      </c>
      <c r="L660" s="11" t="s">
        <v>517</v>
      </c>
      <c r="M660" s="11" t="s">
        <v>32</v>
      </c>
      <c r="N660" s="11" t="s">
        <v>635</v>
      </c>
      <c r="O660" t="s">
        <v>312</v>
      </c>
      <c r="P660" s="11" t="s">
        <v>168</v>
      </c>
      <c r="Q660" s="11" t="s">
        <v>604</v>
      </c>
      <c r="R660" s="11" t="s">
        <v>596</v>
      </c>
      <c r="S660" s="11" t="s">
        <v>35</v>
      </c>
      <c r="T660" s="158">
        <v>0.98399999999999999</v>
      </c>
      <c r="U660" s="11" t="s">
        <v>2188</v>
      </c>
      <c r="V660" s="174">
        <v>4.1700000000000001E-2</v>
      </c>
      <c r="W660" s="189">
        <v>5.5230000000000001E-2</v>
      </c>
      <c r="X660" s="4" t="s">
        <v>602</v>
      </c>
      <c r="Y660" s="4" t="s">
        <v>312</v>
      </c>
      <c r="Z660" s="158">
        <v>260562</v>
      </c>
      <c r="AA660" s="158">
        <v>1</v>
      </c>
      <c r="AB660" s="158">
        <v>98.79</v>
      </c>
      <c r="AD660" s="158">
        <v>257.40899999999999</v>
      </c>
      <c r="AG660" s="11" t="s">
        <v>37</v>
      </c>
      <c r="AH660" s="189">
        <v>1.3619999999999999E-3</v>
      </c>
      <c r="AI660" s="189">
        <v>8.3991536701310198E-4</v>
      </c>
      <c r="AJ660" s="189">
        <v>1.3995157798786601E-4</v>
      </c>
    </row>
    <row r="661" spans="1:36">
      <c r="A661" s="11" t="s">
        <v>256</v>
      </c>
      <c r="B661" s="11">
        <v>7205</v>
      </c>
      <c r="C661" s="11" t="s">
        <v>2826</v>
      </c>
      <c r="D661" s="11" t="s">
        <v>2827</v>
      </c>
      <c r="E661" s="4" t="s">
        <v>1552</v>
      </c>
      <c r="F661" s="11" t="s">
        <v>2828</v>
      </c>
      <c r="G661" s="11" t="s">
        <v>2829</v>
      </c>
      <c r="H661" s="11" t="s">
        <v>511</v>
      </c>
      <c r="I661" s="11" t="s">
        <v>1155</v>
      </c>
      <c r="J661" s="11" t="s">
        <v>31</v>
      </c>
      <c r="K661" s="11" t="s">
        <v>31</v>
      </c>
      <c r="L661" s="11" t="s">
        <v>517</v>
      </c>
      <c r="M661" s="11" t="s">
        <v>32</v>
      </c>
      <c r="N661" s="11" t="s">
        <v>667</v>
      </c>
      <c r="O661" s="11" t="s">
        <v>312</v>
      </c>
      <c r="P661" s="11" t="s">
        <v>174</v>
      </c>
      <c r="Q661" s="11" t="s">
        <v>604</v>
      </c>
      <c r="R661" s="11" t="s">
        <v>596</v>
      </c>
      <c r="S661" s="11" t="s">
        <v>35</v>
      </c>
      <c r="T661" s="158">
        <v>1.478</v>
      </c>
      <c r="U661" s="11" t="s">
        <v>2203</v>
      </c>
      <c r="V661" s="174">
        <v>1.4999999999999999E-2</v>
      </c>
      <c r="W661" s="189">
        <v>5.1529999999999999E-2</v>
      </c>
      <c r="X661" s="4" t="s">
        <v>602</v>
      </c>
      <c r="Y661" s="4" t="s">
        <v>312</v>
      </c>
      <c r="Z661" s="158">
        <v>19333.330000000002</v>
      </c>
      <c r="AA661" s="158">
        <v>1</v>
      </c>
      <c r="AB661" s="158">
        <v>94.9</v>
      </c>
      <c r="AD661" s="158">
        <v>18.347000000000001</v>
      </c>
      <c r="AG661" s="11" t="s">
        <v>37</v>
      </c>
      <c r="AH661" s="189">
        <v>3.7800000000000003E-4</v>
      </c>
      <c r="AI661" s="189">
        <v>5.9866564852458399E-5</v>
      </c>
      <c r="AJ661" s="189">
        <v>9.9753148339334396E-6</v>
      </c>
    </row>
    <row r="662" spans="1:36">
      <c r="A662" s="11" t="s">
        <v>256</v>
      </c>
      <c r="B662" s="11">
        <v>7205</v>
      </c>
      <c r="C662" s="11" t="s">
        <v>2830</v>
      </c>
      <c r="D662" s="11" t="s">
        <v>2831</v>
      </c>
      <c r="E662" s="4" t="s">
        <v>504</v>
      </c>
      <c r="F662" s="11" t="s">
        <v>2832</v>
      </c>
      <c r="G662" s="11" t="s">
        <v>2833</v>
      </c>
      <c r="H662" s="11" t="s">
        <v>511</v>
      </c>
      <c r="I662" s="11" t="s">
        <v>364</v>
      </c>
      <c r="J662" s="11" t="s">
        <v>31</v>
      </c>
      <c r="K662" s="11" t="s">
        <v>31</v>
      </c>
      <c r="L662" s="11" t="s">
        <v>517</v>
      </c>
      <c r="M662" s="11" t="s">
        <v>32</v>
      </c>
      <c r="N662" s="11" t="s">
        <v>669</v>
      </c>
      <c r="O662" s="11" t="s">
        <v>312</v>
      </c>
      <c r="P662" s="11" t="s">
        <v>2394</v>
      </c>
      <c r="Q662" s="11" t="s">
        <v>358</v>
      </c>
      <c r="R662" s="11" t="s">
        <v>596</v>
      </c>
      <c r="S662" s="11" t="s">
        <v>35</v>
      </c>
      <c r="T662" s="158">
        <v>1</v>
      </c>
      <c r="U662" s="11" t="s">
        <v>2834</v>
      </c>
      <c r="V662" s="174">
        <v>3.3700000000000001E-2</v>
      </c>
      <c r="W662" s="189">
        <v>6.54E-2</v>
      </c>
      <c r="X662" s="4" t="s">
        <v>602</v>
      </c>
      <c r="Y662" s="4" t="s">
        <v>312</v>
      </c>
      <c r="Z662" s="158">
        <v>1558718.92</v>
      </c>
      <c r="AA662" s="158">
        <v>1</v>
      </c>
      <c r="AB662" s="158">
        <v>103.29</v>
      </c>
      <c r="AC662" s="158">
        <v>27.920999999999999</v>
      </c>
      <c r="AD662" s="158">
        <v>1637.922</v>
      </c>
      <c r="AG662" s="11" t="s">
        <v>37</v>
      </c>
      <c r="AH662" s="189">
        <v>1.1134E-2</v>
      </c>
      <c r="AI662" s="189">
        <v>5.3444690063442898E-3</v>
      </c>
      <c r="AJ662" s="189">
        <v>8.9052647483404805E-4</v>
      </c>
    </row>
    <row r="663" spans="1:36">
      <c r="A663" s="11" t="s">
        <v>256</v>
      </c>
      <c r="B663" s="11">
        <v>7205</v>
      </c>
      <c r="C663" s="11" t="s">
        <v>1947</v>
      </c>
      <c r="D663" s="11" t="s">
        <v>1948</v>
      </c>
      <c r="E663" s="4" t="s">
        <v>1552</v>
      </c>
      <c r="F663" s="11" t="s">
        <v>2835</v>
      </c>
      <c r="G663" s="11" t="s">
        <v>2836</v>
      </c>
      <c r="H663" s="11" t="s">
        <v>511</v>
      </c>
      <c r="I663" s="11" t="s">
        <v>1154</v>
      </c>
      <c r="J663" s="11" t="s">
        <v>31</v>
      </c>
      <c r="K663" s="11" t="s">
        <v>31</v>
      </c>
      <c r="L663" s="11" t="s">
        <v>517</v>
      </c>
      <c r="M663" s="11" t="s">
        <v>32</v>
      </c>
      <c r="N663" s="11" t="s">
        <v>635</v>
      </c>
      <c r="O663" s="11" t="s">
        <v>312</v>
      </c>
      <c r="P663" s="11" t="s">
        <v>174</v>
      </c>
      <c r="Q663" s="11" t="s">
        <v>604</v>
      </c>
      <c r="R663" s="11" t="s">
        <v>596</v>
      </c>
      <c r="S663" s="11" t="s">
        <v>35</v>
      </c>
      <c r="T663" s="158">
        <v>1.4630000000000001</v>
      </c>
      <c r="U663" s="11" t="s">
        <v>2333</v>
      </c>
      <c r="V663" s="174">
        <v>0.02</v>
      </c>
      <c r="W663" s="189">
        <v>5.7119999999999997E-2</v>
      </c>
      <c r="X663" s="4" t="s">
        <v>602</v>
      </c>
      <c r="Y663" s="4" t="s">
        <v>312</v>
      </c>
      <c r="Z663" s="158">
        <v>133179</v>
      </c>
      <c r="AA663" s="158">
        <v>1</v>
      </c>
      <c r="AB663" s="158">
        <v>94.88</v>
      </c>
      <c r="AD663" s="158">
        <v>126.36</v>
      </c>
      <c r="AG663" s="11" t="s">
        <v>37</v>
      </c>
      <c r="AH663" s="189">
        <v>3.8099999999999999E-4</v>
      </c>
      <c r="AI663" s="189">
        <v>4.1230812032488201E-4</v>
      </c>
      <c r="AJ663" s="189">
        <v>6.8701174336030304E-5</v>
      </c>
    </row>
    <row r="664" spans="1:36">
      <c r="A664" s="11" t="s">
        <v>256</v>
      </c>
      <c r="B664" s="11">
        <v>7205</v>
      </c>
      <c r="C664" s="11" t="s">
        <v>2837</v>
      </c>
      <c r="D664" s="11" t="s">
        <v>2838</v>
      </c>
      <c r="E664" s="4" t="s">
        <v>1552</v>
      </c>
      <c r="F664" s="11" t="s">
        <v>2839</v>
      </c>
      <c r="G664" s="11" t="s">
        <v>2840</v>
      </c>
      <c r="H664" s="11" t="s">
        <v>511</v>
      </c>
      <c r="I664" s="11" t="s">
        <v>945</v>
      </c>
      <c r="J664" s="11" t="s">
        <v>154</v>
      </c>
      <c r="K664" s="11" t="s">
        <v>31</v>
      </c>
      <c r="L664" s="11" t="s">
        <v>517</v>
      </c>
      <c r="M664" s="11" t="s">
        <v>32</v>
      </c>
      <c r="N664" s="11" t="s">
        <v>635</v>
      </c>
      <c r="O664" s="11" t="s">
        <v>312</v>
      </c>
      <c r="P664" s="11" t="s">
        <v>2165</v>
      </c>
      <c r="Q664" s="27" t="s">
        <v>2165</v>
      </c>
      <c r="R664" s="16" t="s">
        <v>2165</v>
      </c>
      <c r="S664" s="11" t="s">
        <v>35</v>
      </c>
      <c r="T664" s="158">
        <v>1.6639999999999999</v>
      </c>
      <c r="U664" s="11" t="s">
        <v>2235</v>
      </c>
      <c r="V664" s="174">
        <v>2.8500000000000001E-2</v>
      </c>
      <c r="W664" s="189">
        <v>2.3E-2</v>
      </c>
      <c r="X664" s="4" t="s">
        <v>602</v>
      </c>
      <c r="Y664" s="4" t="s">
        <v>312</v>
      </c>
      <c r="Z664" s="158">
        <v>2261311.2000000002</v>
      </c>
      <c r="AA664" s="158">
        <v>1</v>
      </c>
      <c r="AB664" s="158">
        <v>116.03</v>
      </c>
      <c r="AD664" s="158">
        <v>2623.799</v>
      </c>
      <c r="AG664" s="11" t="s">
        <v>37</v>
      </c>
      <c r="AH664" s="189">
        <v>1.5443E-2</v>
      </c>
      <c r="AI664" s="189">
        <v>8.5613467795077492E-3</v>
      </c>
      <c r="AJ664" s="189">
        <v>1.4265413380331101E-3</v>
      </c>
    </row>
    <row r="665" spans="1:36">
      <c r="A665" s="11" t="s">
        <v>256</v>
      </c>
      <c r="B665" s="11">
        <v>7205</v>
      </c>
      <c r="C665" s="11" t="s">
        <v>3026</v>
      </c>
      <c r="D665" s="11" t="s">
        <v>3027</v>
      </c>
      <c r="E665" s="4" t="s">
        <v>504</v>
      </c>
      <c r="F665" s="11" t="s">
        <v>3028</v>
      </c>
      <c r="G665" s="11" t="s">
        <v>3029</v>
      </c>
      <c r="H665" s="11" t="s">
        <v>511</v>
      </c>
      <c r="I665" s="11" t="s">
        <v>364</v>
      </c>
      <c r="J665" s="11" t="s">
        <v>154</v>
      </c>
      <c r="K665" s="11" t="s">
        <v>426</v>
      </c>
      <c r="L665" s="11" t="s">
        <v>517</v>
      </c>
      <c r="M665" s="11" t="s">
        <v>32</v>
      </c>
      <c r="N665" s="11" t="s">
        <v>653</v>
      </c>
      <c r="O665" s="11" t="s">
        <v>312</v>
      </c>
      <c r="P665" s="11" t="s">
        <v>2418</v>
      </c>
      <c r="Q665" s="11" t="s">
        <v>604</v>
      </c>
      <c r="R665" s="11" t="s">
        <v>596</v>
      </c>
      <c r="S665" s="11" t="s">
        <v>35</v>
      </c>
      <c r="T665" s="158">
        <v>3.13</v>
      </c>
      <c r="U665" s="11" t="s">
        <v>3030</v>
      </c>
      <c r="V665" s="174">
        <v>4.2999999999999997E-2</v>
      </c>
      <c r="W665" s="189">
        <v>7.8320000000000001E-2</v>
      </c>
      <c r="X665" s="4" t="s">
        <v>602</v>
      </c>
      <c r="Y665" s="4" t="s">
        <v>312</v>
      </c>
      <c r="Z665" s="158">
        <v>563035.82999999996</v>
      </c>
      <c r="AA665" s="158">
        <v>1</v>
      </c>
      <c r="AB665" s="158">
        <v>90.67</v>
      </c>
      <c r="AD665" s="158">
        <v>510.505</v>
      </c>
      <c r="AG665" s="11" t="s">
        <v>37</v>
      </c>
      <c r="AH665" s="189">
        <v>5.0000000000000001E-4</v>
      </c>
      <c r="AI665" s="189">
        <v>1.6657549455744501E-3</v>
      </c>
      <c r="AJ665" s="189">
        <v>2.7755776632980598E-4</v>
      </c>
    </row>
    <row r="666" spans="1:36">
      <c r="A666" s="11" t="s">
        <v>256</v>
      </c>
      <c r="B666" s="11">
        <v>7206</v>
      </c>
      <c r="C666" s="11" t="s">
        <v>1602</v>
      </c>
      <c r="D666" s="11" t="s">
        <v>1603</v>
      </c>
      <c r="E666" s="4" t="s">
        <v>1552</v>
      </c>
      <c r="F666" s="11" t="s">
        <v>2159</v>
      </c>
      <c r="G666" s="11" t="s">
        <v>2160</v>
      </c>
      <c r="H666" s="11" t="s">
        <v>511</v>
      </c>
      <c r="I666" s="11" t="s">
        <v>1154</v>
      </c>
      <c r="J666" s="11" t="s">
        <v>31</v>
      </c>
      <c r="K666" s="11" t="s">
        <v>31</v>
      </c>
      <c r="L666" s="11" t="s">
        <v>517</v>
      </c>
      <c r="M666" s="11" t="s">
        <v>32</v>
      </c>
      <c r="N666" s="11" t="s">
        <v>654</v>
      </c>
      <c r="O666" s="11" t="s">
        <v>312</v>
      </c>
      <c r="P666" s="11" t="s">
        <v>2161</v>
      </c>
      <c r="Q666" s="11" t="s">
        <v>358</v>
      </c>
      <c r="R666" s="11" t="s">
        <v>596</v>
      </c>
      <c r="S666" s="11" t="s">
        <v>35</v>
      </c>
      <c r="T666" s="158">
        <v>0.499</v>
      </c>
      <c r="U666" s="11" t="s">
        <v>2162</v>
      </c>
      <c r="V666" s="174">
        <v>4.7500000000000001E-2</v>
      </c>
      <c r="W666" s="189">
        <v>5.5599999999999997E-2</v>
      </c>
      <c r="X666" s="4" t="s">
        <v>602</v>
      </c>
      <c r="Y666" s="4" t="s">
        <v>312</v>
      </c>
      <c r="Z666" s="158">
        <v>12000.6</v>
      </c>
      <c r="AA666" s="158">
        <v>1</v>
      </c>
      <c r="AB666" s="158">
        <v>99.65</v>
      </c>
      <c r="AD666" s="158">
        <v>11.959</v>
      </c>
      <c r="AG666" s="11" t="s">
        <v>37</v>
      </c>
      <c r="AH666" s="189">
        <v>1.4300000000000001E-4</v>
      </c>
      <c r="AI666" s="189">
        <v>8.2023855317787996E-4</v>
      </c>
      <c r="AJ666" s="189">
        <v>1.7857031223408301E-4</v>
      </c>
    </row>
    <row r="667" spans="1:36">
      <c r="A667" s="11" t="s">
        <v>256</v>
      </c>
      <c r="B667" s="11">
        <v>7206</v>
      </c>
      <c r="C667" s="11" t="s">
        <v>2841</v>
      </c>
      <c r="D667" s="11" t="s">
        <v>2842</v>
      </c>
      <c r="E667" s="4" t="s">
        <v>1552</v>
      </c>
      <c r="F667" s="11" t="s">
        <v>2843</v>
      </c>
      <c r="G667" s="11" t="s">
        <v>2844</v>
      </c>
      <c r="H667" s="11" t="s">
        <v>511</v>
      </c>
      <c r="I667" s="11" t="s">
        <v>1154</v>
      </c>
      <c r="J667" s="11" t="s">
        <v>31</v>
      </c>
      <c r="K667" s="11" t="s">
        <v>155</v>
      </c>
      <c r="L667" s="11" t="s">
        <v>517</v>
      </c>
      <c r="M667" s="11" t="s">
        <v>32</v>
      </c>
      <c r="N667" s="11" t="s">
        <v>653</v>
      </c>
      <c r="O667" s="11" t="s">
        <v>312</v>
      </c>
      <c r="P667" s="11" t="s">
        <v>2165</v>
      </c>
      <c r="Q667" s="27" t="s">
        <v>2165</v>
      </c>
      <c r="R667" s="16" t="s">
        <v>2165</v>
      </c>
      <c r="S667" s="11" t="s">
        <v>35</v>
      </c>
      <c r="T667" s="158">
        <v>0</v>
      </c>
      <c r="U667" s="11" t="s">
        <v>2845</v>
      </c>
      <c r="V667" s="174">
        <v>7.9500000000000001E-2</v>
      </c>
      <c r="W667" s="189">
        <v>0</v>
      </c>
      <c r="X667" s="4" t="s">
        <v>602</v>
      </c>
      <c r="Y667" s="4" t="s">
        <v>312</v>
      </c>
      <c r="Z667" s="158">
        <v>17763.61</v>
      </c>
      <c r="AA667" s="158">
        <v>1</v>
      </c>
      <c r="AB667" s="158">
        <v>106.23</v>
      </c>
      <c r="AD667" s="158">
        <v>18.87</v>
      </c>
      <c r="AG667" s="11" t="s">
        <v>37</v>
      </c>
      <c r="AH667" s="189">
        <v>0</v>
      </c>
      <c r="AI667" s="189">
        <v>1.29431005840693E-3</v>
      </c>
      <c r="AJ667" s="189">
        <v>2.8177820996340999E-4</v>
      </c>
    </row>
    <row r="668" spans="1:36">
      <c r="A668" s="11" t="s">
        <v>256</v>
      </c>
      <c r="B668" s="11">
        <v>7206</v>
      </c>
      <c r="C668" s="11" t="s">
        <v>2841</v>
      </c>
      <c r="D668" s="11" t="s">
        <v>2842</v>
      </c>
      <c r="E668" s="4" t="s">
        <v>1552</v>
      </c>
      <c r="F668" s="11" t="s">
        <v>2846</v>
      </c>
      <c r="G668" s="11" t="s">
        <v>2847</v>
      </c>
      <c r="H668" s="11" t="s">
        <v>511</v>
      </c>
      <c r="I668" s="11" t="s">
        <v>1154</v>
      </c>
      <c r="J668" s="11" t="s">
        <v>31</v>
      </c>
      <c r="K668" s="11" t="s">
        <v>155</v>
      </c>
      <c r="L668" s="11" t="s">
        <v>517</v>
      </c>
      <c r="M668" s="11" t="s">
        <v>32</v>
      </c>
      <c r="N668" s="11" t="s">
        <v>653</v>
      </c>
      <c r="O668" s="11" t="s">
        <v>312</v>
      </c>
      <c r="P668" s="11" t="s">
        <v>2165</v>
      </c>
      <c r="Q668" s="27" t="s">
        <v>2165</v>
      </c>
      <c r="R668" s="16" t="s">
        <v>2165</v>
      </c>
      <c r="S668" s="11" t="s">
        <v>35</v>
      </c>
      <c r="T668" s="158">
        <v>0</v>
      </c>
      <c r="U668" s="11" t="s">
        <v>45</v>
      </c>
      <c r="V668" s="174">
        <v>7.0000000000000007E-2</v>
      </c>
      <c r="W668" s="189">
        <v>0</v>
      </c>
      <c r="X668" s="4" t="s">
        <v>602</v>
      </c>
      <c r="Y668" s="4" t="s">
        <v>312</v>
      </c>
      <c r="Z668" s="158">
        <v>11300</v>
      </c>
      <c r="AA668" s="158">
        <v>1</v>
      </c>
      <c r="AB668" s="158">
        <v>4.5</v>
      </c>
      <c r="AD668" s="158">
        <v>0.50800000000000001</v>
      </c>
      <c r="AG668" s="11" t="s">
        <v>37</v>
      </c>
      <c r="AH668" s="189">
        <v>0</v>
      </c>
      <c r="AI668" s="189">
        <v>3.4877943700318897E-5</v>
      </c>
      <c r="AJ668" s="189">
        <v>7.5931145549288303E-6</v>
      </c>
    </row>
    <row r="669" spans="1:36">
      <c r="A669" s="11" t="s">
        <v>256</v>
      </c>
      <c r="B669" s="11">
        <v>7206</v>
      </c>
      <c r="C669" s="11" t="s">
        <v>1618</v>
      </c>
      <c r="D669" s="11" t="s">
        <v>1619</v>
      </c>
      <c r="E669" s="4" t="s">
        <v>1552</v>
      </c>
      <c r="F669" s="11" t="s">
        <v>2848</v>
      </c>
      <c r="G669" s="11" t="s">
        <v>2849</v>
      </c>
      <c r="H669" s="11" t="s">
        <v>511</v>
      </c>
      <c r="I669" s="11" t="s">
        <v>1154</v>
      </c>
      <c r="J669" s="11" t="s">
        <v>31</v>
      </c>
      <c r="K669" s="11" t="s">
        <v>31</v>
      </c>
      <c r="L669" s="11" t="s">
        <v>517</v>
      </c>
      <c r="M669" s="11" t="s">
        <v>32</v>
      </c>
      <c r="N669" s="11" t="s">
        <v>666</v>
      </c>
      <c r="O669" s="11" t="s">
        <v>312</v>
      </c>
      <c r="P669" s="11" t="s">
        <v>2327</v>
      </c>
      <c r="Q669" s="11" t="s">
        <v>358</v>
      </c>
      <c r="R669" s="11" t="s">
        <v>596</v>
      </c>
      <c r="S669" s="11" t="s">
        <v>35</v>
      </c>
      <c r="T669" s="158">
        <v>1.5</v>
      </c>
      <c r="U669" s="11" t="s">
        <v>2333</v>
      </c>
      <c r="V669" s="174">
        <v>3.2500000000000001E-2</v>
      </c>
      <c r="W669" s="189">
        <v>5.8409999999999997E-2</v>
      </c>
      <c r="X669" s="4" t="s">
        <v>602</v>
      </c>
      <c r="Y669" s="4" t="s">
        <v>312</v>
      </c>
      <c r="Z669" s="158">
        <v>35981.25</v>
      </c>
      <c r="AA669" s="158">
        <v>1</v>
      </c>
      <c r="AB669" s="158">
        <v>96.38</v>
      </c>
      <c r="AD669" s="158">
        <v>34.679000000000002</v>
      </c>
      <c r="AG669" s="11" t="s">
        <v>37</v>
      </c>
      <c r="AH669" s="189">
        <v>5.7700000000000004E-4</v>
      </c>
      <c r="AI669" s="189">
        <v>2.37860914246043E-3</v>
      </c>
      <c r="AJ669" s="189">
        <v>5.1783590957336001E-4</v>
      </c>
    </row>
    <row r="670" spans="1:36">
      <c r="A670" s="11" t="s">
        <v>256</v>
      </c>
      <c r="B670" s="11">
        <v>7206</v>
      </c>
      <c r="C670" s="11" t="s">
        <v>1638</v>
      </c>
      <c r="D670" s="11" t="s">
        <v>1639</v>
      </c>
      <c r="E670" s="4" t="s">
        <v>1552</v>
      </c>
      <c r="F670" s="11" t="s">
        <v>2163</v>
      </c>
      <c r="G670" s="11" t="s">
        <v>2164</v>
      </c>
      <c r="H670" s="11" t="s">
        <v>511</v>
      </c>
      <c r="I670" s="11" t="s">
        <v>1155</v>
      </c>
      <c r="J670" s="11" t="s">
        <v>31</v>
      </c>
      <c r="K670" s="11" t="s">
        <v>31</v>
      </c>
      <c r="L670" s="11" t="s">
        <v>517</v>
      </c>
      <c r="M670" s="11" t="s">
        <v>32</v>
      </c>
      <c r="N670" s="11" t="s">
        <v>649</v>
      </c>
      <c r="O670" s="11" t="s">
        <v>312</v>
      </c>
      <c r="P670" s="11" t="s">
        <v>2165</v>
      </c>
      <c r="Q670" s="27" t="s">
        <v>2165</v>
      </c>
      <c r="R670" s="16" t="s">
        <v>2165</v>
      </c>
      <c r="S670" s="11" t="s">
        <v>35</v>
      </c>
      <c r="T670" s="158">
        <v>3.6739999999999999</v>
      </c>
      <c r="U670" s="11" t="s">
        <v>2166</v>
      </c>
      <c r="V670" s="174">
        <v>4.8500000000000001E-2</v>
      </c>
      <c r="W670" s="189">
        <v>5.994E-2</v>
      </c>
      <c r="X670" s="4" t="s">
        <v>602</v>
      </c>
      <c r="Y670" s="4" t="s">
        <v>312</v>
      </c>
      <c r="Z670" s="158">
        <v>32000</v>
      </c>
      <c r="AA670" s="158">
        <v>1</v>
      </c>
      <c r="AB670" s="158">
        <v>96.5</v>
      </c>
      <c r="AD670" s="158">
        <v>30.88</v>
      </c>
      <c r="AG670" s="11" t="s">
        <v>37</v>
      </c>
      <c r="AH670" s="189">
        <v>1.07E-4</v>
      </c>
      <c r="AI670" s="189">
        <v>2.1180548701393298E-3</v>
      </c>
      <c r="AJ670" s="189">
        <v>4.6111185340452798E-4</v>
      </c>
    </row>
    <row r="671" spans="1:36">
      <c r="A671" s="11" t="s">
        <v>256</v>
      </c>
      <c r="B671" s="11">
        <v>7206</v>
      </c>
      <c r="C671" s="11" t="s">
        <v>1642</v>
      </c>
      <c r="D671" s="11" t="s">
        <v>1643</v>
      </c>
      <c r="E671" s="4" t="s">
        <v>1552</v>
      </c>
      <c r="F671" s="11" t="s">
        <v>2850</v>
      </c>
      <c r="G671" s="11" t="s">
        <v>2851</v>
      </c>
      <c r="H671" s="11" t="s">
        <v>511</v>
      </c>
      <c r="I671" s="11" t="s">
        <v>364</v>
      </c>
      <c r="J671" s="11" t="s">
        <v>31</v>
      </c>
      <c r="K671" s="11" t="s">
        <v>31</v>
      </c>
      <c r="L671" s="11" t="s">
        <v>517</v>
      </c>
      <c r="M671" s="11" t="s">
        <v>32</v>
      </c>
      <c r="N671" s="11" t="s">
        <v>634</v>
      </c>
      <c r="O671" s="11" t="s">
        <v>312</v>
      </c>
      <c r="P671" s="11" t="s">
        <v>2169</v>
      </c>
      <c r="Q671" s="11" t="s">
        <v>358</v>
      </c>
      <c r="R671" s="11" t="s">
        <v>596</v>
      </c>
      <c r="S671" s="11" t="s">
        <v>35</v>
      </c>
      <c r="T671" s="158">
        <v>4.6500000000000004</v>
      </c>
      <c r="U671" s="11" t="s">
        <v>2852</v>
      </c>
      <c r="V671" s="174">
        <v>2.6700000000000002E-2</v>
      </c>
      <c r="W671" s="189">
        <v>6.0049999999999999E-2</v>
      </c>
      <c r="X671" s="4" t="s">
        <v>602</v>
      </c>
      <c r="Y671" s="4" t="s">
        <v>312</v>
      </c>
      <c r="Z671" s="158">
        <v>39631.550000000003</v>
      </c>
      <c r="AA671" s="158">
        <v>1</v>
      </c>
      <c r="AB671" s="158">
        <v>97.08</v>
      </c>
      <c r="AD671" s="158">
        <v>38.473999999999997</v>
      </c>
      <c r="AG671" s="11" t="s">
        <v>37</v>
      </c>
      <c r="AH671" s="189">
        <v>2.31E-4</v>
      </c>
      <c r="AI671" s="189">
        <v>2.6389474417746498E-3</v>
      </c>
      <c r="AJ671" s="189">
        <v>5.7451294726552503E-4</v>
      </c>
    </row>
    <row r="672" spans="1:36">
      <c r="A672" s="11" t="s">
        <v>256</v>
      </c>
      <c r="B672" s="11">
        <v>7206</v>
      </c>
      <c r="C672" s="11" t="s">
        <v>1642</v>
      </c>
      <c r="D672" s="11" t="s">
        <v>1643</v>
      </c>
      <c r="E672" s="4" t="s">
        <v>1552</v>
      </c>
      <c r="F672" s="11" t="s">
        <v>2167</v>
      </c>
      <c r="G672" s="11" t="s">
        <v>2168</v>
      </c>
      <c r="H672" s="11" t="s">
        <v>511</v>
      </c>
      <c r="I672" s="11" t="s">
        <v>1154</v>
      </c>
      <c r="J672" s="11" t="s">
        <v>31</v>
      </c>
      <c r="K672" s="11" t="s">
        <v>31</v>
      </c>
      <c r="L672" s="11" t="s">
        <v>517</v>
      </c>
      <c r="M672" s="11" t="s">
        <v>32</v>
      </c>
      <c r="N672" s="11" t="s">
        <v>634</v>
      </c>
      <c r="O672" s="11" t="s">
        <v>312</v>
      </c>
      <c r="P672" s="11" t="s">
        <v>2169</v>
      </c>
      <c r="Q672" s="11" t="s">
        <v>358</v>
      </c>
      <c r="R672" s="11" t="s">
        <v>596</v>
      </c>
      <c r="S672" s="11" t="s">
        <v>35</v>
      </c>
      <c r="T672" s="158">
        <v>2.8690000000000002</v>
      </c>
      <c r="U672" s="11" t="s">
        <v>2170</v>
      </c>
      <c r="V672" s="174">
        <v>1.0800000000000001E-2</v>
      </c>
      <c r="W672" s="189">
        <v>5.0319999999999997E-2</v>
      </c>
      <c r="X672" s="4" t="s">
        <v>602</v>
      </c>
      <c r="Y672" s="4" t="s">
        <v>312</v>
      </c>
      <c r="Z672" s="158">
        <v>27261.91</v>
      </c>
      <c r="AA672" s="158">
        <v>1</v>
      </c>
      <c r="AB672" s="158">
        <v>89.46</v>
      </c>
      <c r="AD672" s="158">
        <v>24.388999999999999</v>
      </c>
      <c r="AG672" s="11" t="s">
        <v>37</v>
      </c>
      <c r="AH672" s="189">
        <v>2.4000000000000001E-5</v>
      </c>
      <c r="AI672" s="189">
        <v>1.6728041167615999E-3</v>
      </c>
      <c r="AJ672" s="189">
        <v>3.6417838722559799E-4</v>
      </c>
    </row>
    <row r="673" spans="1:36">
      <c r="A673" s="11" t="s">
        <v>256</v>
      </c>
      <c r="B673" s="11">
        <v>7206</v>
      </c>
      <c r="C673" s="11" t="s">
        <v>2171</v>
      </c>
      <c r="D673" s="11" t="s">
        <v>2172</v>
      </c>
      <c r="E673" s="4" t="s">
        <v>1552</v>
      </c>
      <c r="F673" s="11" t="s">
        <v>2173</v>
      </c>
      <c r="G673" s="11" t="s">
        <v>2174</v>
      </c>
      <c r="H673" s="11" t="s">
        <v>511</v>
      </c>
      <c r="I673" s="11" t="s">
        <v>945</v>
      </c>
      <c r="J673" s="11" t="s">
        <v>31</v>
      </c>
      <c r="K673" s="11" t="s">
        <v>31</v>
      </c>
      <c r="L673" s="11" t="s">
        <v>517</v>
      </c>
      <c r="M673" s="11" t="s">
        <v>32</v>
      </c>
      <c r="N673" s="11" t="s">
        <v>666</v>
      </c>
      <c r="O673" s="11" t="s">
        <v>312</v>
      </c>
      <c r="P673" s="11" t="s">
        <v>2161</v>
      </c>
      <c r="Q673" s="11" t="s">
        <v>358</v>
      </c>
      <c r="R673" s="11" t="s">
        <v>596</v>
      </c>
      <c r="S673" s="11" t="s">
        <v>35</v>
      </c>
      <c r="T673" s="158">
        <v>1.915</v>
      </c>
      <c r="U673" s="11" t="s">
        <v>2175</v>
      </c>
      <c r="V673" s="174">
        <v>3.2000000000000001E-2</v>
      </c>
      <c r="W673" s="189">
        <v>3.2629999999999999E-2</v>
      </c>
      <c r="X673" s="4" t="s">
        <v>602</v>
      </c>
      <c r="Y673" s="4" t="s">
        <v>312</v>
      </c>
      <c r="Z673" s="158">
        <v>16000.06</v>
      </c>
      <c r="AA673" s="158">
        <v>1</v>
      </c>
      <c r="AB673" s="158">
        <v>105.65</v>
      </c>
      <c r="AD673" s="158">
        <v>16.904</v>
      </c>
      <c r="AG673" s="11" t="s">
        <v>37</v>
      </c>
      <c r="AH673" s="189">
        <v>2.0000000000000002E-5</v>
      </c>
      <c r="AI673" s="189">
        <v>1.1594473377051001E-3</v>
      </c>
      <c r="AJ673" s="189">
        <v>2.5241787564217997E-4</v>
      </c>
    </row>
    <row r="674" spans="1:36">
      <c r="A674" s="11" t="s">
        <v>256</v>
      </c>
      <c r="B674" s="11">
        <v>7206</v>
      </c>
      <c r="C674" s="11" t="s">
        <v>2176</v>
      </c>
      <c r="D674" s="11" t="s">
        <v>2177</v>
      </c>
      <c r="E674" s="4" t="s">
        <v>1552</v>
      </c>
      <c r="F674" s="11" t="s">
        <v>2178</v>
      </c>
      <c r="G674" s="11" t="s">
        <v>2179</v>
      </c>
      <c r="H674" s="11" t="s">
        <v>511</v>
      </c>
      <c r="I674" s="11" t="s">
        <v>1154</v>
      </c>
      <c r="J674" s="11" t="s">
        <v>31</v>
      </c>
      <c r="K674" s="11" t="s">
        <v>31</v>
      </c>
      <c r="L674" s="11" t="s">
        <v>517</v>
      </c>
      <c r="M674" s="11" t="s">
        <v>32</v>
      </c>
      <c r="N674" s="11" t="s">
        <v>639</v>
      </c>
      <c r="O674" s="11" t="s">
        <v>312</v>
      </c>
      <c r="P674" s="11" t="s">
        <v>2165</v>
      </c>
      <c r="Q674" s="27" t="s">
        <v>2165</v>
      </c>
      <c r="R674" s="16" t="s">
        <v>2165</v>
      </c>
      <c r="S674" s="11" t="s">
        <v>35</v>
      </c>
      <c r="T674" s="158">
        <v>2.4489999999999998</v>
      </c>
      <c r="U674" s="11" t="s">
        <v>2180</v>
      </c>
      <c r="V674" s="174">
        <v>8.2500000000000004E-2</v>
      </c>
      <c r="W674" s="189">
        <v>7.1529999999999996E-2</v>
      </c>
      <c r="X674" s="4" t="s">
        <v>602</v>
      </c>
      <c r="Y674" s="4" t="s">
        <v>312</v>
      </c>
      <c r="Z674" s="158">
        <v>51575</v>
      </c>
      <c r="AA674" s="158">
        <v>1</v>
      </c>
      <c r="AB674" s="158">
        <v>102.96</v>
      </c>
      <c r="AD674" s="158">
        <v>53.101999999999997</v>
      </c>
      <c r="AG674" s="11" t="s">
        <v>37</v>
      </c>
      <c r="AH674" s="189">
        <v>6.4099999999999997E-4</v>
      </c>
      <c r="AI674" s="189">
        <v>3.64223267011943E-3</v>
      </c>
      <c r="AJ674" s="189">
        <v>7.9293349795929197E-4</v>
      </c>
    </row>
    <row r="675" spans="1:36">
      <c r="A675" s="11" t="s">
        <v>256</v>
      </c>
      <c r="B675" s="11">
        <v>7206</v>
      </c>
      <c r="C675" s="11" t="s">
        <v>1646</v>
      </c>
      <c r="D675" s="11" t="s">
        <v>1647</v>
      </c>
      <c r="E675" s="4" t="s">
        <v>1552</v>
      </c>
      <c r="F675" s="11" t="s">
        <v>2181</v>
      </c>
      <c r="G675" s="11" t="s">
        <v>2182</v>
      </c>
      <c r="H675" s="11" t="s">
        <v>511</v>
      </c>
      <c r="I675" s="11" t="s">
        <v>1154</v>
      </c>
      <c r="J675" s="11" t="s">
        <v>31</v>
      </c>
      <c r="K675" s="11" t="s">
        <v>31</v>
      </c>
      <c r="L675" s="11" t="s">
        <v>517</v>
      </c>
      <c r="M675" s="11" t="s">
        <v>32</v>
      </c>
      <c r="N675" s="11" t="s">
        <v>629</v>
      </c>
      <c r="O675" s="11" t="s">
        <v>312</v>
      </c>
      <c r="P675" s="11" t="s">
        <v>2165</v>
      </c>
      <c r="Q675" s="27" t="s">
        <v>2165</v>
      </c>
      <c r="R675" s="16" t="s">
        <v>2165</v>
      </c>
      <c r="S675" s="11" t="s">
        <v>35</v>
      </c>
      <c r="T675" s="158">
        <v>2.91</v>
      </c>
      <c r="U675" s="11" t="s">
        <v>2183</v>
      </c>
      <c r="V675" s="174">
        <v>6.0499999999999998E-2</v>
      </c>
      <c r="W675" s="189">
        <v>7.0010000000000003E-2</v>
      </c>
      <c r="X675" s="4" t="s">
        <v>602</v>
      </c>
      <c r="Y675" s="4" t="s">
        <v>312</v>
      </c>
      <c r="Z675" s="158">
        <v>39766</v>
      </c>
      <c r="AA675" s="158">
        <v>1</v>
      </c>
      <c r="AB675" s="158">
        <v>99.16</v>
      </c>
      <c r="AD675" s="158">
        <v>39.432000000000002</v>
      </c>
      <c r="AG675" s="11" t="s">
        <v>37</v>
      </c>
      <c r="AH675" s="189">
        <v>1.8100000000000001E-4</v>
      </c>
      <c r="AI675" s="189">
        <v>2.7046329915235202E-3</v>
      </c>
      <c r="AJ675" s="189">
        <v>5.8881304213729202E-4</v>
      </c>
    </row>
    <row r="676" spans="1:36">
      <c r="A676" s="11" t="s">
        <v>256</v>
      </c>
      <c r="B676" s="11">
        <v>7206</v>
      </c>
      <c r="C676" s="11" t="s">
        <v>1646</v>
      </c>
      <c r="D676" s="11" t="s">
        <v>1647</v>
      </c>
      <c r="E676" s="4" t="s">
        <v>1552</v>
      </c>
      <c r="F676" s="11" t="s">
        <v>2184</v>
      </c>
      <c r="G676" s="11" t="s">
        <v>2185</v>
      </c>
      <c r="H676" s="11" t="s">
        <v>511</v>
      </c>
      <c r="I676" s="11" t="s">
        <v>1154</v>
      </c>
      <c r="J676" s="11" t="s">
        <v>31</v>
      </c>
      <c r="K676" s="11" t="s">
        <v>31</v>
      </c>
      <c r="L676" s="11" t="s">
        <v>517</v>
      </c>
      <c r="M676" s="11" t="s">
        <v>32</v>
      </c>
      <c r="N676" s="11" t="s">
        <v>629</v>
      </c>
      <c r="O676" s="11" t="s">
        <v>312</v>
      </c>
      <c r="P676" s="11" t="s">
        <v>2165</v>
      </c>
      <c r="Q676" s="27" t="s">
        <v>2165</v>
      </c>
      <c r="R676" s="16" t="s">
        <v>2165</v>
      </c>
      <c r="S676" s="11" t="s">
        <v>35</v>
      </c>
      <c r="T676" s="158">
        <v>3.544</v>
      </c>
      <c r="U676" s="11" t="s">
        <v>149</v>
      </c>
      <c r="V676" s="174">
        <v>5.5E-2</v>
      </c>
      <c r="W676" s="189">
        <v>7.1720000000000006E-2</v>
      </c>
      <c r="X676" s="4" t="s">
        <v>602</v>
      </c>
      <c r="Y676" s="4" t="s">
        <v>312</v>
      </c>
      <c r="Z676" s="158">
        <v>11000</v>
      </c>
      <c r="AA676" s="158">
        <v>1</v>
      </c>
      <c r="AB676" s="158">
        <v>96.11</v>
      </c>
      <c r="AD676" s="158">
        <v>10.571999999999999</v>
      </c>
      <c r="AG676" s="11" t="s">
        <v>37</v>
      </c>
      <c r="AH676" s="189">
        <v>5.1999999999999997E-5</v>
      </c>
      <c r="AI676" s="189">
        <v>7.25138856625647E-4</v>
      </c>
      <c r="AJ676" s="189">
        <v>1.57866600562759E-4</v>
      </c>
    </row>
    <row r="677" spans="1:36">
      <c r="A677" s="11" t="s">
        <v>256</v>
      </c>
      <c r="B677" s="11">
        <v>7206</v>
      </c>
      <c r="C677" s="11" t="s">
        <v>1646</v>
      </c>
      <c r="D677" s="11" t="s">
        <v>1647</v>
      </c>
      <c r="E677" s="4" t="s">
        <v>1552</v>
      </c>
      <c r="F677" s="11" t="s">
        <v>2186</v>
      </c>
      <c r="G677" s="11" t="s">
        <v>2187</v>
      </c>
      <c r="H677" s="11" t="s">
        <v>511</v>
      </c>
      <c r="I677" s="11" t="s">
        <v>1154</v>
      </c>
      <c r="J677" s="11" t="s">
        <v>31</v>
      </c>
      <c r="K677" s="11" t="s">
        <v>31</v>
      </c>
      <c r="L677" s="11" t="s">
        <v>517</v>
      </c>
      <c r="M677" s="11" t="s">
        <v>32</v>
      </c>
      <c r="N677" s="11" t="s">
        <v>629</v>
      </c>
      <c r="O677" s="11" t="s">
        <v>312</v>
      </c>
      <c r="P677" s="11" t="s">
        <v>2165</v>
      </c>
      <c r="Q677" s="27" t="s">
        <v>2165</v>
      </c>
      <c r="R677" s="16" t="s">
        <v>2165</v>
      </c>
      <c r="S677" s="11" t="s">
        <v>35</v>
      </c>
      <c r="T677" s="158">
        <v>0.98599999999999999</v>
      </c>
      <c r="U677" s="11" t="s">
        <v>2188</v>
      </c>
      <c r="V677" s="174">
        <v>3.5499999999999997E-2</v>
      </c>
      <c r="W677" s="189">
        <v>5.9659999999999998E-2</v>
      </c>
      <c r="X677" s="4" t="s">
        <v>602</v>
      </c>
      <c r="Y677" s="4" t="s">
        <v>312</v>
      </c>
      <c r="Z677" s="158">
        <v>79500.13</v>
      </c>
      <c r="AA677" s="158">
        <v>1</v>
      </c>
      <c r="AB677" s="158">
        <v>97.8</v>
      </c>
      <c r="AD677" s="158">
        <v>77.751000000000005</v>
      </c>
      <c r="AG677" s="11" t="s">
        <v>37</v>
      </c>
      <c r="AH677" s="189">
        <v>2.7799999999999998E-4</v>
      </c>
      <c r="AI677" s="189">
        <v>5.3329389086042402E-3</v>
      </c>
      <c r="AJ677" s="189">
        <v>1.1610092726624501E-3</v>
      </c>
    </row>
    <row r="678" spans="1:36">
      <c r="A678" s="11" t="s">
        <v>256</v>
      </c>
      <c r="B678" s="11">
        <v>7206</v>
      </c>
      <c r="C678" s="11" t="s">
        <v>2189</v>
      </c>
      <c r="D678" s="11" t="s">
        <v>2190</v>
      </c>
      <c r="E678" s="4" t="s">
        <v>1552</v>
      </c>
      <c r="F678" s="11" t="s">
        <v>2191</v>
      </c>
      <c r="G678" s="11" t="s">
        <v>2192</v>
      </c>
      <c r="H678" s="11" t="s">
        <v>511</v>
      </c>
      <c r="I678" s="11" t="s">
        <v>945</v>
      </c>
      <c r="J678" s="11" t="s">
        <v>31</v>
      </c>
      <c r="K678" s="11" t="s">
        <v>31</v>
      </c>
      <c r="L678" s="11" t="s">
        <v>517</v>
      </c>
      <c r="M678" s="11" t="s">
        <v>32</v>
      </c>
      <c r="N678" s="11" t="s">
        <v>639</v>
      </c>
      <c r="O678" s="11" t="s">
        <v>312</v>
      </c>
      <c r="P678" s="11" t="s">
        <v>2161</v>
      </c>
      <c r="Q678" s="11" t="s">
        <v>358</v>
      </c>
      <c r="R678" s="11" t="s">
        <v>596</v>
      </c>
      <c r="S678" s="11" t="s">
        <v>35</v>
      </c>
      <c r="T678" s="158">
        <v>4.2439999999999998</v>
      </c>
      <c r="U678" s="11" t="s">
        <v>2193</v>
      </c>
      <c r="V678" s="174">
        <v>0.03</v>
      </c>
      <c r="W678" s="189">
        <v>3.5970000000000002E-2</v>
      </c>
      <c r="X678" s="4" t="s">
        <v>602</v>
      </c>
      <c r="Y678" s="4" t="s">
        <v>312</v>
      </c>
      <c r="Z678" s="158">
        <v>7045</v>
      </c>
      <c r="AA678" s="158">
        <v>1</v>
      </c>
      <c r="AB678" s="158">
        <v>100.49</v>
      </c>
      <c r="AD678" s="158">
        <v>7.08</v>
      </c>
      <c r="AG678" s="11" t="s">
        <v>37</v>
      </c>
      <c r="AH678" s="189">
        <v>1.5999999999999999E-5</v>
      </c>
      <c r="AI678" s="189">
        <v>4.8558331843510998E-4</v>
      </c>
      <c r="AJ678" s="189">
        <v>1.05714080925206E-4</v>
      </c>
    </row>
    <row r="679" spans="1:36">
      <c r="A679" s="11" t="s">
        <v>256</v>
      </c>
      <c r="B679" s="11">
        <v>7206</v>
      </c>
      <c r="C679" s="11" t="s">
        <v>2189</v>
      </c>
      <c r="D679" s="11" t="s">
        <v>2190</v>
      </c>
      <c r="E679" s="4" t="s">
        <v>1552</v>
      </c>
      <c r="F679" s="11" t="s">
        <v>2194</v>
      </c>
      <c r="G679" s="11" t="s">
        <v>2192</v>
      </c>
      <c r="H679" s="11" t="s">
        <v>511</v>
      </c>
      <c r="I679" s="11" t="s">
        <v>945</v>
      </c>
      <c r="J679" s="11" t="s">
        <v>31</v>
      </c>
      <c r="K679" s="18" t="s">
        <v>31</v>
      </c>
      <c r="L679" s="16" t="s">
        <v>519</v>
      </c>
      <c r="M679" s="11" t="s">
        <v>342</v>
      </c>
      <c r="N679" s="11" t="s">
        <v>639</v>
      </c>
      <c r="O679" s="11" t="s">
        <v>312</v>
      </c>
      <c r="P679" s="11" t="s">
        <v>2161</v>
      </c>
      <c r="Q679" s="11" t="s">
        <v>358</v>
      </c>
      <c r="R679" s="11" t="s">
        <v>596</v>
      </c>
      <c r="S679" s="11" t="s">
        <v>35</v>
      </c>
      <c r="T679" s="158">
        <v>4.21</v>
      </c>
      <c r="U679" s="11" t="s">
        <v>2193</v>
      </c>
      <c r="V679" s="174">
        <v>0.03</v>
      </c>
      <c r="W679" s="189">
        <v>3.4880000000000001E-2</v>
      </c>
      <c r="X679" s="4" t="s">
        <v>602</v>
      </c>
      <c r="Y679" s="4" t="s">
        <v>312</v>
      </c>
      <c r="Z679" s="158">
        <v>44288</v>
      </c>
      <c r="AA679" s="158">
        <v>1</v>
      </c>
      <c r="AB679" s="158">
        <v>100.247</v>
      </c>
      <c r="AD679" s="158">
        <v>44.396999999999998</v>
      </c>
      <c r="AG679" s="11" t="s">
        <v>37</v>
      </c>
      <c r="AH679" s="189">
        <v>0</v>
      </c>
      <c r="AI679" s="189">
        <v>3.0452052041103701E-3</v>
      </c>
      <c r="AJ679" s="189">
        <v>6.6295743111323597E-4</v>
      </c>
    </row>
    <row r="680" spans="1:36">
      <c r="A680" s="11" t="s">
        <v>256</v>
      </c>
      <c r="B680" s="11">
        <v>7206</v>
      </c>
      <c r="C680" s="11" t="s">
        <v>2189</v>
      </c>
      <c r="D680" s="11" t="s">
        <v>2190</v>
      </c>
      <c r="E680" s="4" t="s">
        <v>1552</v>
      </c>
      <c r="F680" s="11" t="s">
        <v>2195</v>
      </c>
      <c r="G680" s="11" t="s">
        <v>2192</v>
      </c>
      <c r="H680" s="11" t="s">
        <v>511</v>
      </c>
      <c r="I680" s="11" t="s">
        <v>945</v>
      </c>
      <c r="J680" s="11" t="s">
        <v>31</v>
      </c>
      <c r="K680" s="11" t="s">
        <v>31</v>
      </c>
      <c r="L680" s="16" t="s">
        <v>519</v>
      </c>
      <c r="M680" s="11" t="s">
        <v>32</v>
      </c>
      <c r="N680" s="11" t="s">
        <v>639</v>
      </c>
      <c r="O680" s="11" t="s">
        <v>312</v>
      </c>
      <c r="P680" s="11" t="s">
        <v>2161</v>
      </c>
      <c r="Q680" s="11" t="s">
        <v>358</v>
      </c>
      <c r="R680" s="11" t="s">
        <v>596</v>
      </c>
      <c r="S680" s="11" t="s">
        <v>35</v>
      </c>
      <c r="T680" s="158">
        <v>4.21</v>
      </c>
      <c r="U680" s="11" t="s">
        <v>2193</v>
      </c>
      <c r="V680" s="174">
        <v>0.03</v>
      </c>
      <c r="W680" s="189">
        <v>3.4880000000000001E-2</v>
      </c>
      <c r="X680" s="4" t="s">
        <v>602</v>
      </c>
      <c r="Y680" s="4" t="s">
        <v>312</v>
      </c>
      <c r="Z680" s="158">
        <v>43667</v>
      </c>
      <c r="AA680" s="158">
        <v>1</v>
      </c>
      <c r="AB680" s="158">
        <v>100.22199999999999</v>
      </c>
      <c r="AD680" s="158">
        <v>43.764000000000003</v>
      </c>
      <c r="AG680" s="11" t="s">
        <v>37</v>
      </c>
      <c r="AH680" s="189">
        <v>0</v>
      </c>
      <c r="AI680" s="189">
        <v>3.0017774033462901E-3</v>
      </c>
      <c r="AJ680" s="189">
        <v>6.5350296702832095E-4</v>
      </c>
    </row>
    <row r="681" spans="1:36">
      <c r="A681" s="11" t="s">
        <v>256</v>
      </c>
      <c r="B681" s="11">
        <v>7206</v>
      </c>
      <c r="C681" s="11" t="s">
        <v>2189</v>
      </c>
      <c r="D681" s="11" t="s">
        <v>2190</v>
      </c>
      <c r="E681" s="4" t="s">
        <v>1552</v>
      </c>
      <c r="F681" s="11" t="s">
        <v>2196</v>
      </c>
      <c r="G681" s="11" t="s">
        <v>2197</v>
      </c>
      <c r="H681" s="11" t="s">
        <v>511</v>
      </c>
      <c r="I681" s="11" t="s">
        <v>1154</v>
      </c>
      <c r="J681" s="11" t="s">
        <v>31</v>
      </c>
      <c r="K681" s="11" t="s">
        <v>31</v>
      </c>
      <c r="L681" s="11" t="s">
        <v>517</v>
      </c>
      <c r="M681" s="11" t="s">
        <v>32</v>
      </c>
      <c r="N681" s="11" t="s">
        <v>639</v>
      </c>
      <c r="O681" s="11" t="s">
        <v>312</v>
      </c>
      <c r="P681" s="11" t="s">
        <v>2161</v>
      </c>
      <c r="Q681" s="11" t="s">
        <v>358</v>
      </c>
      <c r="R681" s="11" t="s">
        <v>596</v>
      </c>
      <c r="S681" s="11" t="s">
        <v>35</v>
      </c>
      <c r="T681" s="158">
        <v>1.3160000000000001</v>
      </c>
      <c r="U681" s="11" t="s">
        <v>2198</v>
      </c>
      <c r="V681" s="174">
        <v>3.9E-2</v>
      </c>
      <c r="W681" s="189">
        <v>5.5669999999999997E-2</v>
      </c>
      <c r="X681" s="4" t="s">
        <v>602</v>
      </c>
      <c r="Y681" s="4" t="s">
        <v>312</v>
      </c>
      <c r="Z681" s="158">
        <v>3200</v>
      </c>
      <c r="AA681" s="158">
        <v>1</v>
      </c>
      <c r="AB681" s="158">
        <v>98.89</v>
      </c>
      <c r="AD681" s="158">
        <v>3.1640000000000001</v>
      </c>
      <c r="AG681" s="11" t="s">
        <v>37</v>
      </c>
      <c r="AH681" s="189">
        <v>3.9999999999999998E-6</v>
      </c>
      <c r="AI681" s="189">
        <v>2.17051239490236E-4</v>
      </c>
      <c r="AJ681" s="189">
        <v>4.7253213661319902E-5</v>
      </c>
    </row>
    <row r="682" spans="1:36">
      <c r="A682" s="11" t="s">
        <v>256</v>
      </c>
      <c r="B682" s="11">
        <v>7206</v>
      </c>
      <c r="C682" s="11" t="s">
        <v>2199</v>
      </c>
      <c r="D682" s="11" t="s">
        <v>2200</v>
      </c>
      <c r="E682" s="4" t="s">
        <v>1552</v>
      </c>
      <c r="F682" s="11" t="s">
        <v>2201</v>
      </c>
      <c r="G682" s="11" t="s">
        <v>2202</v>
      </c>
      <c r="H682" s="11" t="s">
        <v>511</v>
      </c>
      <c r="I682" s="11" t="s">
        <v>1154</v>
      </c>
      <c r="J682" s="11" t="s">
        <v>31</v>
      </c>
      <c r="K682" s="11" t="s">
        <v>31</v>
      </c>
      <c r="L682" s="11" t="s">
        <v>517</v>
      </c>
      <c r="M682" s="11" t="s">
        <v>32</v>
      </c>
      <c r="N682" s="11" t="s">
        <v>639</v>
      </c>
      <c r="O682" s="11" t="s">
        <v>312</v>
      </c>
      <c r="P682" s="11" t="s">
        <v>168</v>
      </c>
      <c r="Q682" s="11" t="s">
        <v>604</v>
      </c>
      <c r="R682" s="11" t="s">
        <v>596</v>
      </c>
      <c r="S682" s="11" t="s">
        <v>35</v>
      </c>
      <c r="T682" s="158">
        <v>1.4590000000000001</v>
      </c>
      <c r="U682" s="11" t="s">
        <v>2203</v>
      </c>
      <c r="V682" s="174">
        <v>0.04</v>
      </c>
      <c r="W682" s="189">
        <v>4.9189999999999998E-2</v>
      </c>
      <c r="X682" s="4" t="s">
        <v>602</v>
      </c>
      <c r="Y682" s="4" t="s">
        <v>312</v>
      </c>
      <c r="Z682" s="158">
        <v>8000.01</v>
      </c>
      <c r="AA682" s="158">
        <v>1</v>
      </c>
      <c r="AB682" s="158">
        <v>98.76</v>
      </c>
      <c r="AD682" s="158">
        <v>7.9009999999999998</v>
      </c>
      <c r="AG682" s="11" t="s">
        <v>37</v>
      </c>
      <c r="AH682" s="189">
        <v>6.0999999999999999E-5</v>
      </c>
      <c r="AI682" s="189">
        <v>5.4191544157728897E-4</v>
      </c>
      <c r="AJ682" s="189">
        <v>1.1797788488727799E-4</v>
      </c>
    </row>
    <row r="683" spans="1:36">
      <c r="A683" s="11" t="s">
        <v>256</v>
      </c>
      <c r="B683" s="11">
        <v>7206</v>
      </c>
      <c r="C683" s="11" t="s">
        <v>1662</v>
      </c>
      <c r="D683" s="11" t="s">
        <v>1663</v>
      </c>
      <c r="E683" s="4" t="s">
        <v>1552</v>
      </c>
      <c r="F683" s="11" t="s">
        <v>2204</v>
      </c>
      <c r="G683" s="11" t="s">
        <v>2205</v>
      </c>
      <c r="H683" s="11" t="s">
        <v>511</v>
      </c>
      <c r="I683" s="11" t="s">
        <v>1154</v>
      </c>
      <c r="J683" s="11" t="s">
        <v>31</v>
      </c>
      <c r="K683" s="11" t="s">
        <v>31</v>
      </c>
      <c r="L683" s="11" t="s">
        <v>517</v>
      </c>
      <c r="M683" s="11" t="s">
        <v>32</v>
      </c>
      <c r="N683" s="11" t="s">
        <v>653</v>
      </c>
      <c r="O683" s="11" t="s">
        <v>312</v>
      </c>
      <c r="P683" s="11" t="s">
        <v>2206</v>
      </c>
      <c r="Q683" s="11" t="s">
        <v>604</v>
      </c>
      <c r="R683" s="11" t="s">
        <v>596</v>
      </c>
      <c r="S683" s="11" t="s">
        <v>35</v>
      </c>
      <c r="T683" s="158">
        <v>8.0000000000000002E-3</v>
      </c>
      <c r="U683" s="11" t="s">
        <v>361</v>
      </c>
      <c r="V683" s="174">
        <v>5.5500000000000001E-2</v>
      </c>
      <c r="W683" s="189">
        <v>-0.20596</v>
      </c>
      <c r="X683" s="4" t="s">
        <v>602</v>
      </c>
      <c r="Y683" s="4" t="s">
        <v>312</v>
      </c>
      <c r="Z683" s="158">
        <v>47000.19</v>
      </c>
      <c r="AA683" s="158">
        <v>1</v>
      </c>
      <c r="AB683" s="158">
        <v>102.57</v>
      </c>
      <c r="AD683" s="158">
        <v>48.207999999999998</v>
      </c>
      <c r="AG683" s="11" t="s">
        <v>37</v>
      </c>
      <c r="AH683" s="189">
        <v>1.389E-3</v>
      </c>
      <c r="AI683" s="189">
        <v>3.3065864684934201E-3</v>
      </c>
      <c r="AJ683" s="189">
        <v>7.1986152786921798E-4</v>
      </c>
    </row>
    <row r="684" spans="1:36">
      <c r="A684" s="11" t="s">
        <v>256</v>
      </c>
      <c r="B684" s="11">
        <v>7206</v>
      </c>
      <c r="C684" s="11" t="s">
        <v>2207</v>
      </c>
      <c r="D684" s="11" t="s">
        <v>2208</v>
      </c>
      <c r="E684" s="4" t="s">
        <v>1552</v>
      </c>
      <c r="F684" s="11" t="s">
        <v>2209</v>
      </c>
      <c r="G684" s="11" t="s">
        <v>2210</v>
      </c>
      <c r="H684" s="11" t="s">
        <v>511</v>
      </c>
      <c r="I684" s="11" t="s">
        <v>1154</v>
      </c>
      <c r="J684" s="11" t="s">
        <v>31</v>
      </c>
      <c r="K684" s="11" t="s">
        <v>489</v>
      </c>
      <c r="L684" s="11" t="s">
        <v>517</v>
      </c>
      <c r="M684" s="11" t="s">
        <v>32</v>
      </c>
      <c r="N684" s="11" t="s">
        <v>653</v>
      </c>
      <c r="O684" s="11" t="s">
        <v>312</v>
      </c>
      <c r="P684" s="11" t="s">
        <v>2165</v>
      </c>
      <c r="Q684" s="27" t="s">
        <v>2165</v>
      </c>
      <c r="R684" s="16" t="s">
        <v>2165</v>
      </c>
      <c r="S684" s="11" t="s">
        <v>35</v>
      </c>
      <c r="T684" s="158">
        <v>0.68200000000000005</v>
      </c>
      <c r="U684" s="11" t="s">
        <v>2211</v>
      </c>
      <c r="V684" s="174">
        <v>7.2499999999999995E-2</v>
      </c>
      <c r="W684" s="189">
        <v>6.9190000000000002E-2</v>
      </c>
      <c r="X684" s="4" t="s">
        <v>602</v>
      </c>
      <c r="Y684" s="4" t="s">
        <v>312</v>
      </c>
      <c r="Z684" s="158">
        <v>48030.09</v>
      </c>
      <c r="AA684" s="158">
        <v>1</v>
      </c>
      <c r="AB684" s="158">
        <v>102.43</v>
      </c>
      <c r="AD684" s="158">
        <v>49.197000000000003</v>
      </c>
      <c r="AG684" s="11" t="s">
        <v>37</v>
      </c>
      <c r="AH684" s="189">
        <v>3.2200000000000002E-4</v>
      </c>
      <c r="AI684" s="189">
        <v>3.3744305029937498E-3</v>
      </c>
      <c r="AJ684" s="189">
        <v>7.3463153639540403E-4</v>
      </c>
    </row>
    <row r="685" spans="1:36">
      <c r="A685" s="11" t="s">
        <v>256</v>
      </c>
      <c r="B685" s="11">
        <v>7206</v>
      </c>
      <c r="C685" s="11" t="s">
        <v>2212</v>
      </c>
      <c r="D685" s="11" t="s">
        <v>2213</v>
      </c>
      <c r="E685" s="4" t="s">
        <v>1552</v>
      </c>
      <c r="F685" s="11" t="s">
        <v>2214</v>
      </c>
      <c r="G685" s="11" t="s">
        <v>2215</v>
      </c>
      <c r="H685" s="11" t="s">
        <v>511</v>
      </c>
      <c r="I685" s="11" t="s">
        <v>1154</v>
      </c>
      <c r="J685" s="11" t="s">
        <v>31</v>
      </c>
      <c r="K685" s="11" t="s">
        <v>155</v>
      </c>
      <c r="L685" s="11" t="s">
        <v>517</v>
      </c>
      <c r="M685" s="11" t="s">
        <v>32</v>
      </c>
      <c r="N685" s="11" t="s">
        <v>631</v>
      </c>
      <c r="O685" s="11" t="s">
        <v>312</v>
      </c>
      <c r="P685" s="11" t="s">
        <v>2161</v>
      </c>
      <c r="Q685" s="11" t="s">
        <v>358</v>
      </c>
      <c r="R685" s="11" t="s">
        <v>596</v>
      </c>
      <c r="S685" s="11" t="s">
        <v>35</v>
      </c>
      <c r="T685" s="158">
        <v>0.95399999999999996</v>
      </c>
      <c r="U685" s="11" t="s">
        <v>2216</v>
      </c>
      <c r="V685" s="174">
        <v>4.7500000000000001E-2</v>
      </c>
      <c r="W685" s="189">
        <v>6.0749999999999998E-2</v>
      </c>
      <c r="X685" s="4" t="s">
        <v>602</v>
      </c>
      <c r="Y685" s="4" t="s">
        <v>312</v>
      </c>
      <c r="Z685" s="158">
        <v>84000.86</v>
      </c>
      <c r="AA685" s="158">
        <v>1</v>
      </c>
      <c r="AB685" s="158">
        <v>99.82</v>
      </c>
      <c r="AD685" s="158">
        <v>83.85</v>
      </c>
      <c r="AG685" s="11" t="s">
        <v>37</v>
      </c>
      <c r="AH685" s="189">
        <v>1.01E-4</v>
      </c>
      <c r="AI685" s="189">
        <v>5.7512363161845098E-3</v>
      </c>
      <c r="AJ685" s="189">
        <v>1.25207485155888E-3</v>
      </c>
    </row>
    <row r="686" spans="1:36">
      <c r="A686" s="11" t="s">
        <v>256</v>
      </c>
      <c r="B686" s="11">
        <v>7206</v>
      </c>
      <c r="C686" s="11" t="s">
        <v>2217</v>
      </c>
      <c r="D686" s="11" t="s">
        <v>2218</v>
      </c>
      <c r="E686" s="4" t="s">
        <v>504</v>
      </c>
      <c r="F686" s="11" t="s">
        <v>2219</v>
      </c>
      <c r="G686" s="11" t="s">
        <v>2220</v>
      </c>
      <c r="H686" s="11" t="s">
        <v>511</v>
      </c>
      <c r="I686" s="11" t="s">
        <v>1154</v>
      </c>
      <c r="J686" s="11" t="s">
        <v>31</v>
      </c>
      <c r="K686" s="11" t="s">
        <v>31</v>
      </c>
      <c r="L686" s="11" t="s">
        <v>517</v>
      </c>
      <c r="M686" s="11" t="s">
        <v>32</v>
      </c>
      <c r="N686" s="11" t="s">
        <v>653</v>
      </c>
      <c r="O686" s="11" t="s">
        <v>312</v>
      </c>
      <c r="P686" s="11" t="s">
        <v>2221</v>
      </c>
      <c r="Q686" s="11" t="s">
        <v>604</v>
      </c>
      <c r="R686" s="11" t="s">
        <v>596</v>
      </c>
      <c r="S686" s="11" t="s">
        <v>35</v>
      </c>
      <c r="T686" s="158">
        <v>0.59899999999999998</v>
      </c>
      <c r="U686" s="11" t="s">
        <v>2222</v>
      </c>
      <c r="V686" s="174">
        <v>7.7499999999999999E-2</v>
      </c>
      <c r="W686" s="189">
        <v>7.6840000000000006E-2</v>
      </c>
      <c r="X686" s="4" t="s">
        <v>602</v>
      </c>
      <c r="Y686" s="4" t="s">
        <v>312</v>
      </c>
      <c r="Z686" s="158">
        <v>36400</v>
      </c>
      <c r="AA686" s="158">
        <v>1</v>
      </c>
      <c r="AB686" s="158">
        <v>103</v>
      </c>
      <c r="AD686" s="158">
        <v>37.491999999999997</v>
      </c>
      <c r="AG686" s="11" t="s">
        <v>37</v>
      </c>
      <c r="AH686" s="189">
        <v>2.43E-4</v>
      </c>
      <c r="AI686" s="189">
        <v>2.57157102303315E-3</v>
      </c>
      <c r="AJ686" s="189">
        <v>5.5984474118661099E-4</v>
      </c>
    </row>
    <row r="687" spans="1:36">
      <c r="A687" s="11" t="s">
        <v>256</v>
      </c>
      <c r="B687" s="11">
        <v>7206</v>
      </c>
      <c r="C687" s="11" t="s">
        <v>1670</v>
      </c>
      <c r="D687" s="11" t="s">
        <v>1671</v>
      </c>
      <c r="E687" s="4" t="s">
        <v>1552</v>
      </c>
      <c r="F687" s="11" t="s">
        <v>2223</v>
      </c>
      <c r="G687" s="11" t="s">
        <v>2224</v>
      </c>
      <c r="H687" s="11" t="s">
        <v>511</v>
      </c>
      <c r="I687" s="11" t="s">
        <v>1154</v>
      </c>
      <c r="J687" s="11" t="s">
        <v>31</v>
      </c>
      <c r="K687" s="11" t="s">
        <v>31</v>
      </c>
      <c r="L687" s="11" t="s">
        <v>517</v>
      </c>
      <c r="M687" s="11" t="s">
        <v>32</v>
      </c>
      <c r="N687" s="11" t="s">
        <v>652</v>
      </c>
      <c r="O687" s="11" t="s">
        <v>312</v>
      </c>
      <c r="P687" s="11" t="s">
        <v>2225</v>
      </c>
      <c r="Q687" s="11" t="s">
        <v>604</v>
      </c>
      <c r="R687" s="11" t="s">
        <v>596</v>
      </c>
      <c r="S687" s="11" t="s">
        <v>35</v>
      </c>
      <c r="T687" s="158">
        <v>0.99099999999999999</v>
      </c>
      <c r="U687" s="11" t="s">
        <v>2226</v>
      </c>
      <c r="V687" s="174">
        <v>3.39E-2</v>
      </c>
      <c r="W687" s="189">
        <v>4.795E-2</v>
      </c>
      <c r="X687" s="4" t="s">
        <v>602</v>
      </c>
      <c r="Y687" s="4" t="s">
        <v>312</v>
      </c>
      <c r="Z687" s="158">
        <v>2000</v>
      </c>
      <c r="AA687" s="158">
        <v>1</v>
      </c>
      <c r="AB687" s="158">
        <v>100.14</v>
      </c>
      <c r="AD687" s="158">
        <v>2.0030000000000001</v>
      </c>
      <c r="AG687" s="11" t="s">
        <v>37</v>
      </c>
      <c r="AH687" s="189">
        <v>5.0000000000000004E-6</v>
      </c>
      <c r="AI687" s="189">
        <v>1.3737177117600501E-4</v>
      </c>
      <c r="AJ687" s="189">
        <v>2.99065680051356E-5</v>
      </c>
    </row>
    <row r="688" spans="1:36">
      <c r="A688" s="11" t="s">
        <v>256</v>
      </c>
      <c r="B688" s="11">
        <v>7206</v>
      </c>
      <c r="C688" s="11" t="s">
        <v>1674</v>
      </c>
      <c r="D688" s="11" t="s">
        <v>1675</v>
      </c>
      <c r="E688" s="4" t="s">
        <v>1552</v>
      </c>
      <c r="F688" s="11" t="s">
        <v>2227</v>
      </c>
      <c r="G688" s="11" t="s">
        <v>2228</v>
      </c>
      <c r="H688" s="11" t="s">
        <v>511</v>
      </c>
      <c r="I688" s="11" t="s">
        <v>1155</v>
      </c>
      <c r="J688" s="11" t="s">
        <v>31</v>
      </c>
      <c r="K688" s="11" t="s">
        <v>155</v>
      </c>
      <c r="L688" s="11" t="s">
        <v>517</v>
      </c>
      <c r="M688" s="11" t="s">
        <v>32</v>
      </c>
      <c r="N688" s="11" t="s">
        <v>629</v>
      </c>
      <c r="O688" s="11" t="s">
        <v>312</v>
      </c>
      <c r="P688" s="11" t="s">
        <v>174</v>
      </c>
      <c r="Q688" s="11" t="s">
        <v>604</v>
      </c>
      <c r="R688" s="11" t="s">
        <v>596</v>
      </c>
      <c r="S688" s="11" t="s">
        <v>35</v>
      </c>
      <c r="T688" s="158">
        <v>4.093</v>
      </c>
      <c r="U688" s="11" t="s">
        <v>2229</v>
      </c>
      <c r="V688" s="174">
        <v>7.4999999999999997E-3</v>
      </c>
      <c r="W688" s="189">
        <v>6.0040000000000003E-2</v>
      </c>
      <c r="X688" s="4" t="s">
        <v>602</v>
      </c>
      <c r="Y688" s="4" t="s">
        <v>312</v>
      </c>
      <c r="Z688" s="158">
        <v>93000</v>
      </c>
      <c r="AA688" s="158">
        <v>1</v>
      </c>
      <c r="AB688" s="158">
        <v>81.400000000000006</v>
      </c>
      <c r="AD688" s="158">
        <v>75.701999999999998</v>
      </c>
      <c r="AG688" s="11" t="s">
        <v>37</v>
      </c>
      <c r="AH688" s="189">
        <v>1.75E-4</v>
      </c>
      <c r="AI688" s="189">
        <v>5.1923895653914302E-3</v>
      </c>
      <c r="AJ688" s="189">
        <v>1.1304109302600199E-3</v>
      </c>
    </row>
    <row r="689" spans="1:36">
      <c r="A689" s="11" t="s">
        <v>256</v>
      </c>
      <c r="B689" s="11">
        <v>7206</v>
      </c>
      <c r="C689" s="11" t="s">
        <v>2230</v>
      </c>
      <c r="D689" s="11" t="s">
        <v>2231</v>
      </c>
      <c r="E689" s="4" t="s">
        <v>504</v>
      </c>
      <c r="F689" s="11" t="s">
        <v>2232</v>
      </c>
      <c r="G689" s="11" t="s">
        <v>2233</v>
      </c>
      <c r="H689" s="11" t="s">
        <v>511</v>
      </c>
      <c r="I689" s="11" t="s">
        <v>1154</v>
      </c>
      <c r="J689" s="11" t="s">
        <v>31</v>
      </c>
      <c r="K689" s="11" t="s">
        <v>155</v>
      </c>
      <c r="L689" s="11" t="s">
        <v>517</v>
      </c>
      <c r="M689" s="11" t="s">
        <v>50</v>
      </c>
      <c r="N689" s="11" t="s">
        <v>653</v>
      </c>
      <c r="O689" s="11" t="s">
        <v>312</v>
      </c>
      <c r="P689" s="11" t="s">
        <v>2234</v>
      </c>
      <c r="Q689" s="11" t="s">
        <v>358</v>
      </c>
      <c r="R689" s="11" t="s">
        <v>596</v>
      </c>
      <c r="S689" s="11" t="s">
        <v>35</v>
      </c>
      <c r="T689" s="158">
        <v>1.8839999999999999</v>
      </c>
      <c r="U689" s="11" t="s">
        <v>2235</v>
      </c>
      <c r="V689" s="174">
        <v>7.2499999999999995E-2</v>
      </c>
      <c r="W689" s="189">
        <v>7.6039999999999996E-2</v>
      </c>
      <c r="X689" s="4" t="s">
        <v>602</v>
      </c>
      <c r="Y689" s="4" t="s">
        <v>312</v>
      </c>
      <c r="Z689" s="158">
        <v>27000</v>
      </c>
      <c r="AA689" s="158">
        <v>1</v>
      </c>
      <c r="AB689" s="158">
        <v>101.9</v>
      </c>
      <c r="AD689" s="158">
        <v>27.513000000000002</v>
      </c>
      <c r="AG689" s="11" t="s">
        <v>37</v>
      </c>
      <c r="AH689" s="189">
        <v>2.0799999999999999E-4</v>
      </c>
      <c r="AI689" s="189">
        <v>1.8871128122455701E-3</v>
      </c>
      <c r="AJ689" s="189">
        <v>4.1083453441446798E-4</v>
      </c>
    </row>
    <row r="690" spans="1:36">
      <c r="A690" s="11" t="s">
        <v>256</v>
      </c>
      <c r="B690" s="11">
        <v>7206</v>
      </c>
      <c r="C690" s="11" t="s">
        <v>2853</v>
      </c>
      <c r="D690" s="11" t="s">
        <v>2854</v>
      </c>
      <c r="E690" s="4" t="s">
        <v>1552</v>
      </c>
      <c r="F690" s="11" t="s">
        <v>2855</v>
      </c>
      <c r="G690" s="11" t="s">
        <v>2856</v>
      </c>
      <c r="H690" s="11" t="s">
        <v>511</v>
      </c>
      <c r="I690" s="11" t="s">
        <v>1154</v>
      </c>
      <c r="J690" s="11" t="s">
        <v>31</v>
      </c>
      <c r="K690" s="11" t="s">
        <v>31</v>
      </c>
      <c r="L690" s="11" t="s">
        <v>517</v>
      </c>
      <c r="M690" s="11" t="s">
        <v>32</v>
      </c>
      <c r="N690" s="11" t="s">
        <v>631</v>
      </c>
      <c r="O690" s="11" t="s">
        <v>312</v>
      </c>
      <c r="P690" s="11" t="s">
        <v>2206</v>
      </c>
      <c r="Q690" s="11" t="s">
        <v>604</v>
      </c>
      <c r="R690" s="11" t="s">
        <v>596</v>
      </c>
      <c r="S690" s="11" t="s">
        <v>35</v>
      </c>
      <c r="T690" s="158">
        <v>0.247</v>
      </c>
      <c r="U690" s="11" t="s">
        <v>206</v>
      </c>
      <c r="V690" s="174">
        <v>3.2399999999999998E-2</v>
      </c>
      <c r="W690" s="189">
        <v>9.4060000000000005E-2</v>
      </c>
      <c r="X690" s="4" t="s">
        <v>602</v>
      </c>
      <c r="Y690" s="4" t="s">
        <v>312</v>
      </c>
      <c r="Z690" s="158">
        <v>10938.07</v>
      </c>
      <c r="AA690" s="158">
        <v>1</v>
      </c>
      <c r="AB690" s="158">
        <v>98.85</v>
      </c>
      <c r="AD690" s="158">
        <v>10.811999999999999</v>
      </c>
      <c r="AG690" s="11" t="s">
        <v>37</v>
      </c>
      <c r="AH690" s="189">
        <v>1.44E-4</v>
      </c>
      <c r="AI690" s="189">
        <v>7.4161291970338398E-4</v>
      </c>
      <c r="AJ690" s="189">
        <v>1.6145309204887399E-4</v>
      </c>
    </row>
    <row r="691" spans="1:36">
      <c r="A691" s="11" t="s">
        <v>256</v>
      </c>
      <c r="B691" s="11">
        <v>7206</v>
      </c>
      <c r="C691" s="11" t="s">
        <v>2236</v>
      </c>
      <c r="D691" s="11" t="s">
        <v>2237</v>
      </c>
      <c r="E691" s="4" t="s">
        <v>1552</v>
      </c>
      <c r="F691" s="11" t="s">
        <v>2238</v>
      </c>
      <c r="G691" s="11" t="s">
        <v>2239</v>
      </c>
      <c r="H691" s="11" t="s">
        <v>511</v>
      </c>
      <c r="I691" s="11" t="s">
        <v>945</v>
      </c>
      <c r="J691" s="11" t="s">
        <v>31</v>
      </c>
      <c r="K691" s="11" t="s">
        <v>31</v>
      </c>
      <c r="L691" s="11" t="s">
        <v>517</v>
      </c>
      <c r="M691" s="11" t="s">
        <v>32</v>
      </c>
      <c r="N691" s="11" t="s">
        <v>653</v>
      </c>
      <c r="O691" s="11" t="s">
        <v>312</v>
      </c>
      <c r="P691" s="11" t="s">
        <v>174</v>
      </c>
      <c r="Q691" s="11" t="s">
        <v>604</v>
      </c>
      <c r="R691" s="11" t="s">
        <v>596</v>
      </c>
      <c r="S691" s="11" t="s">
        <v>35</v>
      </c>
      <c r="T691" s="158">
        <v>0.99099999999999999</v>
      </c>
      <c r="U691" s="11" t="s">
        <v>2188</v>
      </c>
      <c r="V691" s="174">
        <v>1.2200000000000001E-2</v>
      </c>
      <c r="W691" s="189">
        <v>3.0630000000000001E-2</v>
      </c>
      <c r="X691" s="4" t="s">
        <v>602</v>
      </c>
      <c r="Y691" s="4" t="s">
        <v>312</v>
      </c>
      <c r="Z691" s="158">
        <v>48500</v>
      </c>
      <c r="AA691" s="158">
        <v>1</v>
      </c>
      <c r="AB691" s="158">
        <v>111.42</v>
      </c>
      <c r="AD691" s="158">
        <v>54.039000000000001</v>
      </c>
      <c r="AG691" s="11" t="s">
        <v>37</v>
      </c>
      <c r="AH691" s="189">
        <v>1.05E-4</v>
      </c>
      <c r="AI691" s="189">
        <v>3.7065068559261E-3</v>
      </c>
      <c r="AJ691" s="189">
        <v>8.0692633136564902E-4</v>
      </c>
    </row>
    <row r="692" spans="1:36">
      <c r="A692" s="11" t="s">
        <v>256</v>
      </c>
      <c r="B692" s="11">
        <v>7206</v>
      </c>
      <c r="C692" s="11" t="s">
        <v>2236</v>
      </c>
      <c r="D692" s="11" t="s">
        <v>2237</v>
      </c>
      <c r="E692" s="4" t="s">
        <v>1552</v>
      </c>
      <c r="F692" s="11" t="s">
        <v>2240</v>
      </c>
      <c r="G692" s="11" t="s">
        <v>2241</v>
      </c>
      <c r="H692" s="11" t="s">
        <v>511</v>
      </c>
      <c r="I692" s="11" t="s">
        <v>1154</v>
      </c>
      <c r="J692" s="11" t="s">
        <v>31</v>
      </c>
      <c r="K692" s="11" t="s">
        <v>31</v>
      </c>
      <c r="L692" s="11" t="s">
        <v>517</v>
      </c>
      <c r="M692" s="11" t="s">
        <v>32</v>
      </c>
      <c r="N692" s="11" t="s">
        <v>653</v>
      </c>
      <c r="O692" s="11" t="s">
        <v>312</v>
      </c>
      <c r="P692" s="11" t="s">
        <v>174</v>
      </c>
      <c r="Q692" s="11" t="s">
        <v>604</v>
      </c>
      <c r="R692" s="11" t="s">
        <v>596</v>
      </c>
      <c r="S692" s="11" t="s">
        <v>35</v>
      </c>
      <c r="T692" s="158">
        <v>2.7869999999999999</v>
      </c>
      <c r="U692" s="11" t="s">
        <v>2242</v>
      </c>
      <c r="V692" s="174">
        <v>2.3E-2</v>
      </c>
      <c r="W692" s="189">
        <v>5.5829999999999998E-2</v>
      </c>
      <c r="X692" s="4" t="s">
        <v>602</v>
      </c>
      <c r="Y692" s="4" t="s">
        <v>312</v>
      </c>
      <c r="Z692" s="158">
        <v>56000.09</v>
      </c>
      <c r="AA692" s="158">
        <v>1</v>
      </c>
      <c r="AB692" s="158">
        <v>92.02</v>
      </c>
      <c r="AD692" s="158">
        <v>51.530999999999999</v>
      </c>
      <c r="AG692" s="11" t="s">
        <v>37</v>
      </c>
      <c r="AH692" s="189">
        <v>7.2999999999999999E-5</v>
      </c>
      <c r="AI692" s="189">
        <v>3.5345234629919702E-3</v>
      </c>
      <c r="AJ692" s="189">
        <v>7.6948462851427596E-4</v>
      </c>
    </row>
    <row r="693" spans="1:36">
      <c r="A693" s="11" t="s">
        <v>256</v>
      </c>
      <c r="B693" s="11">
        <v>7206</v>
      </c>
      <c r="C693" s="11" t="s">
        <v>2243</v>
      </c>
      <c r="D693" s="11" t="s">
        <v>2244</v>
      </c>
      <c r="E693" s="4" t="s">
        <v>1552</v>
      </c>
      <c r="F693" s="11" t="s">
        <v>2245</v>
      </c>
      <c r="G693" s="11" t="s">
        <v>2246</v>
      </c>
      <c r="H693" s="11" t="s">
        <v>511</v>
      </c>
      <c r="I693" s="11" t="s">
        <v>1154</v>
      </c>
      <c r="J693" s="11" t="s">
        <v>31</v>
      </c>
      <c r="K693" s="11" t="s">
        <v>31</v>
      </c>
      <c r="L693" s="11" t="s">
        <v>517</v>
      </c>
      <c r="M693" s="11" t="s">
        <v>32</v>
      </c>
      <c r="N693" s="11" t="s">
        <v>635</v>
      </c>
      <c r="O693" s="11" t="s">
        <v>312</v>
      </c>
      <c r="P693" s="27" t="s">
        <v>2165</v>
      </c>
      <c r="Q693" s="27" t="s">
        <v>2165</v>
      </c>
      <c r="R693" s="16" t="s">
        <v>2165</v>
      </c>
      <c r="S693" s="11" t="s">
        <v>35</v>
      </c>
      <c r="T693" s="158">
        <v>2.2999999999999998</v>
      </c>
      <c r="U693" s="11" t="s">
        <v>2180</v>
      </c>
      <c r="V693" s="174">
        <v>8.5000000000000006E-2</v>
      </c>
      <c r="W693" s="189">
        <v>7.4560000000000001E-2</v>
      </c>
      <c r="X693" s="4" t="s">
        <v>602</v>
      </c>
      <c r="Y693" s="4" t="s">
        <v>312</v>
      </c>
      <c r="Z693" s="158">
        <v>47000</v>
      </c>
      <c r="AA693" s="158">
        <v>1</v>
      </c>
      <c r="AB693" s="158">
        <v>102.62</v>
      </c>
      <c r="AD693" s="158">
        <v>48.231000000000002</v>
      </c>
      <c r="AG693" s="11" t="s">
        <v>37</v>
      </c>
      <c r="AH693" s="189">
        <v>3.6200000000000002E-4</v>
      </c>
      <c r="AI693" s="189">
        <v>3.3081849632007102E-3</v>
      </c>
      <c r="AJ693" s="189">
        <v>7.2020952870126699E-4</v>
      </c>
    </row>
    <row r="694" spans="1:36">
      <c r="A694" s="11" t="s">
        <v>256</v>
      </c>
      <c r="B694" s="11">
        <v>7206</v>
      </c>
      <c r="C694" s="11" t="s">
        <v>2247</v>
      </c>
      <c r="D694" s="11" t="s">
        <v>2248</v>
      </c>
      <c r="E694" s="4" t="s">
        <v>1552</v>
      </c>
      <c r="F694" s="11" t="s">
        <v>2249</v>
      </c>
      <c r="G694" s="11" t="s">
        <v>2250</v>
      </c>
      <c r="H694" s="11" t="s">
        <v>511</v>
      </c>
      <c r="I694" s="11" t="s">
        <v>1154</v>
      </c>
      <c r="J694" s="11" t="s">
        <v>31</v>
      </c>
      <c r="K694" s="11" t="s">
        <v>31</v>
      </c>
      <c r="L694" s="11" t="s">
        <v>517</v>
      </c>
      <c r="M694" s="11" t="s">
        <v>32</v>
      </c>
      <c r="N694" s="11" t="s">
        <v>635</v>
      </c>
      <c r="O694" s="11" t="s">
        <v>312</v>
      </c>
      <c r="P694" s="11" t="s">
        <v>174</v>
      </c>
      <c r="Q694" s="11" t="s">
        <v>604</v>
      </c>
      <c r="R694" s="11" t="s">
        <v>596</v>
      </c>
      <c r="S694" s="11" t="s">
        <v>35</v>
      </c>
      <c r="T694" s="158">
        <v>0.73799999999999999</v>
      </c>
      <c r="U694" s="11" t="s">
        <v>2251</v>
      </c>
      <c r="V694" s="174">
        <v>2.75E-2</v>
      </c>
      <c r="W694" s="189">
        <v>5.3370000000000001E-2</v>
      </c>
      <c r="X694" s="4" t="s">
        <v>602</v>
      </c>
      <c r="Y694" s="4" t="s">
        <v>312</v>
      </c>
      <c r="Z694" s="158">
        <v>17000.330000000002</v>
      </c>
      <c r="AA694" s="158">
        <v>1</v>
      </c>
      <c r="AB694" s="158">
        <v>98.88</v>
      </c>
      <c r="AD694" s="158">
        <v>16.809999999999999</v>
      </c>
      <c r="AG694" s="11" t="s">
        <v>37</v>
      </c>
      <c r="AH694" s="189">
        <v>1.9100000000000001E-4</v>
      </c>
      <c r="AI694" s="189">
        <v>1.15299048817585E-3</v>
      </c>
      <c r="AJ694" s="189">
        <v>2.51012185026909E-4</v>
      </c>
    </row>
    <row r="695" spans="1:36">
      <c r="A695" s="11" t="s">
        <v>256</v>
      </c>
      <c r="B695" s="11">
        <v>7206</v>
      </c>
      <c r="C695" s="11" t="s">
        <v>1686</v>
      </c>
      <c r="D695" s="11" t="s">
        <v>1687</v>
      </c>
      <c r="E695" s="4" t="s">
        <v>1552</v>
      </c>
      <c r="F695" s="11" t="s">
        <v>2252</v>
      </c>
      <c r="G695" s="11" t="s">
        <v>2253</v>
      </c>
      <c r="H695" s="11" t="s">
        <v>511</v>
      </c>
      <c r="I695" s="11" t="s">
        <v>1155</v>
      </c>
      <c r="J695" s="11" t="s">
        <v>31</v>
      </c>
      <c r="K695" s="11" t="s">
        <v>31</v>
      </c>
      <c r="L695" s="11" t="s">
        <v>517</v>
      </c>
      <c r="M695" s="11" t="s">
        <v>32</v>
      </c>
      <c r="N695" s="11" t="s">
        <v>629</v>
      </c>
      <c r="O695" s="11" t="s">
        <v>312</v>
      </c>
      <c r="P695" s="27" t="s">
        <v>2165</v>
      </c>
      <c r="Q695" s="27" t="s">
        <v>2165</v>
      </c>
      <c r="R695" s="16" t="s">
        <v>2165</v>
      </c>
      <c r="S695" s="11" t="s">
        <v>35</v>
      </c>
      <c r="T695" s="158">
        <v>1.96</v>
      </c>
      <c r="U695" s="11" t="s">
        <v>2203</v>
      </c>
      <c r="V695" s="174">
        <v>2.5000000000000001E-2</v>
      </c>
      <c r="W695" s="189">
        <v>8.133E-2</v>
      </c>
      <c r="X695" s="4" t="s">
        <v>602</v>
      </c>
      <c r="Y695" s="4" t="s">
        <v>312</v>
      </c>
      <c r="Z695" s="158">
        <v>88000</v>
      </c>
      <c r="AA695" s="158">
        <v>1</v>
      </c>
      <c r="AB695" s="158">
        <v>90.1</v>
      </c>
      <c r="AD695" s="158">
        <v>79.287999999999997</v>
      </c>
      <c r="AG695" s="11" t="s">
        <v>37</v>
      </c>
      <c r="AH695" s="189">
        <v>2.63E-4</v>
      </c>
      <c r="AI695" s="189">
        <v>5.4383528025779499E-3</v>
      </c>
      <c r="AJ695" s="189">
        <v>1.18395844017934E-3</v>
      </c>
    </row>
    <row r="696" spans="1:36">
      <c r="A696" s="11" t="s">
        <v>256</v>
      </c>
      <c r="B696" s="11">
        <v>7206</v>
      </c>
      <c r="C696" s="11" t="s">
        <v>1694</v>
      </c>
      <c r="D696" s="11" t="s">
        <v>1695</v>
      </c>
      <c r="E696" s="4" t="s">
        <v>1552</v>
      </c>
      <c r="F696" s="11" t="s">
        <v>2254</v>
      </c>
      <c r="G696" s="11" t="s">
        <v>2255</v>
      </c>
      <c r="H696" s="11" t="s">
        <v>511</v>
      </c>
      <c r="I696" s="11" t="s">
        <v>945</v>
      </c>
      <c r="J696" s="11" t="s">
        <v>31</v>
      </c>
      <c r="K696" s="11" t="s">
        <v>31</v>
      </c>
      <c r="L696" s="11" t="s">
        <v>517</v>
      </c>
      <c r="M696" s="11" t="s">
        <v>32</v>
      </c>
      <c r="N696" s="11" t="s">
        <v>652</v>
      </c>
      <c r="O696" s="11" t="s">
        <v>312</v>
      </c>
      <c r="P696" s="27" t="s">
        <v>2165</v>
      </c>
      <c r="Q696" s="27" t="s">
        <v>2165</v>
      </c>
      <c r="R696" s="16" t="s">
        <v>2165</v>
      </c>
      <c r="S696" s="11" t="s">
        <v>35</v>
      </c>
      <c r="T696" s="158">
        <v>2.5609999999999999</v>
      </c>
      <c r="U696" s="11" t="s">
        <v>2256</v>
      </c>
      <c r="V696" s="174">
        <v>1.9E-2</v>
      </c>
      <c r="W696" s="189">
        <v>3.7080000000000002E-2</v>
      </c>
      <c r="X696" s="4" t="s">
        <v>602</v>
      </c>
      <c r="Y696" s="4" t="s">
        <v>312</v>
      </c>
      <c r="Z696" s="158">
        <v>35310.86</v>
      </c>
      <c r="AA696" s="158">
        <v>1</v>
      </c>
      <c r="AB696" s="158">
        <v>104.67</v>
      </c>
      <c r="AD696" s="158">
        <v>36.96</v>
      </c>
      <c r="AG696" s="11" t="s">
        <v>37</v>
      </c>
      <c r="AH696" s="189">
        <v>6.0999999999999999E-5</v>
      </c>
      <c r="AI696" s="189">
        <v>2.5350727921867001E-3</v>
      </c>
      <c r="AJ696" s="189">
        <v>5.51898881469349E-4</v>
      </c>
    </row>
    <row r="697" spans="1:36">
      <c r="A697" s="11" t="s">
        <v>256</v>
      </c>
      <c r="B697" s="11">
        <v>7206</v>
      </c>
      <c r="C697" s="11" t="s">
        <v>1694</v>
      </c>
      <c r="D697" s="11" t="s">
        <v>1695</v>
      </c>
      <c r="E697" s="4" t="s">
        <v>1552</v>
      </c>
      <c r="F697" s="11" t="s">
        <v>2257</v>
      </c>
      <c r="G697" s="11" t="s">
        <v>2255</v>
      </c>
      <c r="H697" s="11" t="s">
        <v>511</v>
      </c>
      <c r="I697" s="11" t="s">
        <v>945</v>
      </c>
      <c r="J697" s="11" t="s">
        <v>31</v>
      </c>
      <c r="K697" s="11" t="s">
        <v>31</v>
      </c>
      <c r="L697" s="16" t="s">
        <v>519</v>
      </c>
      <c r="M697" s="11" t="s">
        <v>32</v>
      </c>
      <c r="N697" s="11" t="s">
        <v>652</v>
      </c>
      <c r="O697" s="11" t="s">
        <v>312</v>
      </c>
      <c r="P697" s="27" t="s">
        <v>2165</v>
      </c>
      <c r="Q697" s="27" t="s">
        <v>2165</v>
      </c>
      <c r="R697" s="16" t="s">
        <v>2165</v>
      </c>
      <c r="S697" s="11" t="s">
        <v>35</v>
      </c>
      <c r="T697" s="158">
        <v>2.59</v>
      </c>
      <c r="U697" s="11" t="s">
        <v>2256</v>
      </c>
      <c r="V697" s="174">
        <v>1.9E-2</v>
      </c>
      <c r="W697" s="189">
        <v>3.7190000000000001E-2</v>
      </c>
      <c r="X697" s="4" t="s">
        <v>602</v>
      </c>
      <c r="Y697" s="4" t="s">
        <v>312</v>
      </c>
      <c r="Z697" s="158">
        <v>40000</v>
      </c>
      <c r="AA697" s="158">
        <v>1</v>
      </c>
      <c r="AB697" s="158">
        <v>104.67</v>
      </c>
      <c r="AD697" s="158">
        <v>41.868000000000002</v>
      </c>
      <c r="AG697" s="11" t="s">
        <v>37</v>
      </c>
      <c r="AH697" s="189">
        <v>0</v>
      </c>
      <c r="AI697" s="189">
        <v>2.8717202494492702E-3</v>
      </c>
      <c r="AJ697" s="189">
        <v>6.2518883025714899E-4</v>
      </c>
    </row>
    <row r="698" spans="1:36">
      <c r="A698" s="11" t="s">
        <v>256</v>
      </c>
      <c r="B698" s="11">
        <v>7206</v>
      </c>
      <c r="C698" s="11" t="s">
        <v>2258</v>
      </c>
      <c r="D698" s="11" t="s">
        <v>2259</v>
      </c>
      <c r="E698" s="4" t="s">
        <v>1552</v>
      </c>
      <c r="F698" s="11" t="s">
        <v>2260</v>
      </c>
      <c r="G698" s="11" t="s">
        <v>2261</v>
      </c>
      <c r="H698" s="11" t="s">
        <v>511</v>
      </c>
      <c r="I698" s="11" t="s">
        <v>945</v>
      </c>
      <c r="J698" s="11" t="s">
        <v>31</v>
      </c>
      <c r="K698" s="11" t="s">
        <v>31</v>
      </c>
      <c r="L698" s="11" t="s">
        <v>517</v>
      </c>
      <c r="M698" s="11" t="s">
        <v>32</v>
      </c>
      <c r="N698" s="11" t="s">
        <v>652</v>
      </c>
      <c r="O698" s="11" t="s">
        <v>312</v>
      </c>
      <c r="P698" s="11" t="s">
        <v>2161</v>
      </c>
      <c r="Q698" s="11" t="s">
        <v>358</v>
      </c>
      <c r="R698" s="11" t="s">
        <v>596</v>
      </c>
      <c r="S698" s="11" t="s">
        <v>35</v>
      </c>
      <c r="T698" s="158">
        <v>3.6779999999999999</v>
      </c>
      <c r="U698" s="11" t="s">
        <v>2262</v>
      </c>
      <c r="V698" s="174">
        <v>1.83E-2</v>
      </c>
      <c r="W698" s="189">
        <v>3.1600000000000003E-2</v>
      </c>
      <c r="X698" s="4" t="s">
        <v>602</v>
      </c>
      <c r="Y698" s="4" t="s">
        <v>312</v>
      </c>
      <c r="Z698" s="158">
        <v>5625</v>
      </c>
      <c r="AA698" s="158">
        <v>1</v>
      </c>
      <c r="AB698" s="158">
        <v>108.49</v>
      </c>
      <c r="AD698" s="158">
        <v>6.1029999999999998</v>
      </c>
      <c r="AG698" s="11" t="s">
        <v>37</v>
      </c>
      <c r="AH698" s="189">
        <v>2.9E-5</v>
      </c>
      <c r="AI698" s="189">
        <v>4.18573906199956E-4</v>
      </c>
      <c r="AJ698" s="189">
        <v>9.1125774122149201E-5</v>
      </c>
    </row>
    <row r="699" spans="1:36">
      <c r="A699" s="11" t="s">
        <v>256</v>
      </c>
      <c r="B699" s="11">
        <v>7206</v>
      </c>
      <c r="C699" s="11" t="s">
        <v>2258</v>
      </c>
      <c r="D699" s="11" t="s">
        <v>2259</v>
      </c>
      <c r="E699" s="4" t="s">
        <v>1552</v>
      </c>
      <c r="F699" s="11" t="s">
        <v>2263</v>
      </c>
      <c r="G699" s="11" t="s">
        <v>2264</v>
      </c>
      <c r="H699" s="11" t="s">
        <v>511</v>
      </c>
      <c r="I699" s="11" t="s">
        <v>945</v>
      </c>
      <c r="J699" s="11" t="s">
        <v>31</v>
      </c>
      <c r="K699" s="11" t="s">
        <v>31</v>
      </c>
      <c r="L699" s="11" t="s">
        <v>517</v>
      </c>
      <c r="M699" s="11" t="s">
        <v>32</v>
      </c>
      <c r="N699" s="11" t="s">
        <v>652</v>
      </c>
      <c r="O699" s="11" t="s">
        <v>312</v>
      </c>
      <c r="P699" s="11" t="s">
        <v>2161</v>
      </c>
      <c r="Q699" s="11" t="s">
        <v>358</v>
      </c>
      <c r="R699" s="11" t="s">
        <v>596</v>
      </c>
      <c r="S699" s="11" t="s">
        <v>35</v>
      </c>
      <c r="T699" s="158">
        <v>4.1399999999999997</v>
      </c>
      <c r="U699" s="11" t="s">
        <v>2170</v>
      </c>
      <c r="V699" s="174">
        <v>1.5299999999999999E-2</v>
      </c>
      <c r="W699" s="189">
        <v>3.2820000000000002E-2</v>
      </c>
      <c r="X699" s="4" t="s">
        <v>602</v>
      </c>
      <c r="Y699" s="4" t="s">
        <v>312</v>
      </c>
      <c r="Z699" s="158">
        <v>21395.599999999999</v>
      </c>
      <c r="AA699" s="158">
        <v>1</v>
      </c>
      <c r="AB699" s="158">
        <v>105.9</v>
      </c>
      <c r="AC699" s="158">
        <v>0.878</v>
      </c>
      <c r="AD699" s="158">
        <v>23.536000000000001</v>
      </c>
      <c r="AG699" s="11" t="s">
        <v>37</v>
      </c>
      <c r="AH699" s="189">
        <v>5.5999999999999999E-5</v>
      </c>
      <c r="AI699" s="189">
        <v>1.61433645450812E-3</v>
      </c>
      <c r="AJ699" s="189">
        <v>3.5144966499747298E-4</v>
      </c>
    </row>
    <row r="700" spans="1:36">
      <c r="A700" s="11" t="s">
        <v>256</v>
      </c>
      <c r="B700" s="11">
        <v>7206</v>
      </c>
      <c r="C700" s="11" t="s">
        <v>1698</v>
      </c>
      <c r="D700" s="11" t="s">
        <v>1699</v>
      </c>
      <c r="E700" s="4" t="s">
        <v>1552</v>
      </c>
      <c r="F700" s="11" t="s">
        <v>2265</v>
      </c>
      <c r="G700" s="11" t="s">
        <v>2266</v>
      </c>
      <c r="H700" s="11" t="s">
        <v>511</v>
      </c>
      <c r="I700" s="11" t="s">
        <v>364</v>
      </c>
      <c r="J700" s="11" t="s">
        <v>31</v>
      </c>
      <c r="K700" s="11" t="s">
        <v>31</v>
      </c>
      <c r="L700" s="11" t="s">
        <v>517</v>
      </c>
      <c r="M700" s="11" t="s">
        <v>32</v>
      </c>
      <c r="N700" s="11" t="s">
        <v>628</v>
      </c>
      <c r="O700" s="11" t="s">
        <v>312</v>
      </c>
      <c r="P700" s="11" t="s">
        <v>2161</v>
      </c>
      <c r="Q700" s="11" t="s">
        <v>358</v>
      </c>
      <c r="R700" s="11" t="s">
        <v>596</v>
      </c>
      <c r="S700" s="11" t="s">
        <v>35</v>
      </c>
      <c r="T700" s="158">
        <v>0.76</v>
      </c>
      <c r="U700" s="11" t="s">
        <v>2267</v>
      </c>
      <c r="V700" s="174">
        <v>4.7E-2</v>
      </c>
      <c r="W700" s="189">
        <v>7.9450000000000007E-2</v>
      </c>
      <c r="X700" s="4" t="s">
        <v>602</v>
      </c>
      <c r="Y700" s="4" t="s">
        <v>312</v>
      </c>
      <c r="Z700" s="158">
        <v>8250</v>
      </c>
      <c r="AA700" s="158">
        <v>1</v>
      </c>
      <c r="AB700" s="158">
        <v>102.06</v>
      </c>
      <c r="AD700" s="158">
        <v>8.42</v>
      </c>
      <c r="AG700" s="11" t="s">
        <v>37</v>
      </c>
      <c r="AH700" s="189">
        <v>2.1999999999999999E-5</v>
      </c>
      <c r="AI700" s="189">
        <v>5.77523189890856E-4</v>
      </c>
      <c r="AJ700" s="189">
        <v>1.2572988180289699E-4</v>
      </c>
    </row>
    <row r="701" spans="1:36">
      <c r="A701" s="11" t="s">
        <v>256</v>
      </c>
      <c r="B701" s="11">
        <v>7206</v>
      </c>
      <c r="C701" s="11" t="s">
        <v>2857</v>
      </c>
      <c r="D701" s="11" t="s">
        <v>2858</v>
      </c>
      <c r="E701" s="4" t="s">
        <v>1552</v>
      </c>
      <c r="F701" s="11" t="s">
        <v>2859</v>
      </c>
      <c r="G701" s="11" t="s">
        <v>2860</v>
      </c>
      <c r="H701" s="11" t="s">
        <v>511</v>
      </c>
      <c r="I701" s="11" t="s">
        <v>1154</v>
      </c>
      <c r="J701" s="11" t="s">
        <v>31</v>
      </c>
      <c r="K701" s="11" t="s">
        <v>31</v>
      </c>
      <c r="L701" s="11" t="s">
        <v>517</v>
      </c>
      <c r="M701" s="11" t="s">
        <v>32</v>
      </c>
      <c r="N701" s="11" t="s">
        <v>673</v>
      </c>
      <c r="O701" s="11" t="s">
        <v>312</v>
      </c>
      <c r="P701" s="11" t="s">
        <v>2206</v>
      </c>
      <c r="Q701" s="11" t="s">
        <v>604</v>
      </c>
      <c r="R701" s="11" t="s">
        <v>596</v>
      </c>
      <c r="S701" s="11" t="s">
        <v>35</v>
      </c>
      <c r="T701" s="158">
        <v>2.323</v>
      </c>
      <c r="U701" s="11" t="s">
        <v>2670</v>
      </c>
      <c r="V701" s="174">
        <v>3.6499999999999998E-2</v>
      </c>
      <c r="W701" s="189">
        <v>5.7189999999999998E-2</v>
      </c>
      <c r="X701" s="4" t="s">
        <v>602</v>
      </c>
      <c r="Y701" s="4" t="s">
        <v>312</v>
      </c>
      <c r="Z701" s="158">
        <v>30000</v>
      </c>
      <c r="AA701" s="158">
        <v>1</v>
      </c>
      <c r="AB701" s="158">
        <v>95.7</v>
      </c>
      <c r="AD701" s="158">
        <v>28.71</v>
      </c>
      <c r="AG701" s="11" t="s">
        <v>37</v>
      </c>
      <c r="AH701" s="189">
        <v>1.5E-5</v>
      </c>
      <c r="AI701" s="189">
        <v>1.9692148744073902E-3</v>
      </c>
      <c r="AJ701" s="189">
        <v>4.2870859168536198E-4</v>
      </c>
    </row>
    <row r="702" spans="1:36">
      <c r="A702" s="11" t="s">
        <v>256</v>
      </c>
      <c r="B702" s="11">
        <v>7206</v>
      </c>
      <c r="C702" s="11" t="s">
        <v>1706</v>
      </c>
      <c r="D702" s="11" t="s">
        <v>1707</v>
      </c>
      <c r="E702" s="4" t="s">
        <v>1552</v>
      </c>
      <c r="F702" s="11" t="s">
        <v>2268</v>
      </c>
      <c r="G702" s="11" t="s">
        <v>2269</v>
      </c>
      <c r="H702" s="11" t="s">
        <v>511</v>
      </c>
      <c r="I702" s="11" t="s">
        <v>945</v>
      </c>
      <c r="J702" s="11" t="s">
        <v>31</v>
      </c>
      <c r="K702" s="11" t="s">
        <v>31</v>
      </c>
      <c r="L702" s="11" t="s">
        <v>517</v>
      </c>
      <c r="M702" s="11" t="s">
        <v>32</v>
      </c>
      <c r="N702" s="11" t="s">
        <v>652</v>
      </c>
      <c r="O702" s="11" t="s">
        <v>312</v>
      </c>
      <c r="P702" s="11" t="s">
        <v>2225</v>
      </c>
      <c r="Q702" s="11" t="s">
        <v>604</v>
      </c>
      <c r="R702" s="11" t="s">
        <v>596</v>
      </c>
      <c r="S702" s="11" t="s">
        <v>35</v>
      </c>
      <c r="T702" s="158">
        <v>1.6759999999999999</v>
      </c>
      <c r="U702" s="11" t="s">
        <v>2270</v>
      </c>
      <c r="V702" s="174">
        <v>1.34E-2</v>
      </c>
      <c r="W702" s="189">
        <v>2.4400000000000002E-2</v>
      </c>
      <c r="X702" s="4" t="s">
        <v>602</v>
      </c>
      <c r="Y702" s="4" t="s">
        <v>312</v>
      </c>
      <c r="Z702" s="158">
        <v>192923.87</v>
      </c>
      <c r="AA702" s="158">
        <v>1</v>
      </c>
      <c r="AB702" s="158">
        <v>112.6</v>
      </c>
      <c r="AD702" s="158">
        <v>217.232</v>
      </c>
      <c r="AG702" s="11" t="s">
        <v>37</v>
      </c>
      <c r="AH702" s="189">
        <v>3.9199999999999999E-4</v>
      </c>
      <c r="AI702" s="189">
        <v>1.4899931462580901E-2</v>
      </c>
      <c r="AJ702" s="189">
        <v>3.2437946292955002E-3</v>
      </c>
    </row>
    <row r="703" spans="1:36">
      <c r="A703" s="11" t="s">
        <v>256</v>
      </c>
      <c r="B703" s="11">
        <v>7206</v>
      </c>
      <c r="C703" s="11" t="s">
        <v>1706</v>
      </c>
      <c r="D703" s="11" t="s">
        <v>1707</v>
      </c>
      <c r="E703" s="4" t="s">
        <v>1552</v>
      </c>
      <c r="F703" s="11" t="s">
        <v>2271</v>
      </c>
      <c r="G703" s="11" t="s">
        <v>2272</v>
      </c>
      <c r="H703" s="11" t="s">
        <v>511</v>
      </c>
      <c r="I703" s="11" t="s">
        <v>945</v>
      </c>
      <c r="J703" s="11" t="s">
        <v>31</v>
      </c>
      <c r="K703" s="11" t="s">
        <v>31</v>
      </c>
      <c r="L703" s="11" t="s">
        <v>517</v>
      </c>
      <c r="M703" s="11" t="s">
        <v>32</v>
      </c>
      <c r="N703" s="11" t="s">
        <v>652</v>
      </c>
      <c r="O703" s="11" t="s">
        <v>312</v>
      </c>
      <c r="P703" s="11" t="s">
        <v>2169</v>
      </c>
      <c r="Q703" s="11" t="s">
        <v>358</v>
      </c>
      <c r="R703" s="11" t="s">
        <v>596</v>
      </c>
      <c r="S703" s="11" t="s">
        <v>35</v>
      </c>
      <c r="T703" s="158">
        <v>5.5919999999999996</v>
      </c>
      <c r="U703" s="11" t="s">
        <v>2273</v>
      </c>
      <c r="V703" s="174">
        <v>2.5999999999999999E-2</v>
      </c>
      <c r="W703" s="189">
        <v>3.1829999999999997E-2</v>
      </c>
      <c r="X703" s="4" t="s">
        <v>602</v>
      </c>
      <c r="Y703" s="4" t="s">
        <v>312</v>
      </c>
      <c r="Z703" s="158">
        <v>63000</v>
      </c>
      <c r="AA703" s="158">
        <v>1</v>
      </c>
      <c r="AB703" s="158">
        <v>98.8</v>
      </c>
      <c r="AC703" s="158">
        <v>0.86399999999999999</v>
      </c>
      <c r="AD703" s="158">
        <v>63.107999999999997</v>
      </c>
      <c r="AG703" s="11" t="s">
        <v>37</v>
      </c>
      <c r="AH703" s="189">
        <v>1.18E-4</v>
      </c>
      <c r="AI703" s="189">
        <v>4.3285901341244297E-3</v>
      </c>
      <c r="AJ703" s="189">
        <v>9.42357182296874E-4</v>
      </c>
    </row>
    <row r="704" spans="1:36">
      <c r="A704" s="11" t="s">
        <v>256</v>
      </c>
      <c r="B704" s="11">
        <v>7206</v>
      </c>
      <c r="C704" s="11" t="s">
        <v>1706</v>
      </c>
      <c r="D704" s="11" t="s">
        <v>1707</v>
      </c>
      <c r="E704" s="4" t="s">
        <v>1552</v>
      </c>
      <c r="F704" s="11" t="s">
        <v>2274</v>
      </c>
      <c r="G704" s="11" t="s">
        <v>2275</v>
      </c>
      <c r="H704" s="11" t="s">
        <v>511</v>
      </c>
      <c r="I704" s="11" t="s">
        <v>945</v>
      </c>
      <c r="J704" s="11" t="s">
        <v>31</v>
      </c>
      <c r="K704" s="11" t="s">
        <v>31</v>
      </c>
      <c r="L704" s="11" t="s">
        <v>517</v>
      </c>
      <c r="M704" s="11" t="s">
        <v>32</v>
      </c>
      <c r="N704" s="11" t="s">
        <v>652</v>
      </c>
      <c r="O704" s="11" t="s">
        <v>312</v>
      </c>
      <c r="P704" s="11" t="s">
        <v>2169</v>
      </c>
      <c r="Q704" s="11" t="s">
        <v>358</v>
      </c>
      <c r="R704" s="11" t="s">
        <v>596</v>
      </c>
      <c r="S704" s="11" t="s">
        <v>35</v>
      </c>
      <c r="T704" s="158">
        <v>3.1429999999999998</v>
      </c>
      <c r="U704" s="11" t="s">
        <v>2276</v>
      </c>
      <c r="V704" s="174">
        <v>1.8200000000000001E-2</v>
      </c>
      <c r="W704" s="189">
        <v>2.6210000000000001E-2</v>
      </c>
      <c r="X704" s="4" t="s">
        <v>602</v>
      </c>
      <c r="Y704" s="4" t="s">
        <v>312</v>
      </c>
      <c r="Z704" s="158">
        <v>11000</v>
      </c>
      <c r="AA704" s="158">
        <v>1</v>
      </c>
      <c r="AB704" s="158">
        <v>110.75</v>
      </c>
      <c r="AD704" s="158">
        <v>12.182</v>
      </c>
      <c r="AG704" s="11" t="s">
        <v>37</v>
      </c>
      <c r="AH704" s="189">
        <v>2.1999999999999999E-5</v>
      </c>
      <c r="AI704" s="189">
        <v>8.3559596682229102E-4</v>
      </c>
      <c r="AJ704" s="189">
        <v>1.81913703176835E-4</v>
      </c>
    </row>
    <row r="705" spans="1:36">
      <c r="A705" s="11" t="s">
        <v>256</v>
      </c>
      <c r="B705" s="11">
        <v>7206</v>
      </c>
      <c r="C705" s="11" t="s">
        <v>1706</v>
      </c>
      <c r="D705" s="11" t="s">
        <v>1707</v>
      </c>
      <c r="E705" s="4" t="s">
        <v>1552</v>
      </c>
      <c r="F705" s="11" t="s">
        <v>2277</v>
      </c>
      <c r="G705" s="11" t="s">
        <v>2278</v>
      </c>
      <c r="H705" s="11" t="s">
        <v>511</v>
      </c>
      <c r="I705" s="11" t="s">
        <v>945</v>
      </c>
      <c r="J705" s="11" t="s">
        <v>31</v>
      </c>
      <c r="K705" s="11" t="s">
        <v>31</v>
      </c>
      <c r="L705" s="11" t="s">
        <v>517</v>
      </c>
      <c r="M705" s="11" t="s">
        <v>32</v>
      </c>
      <c r="N705" s="11" t="s">
        <v>652</v>
      </c>
      <c r="O705" s="11" t="s">
        <v>312</v>
      </c>
      <c r="P705" s="11" t="s">
        <v>2169</v>
      </c>
      <c r="Q705" s="11" t="s">
        <v>358</v>
      </c>
      <c r="R705" s="11" t="s">
        <v>596</v>
      </c>
      <c r="S705" s="11" t="s">
        <v>35</v>
      </c>
      <c r="T705" s="158">
        <v>1.3640000000000001</v>
      </c>
      <c r="U705" s="11" t="s">
        <v>2279</v>
      </c>
      <c r="V705" s="174">
        <v>2E-3</v>
      </c>
      <c r="W705" s="189">
        <v>2.3019999999999999E-2</v>
      </c>
      <c r="X705" s="4" t="s">
        <v>602</v>
      </c>
      <c r="Y705" s="4" t="s">
        <v>312</v>
      </c>
      <c r="Z705" s="158">
        <v>192000.22</v>
      </c>
      <c r="AA705" s="158">
        <v>1</v>
      </c>
      <c r="AB705" s="158">
        <v>109.12</v>
      </c>
      <c r="AD705" s="158">
        <v>209.511</v>
      </c>
      <c r="AG705" s="11" t="s">
        <v>37</v>
      </c>
      <c r="AH705" s="189">
        <v>6.0999999999999997E-4</v>
      </c>
      <c r="AI705" s="189">
        <v>1.4370305425309701E-2</v>
      </c>
      <c r="AJ705" s="189">
        <v>3.1284922133380799E-3</v>
      </c>
    </row>
    <row r="706" spans="1:36">
      <c r="A706" s="11" t="s">
        <v>256</v>
      </c>
      <c r="B706" s="11">
        <v>7206</v>
      </c>
      <c r="C706" s="11" t="s">
        <v>2280</v>
      </c>
      <c r="D706" s="11" t="s">
        <v>2281</v>
      </c>
      <c r="E706" s="4" t="s">
        <v>1552</v>
      </c>
      <c r="F706" s="11" t="s">
        <v>2282</v>
      </c>
      <c r="G706" s="11" t="s">
        <v>2283</v>
      </c>
      <c r="H706" s="11" t="s">
        <v>511</v>
      </c>
      <c r="I706" s="11" t="s">
        <v>945</v>
      </c>
      <c r="J706" s="11" t="s">
        <v>31</v>
      </c>
      <c r="K706" s="11" t="s">
        <v>31</v>
      </c>
      <c r="L706" s="11" t="s">
        <v>517</v>
      </c>
      <c r="M706" s="11" t="s">
        <v>32</v>
      </c>
      <c r="N706" s="11" t="s">
        <v>636</v>
      </c>
      <c r="O706" s="11" t="s">
        <v>312</v>
      </c>
      <c r="P706" s="11" t="s">
        <v>157</v>
      </c>
      <c r="Q706" s="11" t="s">
        <v>604</v>
      </c>
      <c r="R706" s="11" t="s">
        <v>596</v>
      </c>
      <c r="S706" s="11" t="s">
        <v>35</v>
      </c>
      <c r="T706" s="158">
        <v>1.1910000000000001</v>
      </c>
      <c r="U706" s="11" t="s">
        <v>2284</v>
      </c>
      <c r="V706" s="174">
        <v>1E-3</v>
      </c>
      <c r="W706" s="189">
        <v>2.1839999999999998E-2</v>
      </c>
      <c r="X706" s="4" t="s">
        <v>602</v>
      </c>
      <c r="Y706" s="4" t="s">
        <v>312</v>
      </c>
      <c r="Z706" s="158">
        <v>81000</v>
      </c>
      <c r="AA706" s="158">
        <v>1</v>
      </c>
      <c r="AB706" s="158">
        <v>110.18</v>
      </c>
      <c r="AD706" s="158">
        <v>89.245999999999995</v>
      </c>
      <c r="AG706" s="11" t="s">
        <v>37</v>
      </c>
      <c r="AH706" s="189">
        <v>5.3999999999999998E-5</v>
      </c>
      <c r="AI706" s="189">
        <v>6.1213569083380997E-3</v>
      </c>
      <c r="AJ706" s="189">
        <v>1.33265208052363E-3</v>
      </c>
    </row>
    <row r="707" spans="1:36">
      <c r="A707" s="11" t="s">
        <v>256</v>
      </c>
      <c r="B707" s="11">
        <v>7206</v>
      </c>
      <c r="C707" s="11" t="s">
        <v>2280</v>
      </c>
      <c r="D707" s="11" t="s">
        <v>2281</v>
      </c>
      <c r="E707" s="4" t="s">
        <v>1552</v>
      </c>
      <c r="F707" s="11" t="s">
        <v>2285</v>
      </c>
      <c r="G707" s="11" t="s">
        <v>2286</v>
      </c>
      <c r="H707" s="11" t="s">
        <v>511</v>
      </c>
      <c r="I707" s="11" t="s">
        <v>945</v>
      </c>
      <c r="J707" s="11" t="s">
        <v>31</v>
      </c>
      <c r="K707" s="11" t="s">
        <v>31</v>
      </c>
      <c r="L707" s="11" t="s">
        <v>517</v>
      </c>
      <c r="M707" s="11" t="s">
        <v>32</v>
      </c>
      <c r="N707" s="11" t="s">
        <v>636</v>
      </c>
      <c r="O707" s="11" t="s">
        <v>312</v>
      </c>
      <c r="P707" s="11" t="s">
        <v>157</v>
      </c>
      <c r="Q707" s="11" t="s">
        <v>604</v>
      </c>
      <c r="R707" s="11" t="s">
        <v>596</v>
      </c>
      <c r="S707" s="11" t="s">
        <v>35</v>
      </c>
      <c r="T707" s="158">
        <v>2.4159999999999999</v>
      </c>
      <c r="U707" s="11" t="s">
        <v>2287</v>
      </c>
      <c r="V707" s="174">
        <v>1E-3</v>
      </c>
      <c r="W707" s="189">
        <v>2.0709999999999999E-2</v>
      </c>
      <c r="X707" s="4" t="s">
        <v>602</v>
      </c>
      <c r="Y707" s="4" t="s">
        <v>312</v>
      </c>
      <c r="Z707" s="158">
        <v>112000</v>
      </c>
      <c r="AA707" s="158">
        <v>1</v>
      </c>
      <c r="AB707" s="158">
        <v>105.49</v>
      </c>
      <c r="AD707" s="158">
        <v>118.149</v>
      </c>
      <c r="AG707" s="11" t="s">
        <v>37</v>
      </c>
      <c r="AH707" s="189">
        <v>2.4000000000000001E-4</v>
      </c>
      <c r="AI707" s="189">
        <v>8.1038096256838502E-3</v>
      </c>
      <c r="AJ707" s="189">
        <v>1.7642426212927699E-3</v>
      </c>
    </row>
    <row r="708" spans="1:36">
      <c r="A708" s="11" t="s">
        <v>256</v>
      </c>
      <c r="B708" s="11">
        <v>7206</v>
      </c>
      <c r="C708" s="11" t="s">
        <v>1911</v>
      </c>
      <c r="D708" s="11" t="s">
        <v>1912</v>
      </c>
      <c r="E708" s="4" t="s">
        <v>1552</v>
      </c>
      <c r="F708" s="11" t="s">
        <v>2288</v>
      </c>
      <c r="G708" s="11" t="s">
        <v>2289</v>
      </c>
      <c r="H708" s="11" t="s">
        <v>511</v>
      </c>
      <c r="I708" s="11" t="s">
        <v>1154</v>
      </c>
      <c r="J708" s="11" t="s">
        <v>31</v>
      </c>
      <c r="K708" s="11" t="s">
        <v>31</v>
      </c>
      <c r="L708" s="11" t="s">
        <v>517</v>
      </c>
      <c r="M708" s="11" t="s">
        <v>32</v>
      </c>
      <c r="N708" s="11" t="s">
        <v>628</v>
      </c>
      <c r="O708" s="11" t="s">
        <v>312</v>
      </c>
      <c r="P708" s="11" t="s">
        <v>2206</v>
      </c>
      <c r="Q708" s="11" t="s">
        <v>604</v>
      </c>
      <c r="R708" s="11" t="s">
        <v>596</v>
      </c>
      <c r="S708" s="11" t="s">
        <v>35</v>
      </c>
      <c r="T708" s="158">
        <v>3.2530000000000001</v>
      </c>
      <c r="U708" s="11" t="s">
        <v>2290</v>
      </c>
      <c r="V708" s="174">
        <v>7.2499999999999995E-2</v>
      </c>
      <c r="W708" s="189">
        <v>6.3E-2</v>
      </c>
      <c r="X708" s="4" t="s">
        <v>602</v>
      </c>
      <c r="Y708" s="4" t="s">
        <v>312</v>
      </c>
      <c r="Z708" s="158">
        <v>38000</v>
      </c>
      <c r="AA708" s="158">
        <v>1</v>
      </c>
      <c r="AB708" s="158">
        <v>104.56</v>
      </c>
      <c r="AD708" s="158">
        <v>39.732999999999997</v>
      </c>
      <c r="AG708" s="11" t="s">
        <v>37</v>
      </c>
      <c r="AH708" s="189">
        <v>5.3000000000000001E-5</v>
      </c>
      <c r="AI708" s="189">
        <v>2.7252671808378199E-3</v>
      </c>
      <c r="AJ708" s="189">
        <v>5.93305215315784E-4</v>
      </c>
    </row>
    <row r="709" spans="1:36">
      <c r="A709" s="11" t="s">
        <v>256</v>
      </c>
      <c r="B709" s="11">
        <v>7206</v>
      </c>
      <c r="C709" s="11" t="s">
        <v>2291</v>
      </c>
      <c r="D709" s="11" t="s">
        <v>2292</v>
      </c>
      <c r="E709" s="4" t="s">
        <v>1552</v>
      </c>
      <c r="F709" s="11" t="s">
        <v>2293</v>
      </c>
      <c r="G709" s="11" t="s">
        <v>2294</v>
      </c>
      <c r="H709" s="11" t="s">
        <v>511</v>
      </c>
      <c r="I709" s="11" t="s">
        <v>1154</v>
      </c>
      <c r="J709" s="11" t="s">
        <v>31</v>
      </c>
      <c r="K709" s="11" t="s">
        <v>31</v>
      </c>
      <c r="L709" s="11" t="s">
        <v>517</v>
      </c>
      <c r="M709" s="11" t="s">
        <v>32</v>
      </c>
      <c r="N709" s="11" t="s">
        <v>651</v>
      </c>
      <c r="O709" s="11" t="s">
        <v>312</v>
      </c>
      <c r="P709" s="27" t="s">
        <v>2165</v>
      </c>
      <c r="Q709" s="27" t="s">
        <v>2165</v>
      </c>
      <c r="R709" s="16" t="s">
        <v>2165</v>
      </c>
      <c r="S709" s="11" t="s">
        <v>35</v>
      </c>
      <c r="T709" s="158">
        <v>3.8330000000000002</v>
      </c>
      <c r="U709" s="11" t="s">
        <v>2193</v>
      </c>
      <c r="V709" s="174">
        <v>7.5800000000000006E-2</v>
      </c>
      <c r="W709" s="189">
        <v>7.4499999999999997E-2</v>
      </c>
      <c r="X709" s="4" t="s">
        <v>602</v>
      </c>
      <c r="Y709" s="4" t="s">
        <v>312</v>
      </c>
      <c r="Z709" s="158">
        <v>25000</v>
      </c>
      <c r="AA709" s="158">
        <v>1</v>
      </c>
      <c r="AB709" s="158">
        <v>101.98</v>
      </c>
      <c r="AD709" s="158">
        <v>25.495000000000001</v>
      </c>
      <c r="AG709" s="11" t="s">
        <v>37</v>
      </c>
      <c r="AH709" s="189">
        <v>4.8099999999999998E-4</v>
      </c>
      <c r="AI709" s="189">
        <v>1.7486984752008499E-3</v>
      </c>
      <c r="AJ709" s="189">
        <v>3.8070099425351099E-4</v>
      </c>
    </row>
    <row r="710" spans="1:36">
      <c r="A710" s="11" t="s">
        <v>256</v>
      </c>
      <c r="B710" s="11">
        <v>7206</v>
      </c>
      <c r="C710" s="11" t="s">
        <v>2300</v>
      </c>
      <c r="D710" s="11" t="s">
        <v>2301</v>
      </c>
      <c r="E710" s="4" t="s">
        <v>1552</v>
      </c>
      <c r="F710" s="11" t="s">
        <v>2302</v>
      </c>
      <c r="G710" s="11" t="s">
        <v>2303</v>
      </c>
      <c r="H710" s="11" t="s">
        <v>511</v>
      </c>
      <c r="I710" s="11" t="s">
        <v>1154</v>
      </c>
      <c r="J710" s="11" t="s">
        <v>31</v>
      </c>
      <c r="K710" s="11" t="s">
        <v>31</v>
      </c>
      <c r="L710" s="11" t="s">
        <v>517</v>
      </c>
      <c r="M710" s="11" t="s">
        <v>32</v>
      </c>
      <c r="N710" s="11" t="s">
        <v>635</v>
      </c>
      <c r="O710" s="11" t="s">
        <v>312</v>
      </c>
      <c r="P710" s="27" t="s">
        <v>2165</v>
      </c>
      <c r="Q710" s="27" t="s">
        <v>2165</v>
      </c>
      <c r="R710" s="16" t="s">
        <v>2165</v>
      </c>
      <c r="S710" s="11" t="s">
        <v>35</v>
      </c>
      <c r="T710" s="158">
        <v>1.8959999999999999</v>
      </c>
      <c r="U710" s="11" t="s">
        <v>2203</v>
      </c>
      <c r="V710" s="174">
        <v>3.8699999999999998E-2</v>
      </c>
      <c r="W710" s="189">
        <v>6.3070000000000001E-2</v>
      </c>
      <c r="X710" s="4" t="s">
        <v>602</v>
      </c>
      <c r="Y710" s="4" t="s">
        <v>312</v>
      </c>
      <c r="Z710" s="158">
        <v>31385.4</v>
      </c>
      <c r="AA710" s="158">
        <v>1</v>
      </c>
      <c r="AB710" s="158">
        <v>95.78</v>
      </c>
      <c r="AD710" s="158">
        <v>30.061</v>
      </c>
      <c r="AG710" s="11" t="s">
        <v>37</v>
      </c>
      <c r="AH710" s="189">
        <v>9.5000000000000005E-5</v>
      </c>
      <c r="AI710" s="189">
        <v>2.0618753934557401E-3</v>
      </c>
      <c r="AJ710" s="189">
        <v>4.4888128139146101E-4</v>
      </c>
    </row>
    <row r="711" spans="1:36">
      <c r="A711" s="11" t="s">
        <v>256</v>
      </c>
      <c r="B711" s="11">
        <v>7206</v>
      </c>
      <c r="C711" s="11" t="s">
        <v>1714</v>
      </c>
      <c r="D711" s="11" t="s">
        <v>1715</v>
      </c>
      <c r="E711" s="4" t="s">
        <v>1552</v>
      </c>
      <c r="F711" s="11" t="s">
        <v>2304</v>
      </c>
      <c r="G711" s="11" t="s">
        <v>2305</v>
      </c>
      <c r="H711" s="11" t="s">
        <v>511</v>
      </c>
      <c r="I711" s="11" t="s">
        <v>945</v>
      </c>
      <c r="J711" s="11" t="s">
        <v>31</v>
      </c>
      <c r="K711" s="11" t="s">
        <v>489</v>
      </c>
      <c r="L711" s="11" t="s">
        <v>517</v>
      </c>
      <c r="M711" s="11" t="s">
        <v>32</v>
      </c>
      <c r="N711" s="11" t="s">
        <v>653</v>
      </c>
      <c r="O711" s="11" t="s">
        <v>312</v>
      </c>
      <c r="P711" s="11" t="s">
        <v>2206</v>
      </c>
      <c r="Q711" s="11" t="s">
        <v>604</v>
      </c>
      <c r="R711" s="11" t="s">
        <v>596</v>
      </c>
      <c r="S711" s="11" t="s">
        <v>35</v>
      </c>
      <c r="T711" s="158">
        <v>3.7690000000000001</v>
      </c>
      <c r="U711" s="11" t="s">
        <v>2183</v>
      </c>
      <c r="V711" s="174">
        <v>1.7500000000000002E-2</v>
      </c>
      <c r="W711" s="189">
        <v>5.8099999999999999E-2</v>
      </c>
      <c r="X711" s="4" t="s">
        <v>602</v>
      </c>
      <c r="Y711" s="4" t="s">
        <v>312</v>
      </c>
      <c r="Z711" s="158">
        <v>13000</v>
      </c>
      <c r="AA711" s="158">
        <v>1</v>
      </c>
      <c r="AB711" s="158">
        <v>95.82</v>
      </c>
      <c r="AD711" s="158">
        <v>12.457000000000001</v>
      </c>
      <c r="AG711" s="11" t="s">
        <v>37</v>
      </c>
      <c r="AH711" s="189">
        <v>1.1E-5</v>
      </c>
      <c r="AI711" s="189">
        <v>8.54396447389169E-4</v>
      </c>
      <c r="AJ711" s="189">
        <v>1.8600666817094699E-4</v>
      </c>
    </row>
    <row r="712" spans="1:36">
      <c r="A712" s="11" t="s">
        <v>256</v>
      </c>
      <c r="B712" s="11">
        <v>7206</v>
      </c>
      <c r="C712" s="11" t="s">
        <v>1714</v>
      </c>
      <c r="D712" s="11" t="s">
        <v>1715</v>
      </c>
      <c r="E712" s="4" t="s">
        <v>1552</v>
      </c>
      <c r="F712" s="11" t="s">
        <v>2306</v>
      </c>
      <c r="G712" s="11" t="s">
        <v>2307</v>
      </c>
      <c r="H712" s="11" t="s">
        <v>511</v>
      </c>
      <c r="I712" s="11" t="s">
        <v>1155</v>
      </c>
      <c r="J712" s="11" t="s">
        <v>31</v>
      </c>
      <c r="K712" s="11" t="s">
        <v>489</v>
      </c>
      <c r="L712" s="11" t="s">
        <v>517</v>
      </c>
      <c r="M712" s="11" t="s">
        <v>32</v>
      </c>
      <c r="N712" s="11" t="s">
        <v>653</v>
      </c>
      <c r="O712" s="11" t="s">
        <v>312</v>
      </c>
      <c r="P712" s="11" t="s">
        <v>2206</v>
      </c>
      <c r="Q712" s="11" t="s">
        <v>604</v>
      </c>
      <c r="R712" s="11" t="s">
        <v>596</v>
      </c>
      <c r="S712" s="11" t="s">
        <v>35</v>
      </c>
      <c r="T712" s="158">
        <v>4.1059999999999999</v>
      </c>
      <c r="U712" s="11" t="s">
        <v>2170</v>
      </c>
      <c r="V712" s="174">
        <v>5.5E-2</v>
      </c>
      <c r="W712" s="189">
        <v>7.6819999999999999E-2</v>
      </c>
      <c r="X712" s="4" t="s">
        <v>602</v>
      </c>
      <c r="Y712" s="4" t="s">
        <v>312</v>
      </c>
      <c r="Z712" s="158">
        <v>50000</v>
      </c>
      <c r="AA712" s="158">
        <v>1</v>
      </c>
      <c r="AB712" s="158">
        <v>90.7</v>
      </c>
      <c r="AD712" s="158">
        <v>45.35</v>
      </c>
      <c r="AG712" s="11" t="s">
        <v>37</v>
      </c>
      <c r="AH712" s="189">
        <v>8.7000000000000001E-5</v>
      </c>
      <c r="AI712" s="189">
        <v>3.11055014121822E-3</v>
      </c>
      <c r="AJ712" s="189">
        <v>6.7718337279453801E-4</v>
      </c>
    </row>
    <row r="713" spans="1:36">
      <c r="A713" s="11" t="s">
        <v>256</v>
      </c>
      <c r="B713" s="11">
        <v>7206</v>
      </c>
      <c r="C713" s="11" t="s">
        <v>1714</v>
      </c>
      <c r="D713" s="11" t="s">
        <v>1715</v>
      </c>
      <c r="E713" s="4" t="s">
        <v>1552</v>
      </c>
      <c r="F713" s="11" t="s">
        <v>2308</v>
      </c>
      <c r="G713" s="11" t="s">
        <v>2309</v>
      </c>
      <c r="H713" s="11" t="s">
        <v>511</v>
      </c>
      <c r="I713" s="11" t="s">
        <v>945</v>
      </c>
      <c r="J713" s="11" t="s">
        <v>31</v>
      </c>
      <c r="K713" s="11" t="s">
        <v>489</v>
      </c>
      <c r="L713" s="11" t="s">
        <v>517</v>
      </c>
      <c r="M713" s="11" t="s">
        <v>32</v>
      </c>
      <c r="N713" s="11" t="s">
        <v>653</v>
      </c>
      <c r="O713" s="11" t="s">
        <v>312</v>
      </c>
      <c r="P713" s="11" t="s">
        <v>2206</v>
      </c>
      <c r="Q713" s="11" t="s">
        <v>604</v>
      </c>
      <c r="R713" s="11" t="s">
        <v>596</v>
      </c>
      <c r="S713" s="11" t="s">
        <v>35</v>
      </c>
      <c r="T713" s="158">
        <v>2.1059999999999999</v>
      </c>
      <c r="U713" s="11" t="s">
        <v>2180</v>
      </c>
      <c r="V713" s="174">
        <v>0.04</v>
      </c>
      <c r="W713" s="189">
        <v>5.1159999999999997E-2</v>
      </c>
      <c r="X713" s="4" t="s">
        <v>602</v>
      </c>
      <c r="Y713" s="4" t="s">
        <v>312</v>
      </c>
      <c r="Z713" s="158">
        <v>49000.67</v>
      </c>
      <c r="AA713" s="158">
        <v>1</v>
      </c>
      <c r="AB713" s="158">
        <v>110.28</v>
      </c>
      <c r="AD713" s="158">
        <v>54.037999999999997</v>
      </c>
      <c r="AG713" s="11" t="s">
        <v>37</v>
      </c>
      <c r="AH713" s="189">
        <v>2.3E-5</v>
      </c>
      <c r="AI713" s="189">
        <v>3.7064546505376599E-3</v>
      </c>
      <c r="AJ713" s="189">
        <v>8.0691496597386399E-4</v>
      </c>
    </row>
    <row r="714" spans="1:36">
      <c r="A714" s="11" t="s">
        <v>256</v>
      </c>
      <c r="B714" s="11">
        <v>7206</v>
      </c>
      <c r="C714" s="11" t="s">
        <v>1714</v>
      </c>
      <c r="D714" s="11" t="s">
        <v>1715</v>
      </c>
      <c r="E714" s="4" t="s">
        <v>1552</v>
      </c>
      <c r="F714" s="11" t="s">
        <v>2310</v>
      </c>
      <c r="G714" s="11" t="s">
        <v>2311</v>
      </c>
      <c r="H714" s="11" t="s">
        <v>511</v>
      </c>
      <c r="I714" s="11" t="s">
        <v>945</v>
      </c>
      <c r="J714" s="11" t="s">
        <v>31</v>
      </c>
      <c r="K714" s="11" t="s">
        <v>489</v>
      </c>
      <c r="L714" s="11" t="s">
        <v>517</v>
      </c>
      <c r="M714" s="11" t="s">
        <v>32</v>
      </c>
      <c r="N714" s="11" t="s">
        <v>653</v>
      </c>
      <c r="O714" s="11" t="s">
        <v>312</v>
      </c>
      <c r="P714" s="11" t="s">
        <v>174</v>
      </c>
      <c r="Q714" s="11" t="s">
        <v>604</v>
      </c>
      <c r="R714" s="11" t="s">
        <v>596</v>
      </c>
      <c r="S714" s="11" t="s">
        <v>35</v>
      </c>
      <c r="T714" s="158">
        <v>4.8680000000000003</v>
      </c>
      <c r="U714" s="11" t="s">
        <v>2312</v>
      </c>
      <c r="V714" s="174">
        <v>4.8300000000000003E-2</v>
      </c>
      <c r="W714" s="189">
        <v>4.6039999999999998E-2</v>
      </c>
      <c r="X714" s="4" t="s">
        <v>602</v>
      </c>
      <c r="Y714" s="4" t="s">
        <v>312</v>
      </c>
      <c r="Z714" s="158">
        <v>52000</v>
      </c>
      <c r="AA714" s="158">
        <v>1</v>
      </c>
      <c r="AB714" s="158">
        <v>104.35</v>
      </c>
      <c r="AD714" s="158">
        <v>54.262</v>
      </c>
      <c r="AG714" s="11" t="s">
        <v>37</v>
      </c>
      <c r="AH714" s="189">
        <v>1.27E-4</v>
      </c>
      <c r="AI714" s="189">
        <v>3.7218229716159401E-3</v>
      </c>
      <c r="AJ714" s="189">
        <v>8.1026073152320197E-4</v>
      </c>
    </row>
    <row r="715" spans="1:36">
      <c r="A715" s="11" t="s">
        <v>256</v>
      </c>
      <c r="B715" s="11">
        <v>7206</v>
      </c>
      <c r="C715" s="11" t="s">
        <v>2313</v>
      </c>
      <c r="D715" s="11" t="s">
        <v>2314</v>
      </c>
      <c r="E715" s="4" t="s">
        <v>1552</v>
      </c>
      <c r="F715" s="11" t="s">
        <v>2315</v>
      </c>
      <c r="G715" s="11" t="s">
        <v>2316</v>
      </c>
      <c r="H715" s="11" t="s">
        <v>511</v>
      </c>
      <c r="I715" s="11" t="s">
        <v>945</v>
      </c>
      <c r="J715" s="11" t="s">
        <v>31</v>
      </c>
      <c r="K715" s="11" t="s">
        <v>31</v>
      </c>
      <c r="L715" s="11" t="s">
        <v>517</v>
      </c>
      <c r="M715" s="11" t="s">
        <v>32</v>
      </c>
      <c r="N715" s="11" t="s">
        <v>652</v>
      </c>
      <c r="O715" s="11" t="s">
        <v>312</v>
      </c>
      <c r="P715" s="11" t="s">
        <v>168</v>
      </c>
      <c r="Q715" s="11" t="s">
        <v>604</v>
      </c>
      <c r="R715" s="11" t="s">
        <v>596</v>
      </c>
      <c r="S715" s="11" t="s">
        <v>35</v>
      </c>
      <c r="T715" s="158">
        <v>1.405</v>
      </c>
      <c r="U715" s="11" t="s">
        <v>2317</v>
      </c>
      <c r="V715" s="174">
        <v>2.5000000000000001E-2</v>
      </c>
      <c r="W715" s="189">
        <v>2.4649999999999998E-2</v>
      </c>
      <c r="X715" s="4" t="s">
        <v>602</v>
      </c>
      <c r="Y715" s="4" t="s">
        <v>312</v>
      </c>
      <c r="Z715" s="158">
        <v>38691.089999999997</v>
      </c>
      <c r="AA715" s="158">
        <v>1</v>
      </c>
      <c r="AB715" s="158">
        <v>114.98</v>
      </c>
      <c r="AD715" s="158">
        <v>44.487000000000002</v>
      </c>
      <c r="AG715" s="11" t="s">
        <v>37</v>
      </c>
      <c r="AH715" s="189">
        <v>1.17E-4</v>
      </c>
      <c r="AI715" s="189">
        <v>3.0513581404146002E-3</v>
      </c>
      <c r="AJ715" s="189">
        <v>6.6429695819684401E-4</v>
      </c>
    </row>
    <row r="716" spans="1:36">
      <c r="A716" s="11" t="s">
        <v>256</v>
      </c>
      <c r="B716" s="11">
        <v>7206</v>
      </c>
      <c r="C716" s="11" t="s">
        <v>2318</v>
      </c>
      <c r="D716" s="11" t="s">
        <v>2319</v>
      </c>
      <c r="E716" s="4" t="s">
        <v>1552</v>
      </c>
      <c r="F716" s="11" t="s">
        <v>2320</v>
      </c>
      <c r="G716" s="11" t="s">
        <v>2321</v>
      </c>
      <c r="H716" s="11" t="s">
        <v>511</v>
      </c>
      <c r="I716" s="11" t="s">
        <v>945</v>
      </c>
      <c r="J716" s="11" t="s">
        <v>31</v>
      </c>
      <c r="K716" s="11" t="s">
        <v>31</v>
      </c>
      <c r="L716" s="11" t="s">
        <v>517</v>
      </c>
      <c r="M716" s="11" t="s">
        <v>32</v>
      </c>
      <c r="N716" s="11" t="s">
        <v>639</v>
      </c>
      <c r="O716" s="11" t="s">
        <v>312</v>
      </c>
      <c r="P716" s="11" t="s">
        <v>2161</v>
      </c>
      <c r="Q716" s="11" t="s">
        <v>358</v>
      </c>
      <c r="R716" s="11" t="s">
        <v>596</v>
      </c>
      <c r="S716" s="11" t="s">
        <v>35</v>
      </c>
      <c r="T716" s="158">
        <v>4.3819999999999997</v>
      </c>
      <c r="U716" s="11" t="s">
        <v>2322</v>
      </c>
      <c r="V716" s="174">
        <v>7.4999999999999997E-3</v>
      </c>
      <c r="W716" s="189">
        <v>3.9260000000000003E-2</v>
      </c>
      <c r="X716" s="4" t="s">
        <v>602</v>
      </c>
      <c r="Y716" s="4" t="s">
        <v>312</v>
      </c>
      <c r="Z716" s="158">
        <v>98000</v>
      </c>
      <c r="AA716" s="158">
        <v>1</v>
      </c>
      <c r="AB716" s="158">
        <v>96.11</v>
      </c>
      <c r="AD716" s="158">
        <v>94.188000000000002</v>
      </c>
      <c r="AG716" s="11" t="s">
        <v>37</v>
      </c>
      <c r="AH716" s="189">
        <v>9.3999999999999994E-5</v>
      </c>
      <c r="AI716" s="189">
        <v>6.4603279953921299E-3</v>
      </c>
      <c r="AJ716" s="189">
        <v>1.4064478959227599E-3</v>
      </c>
    </row>
    <row r="717" spans="1:36">
      <c r="A717" s="11" t="s">
        <v>256</v>
      </c>
      <c r="B717" s="11">
        <v>7206</v>
      </c>
      <c r="C717" s="11" t="s">
        <v>2323</v>
      </c>
      <c r="D717" s="11" t="s">
        <v>2324</v>
      </c>
      <c r="E717" s="4" t="s">
        <v>504</v>
      </c>
      <c r="F717" s="11" t="s">
        <v>2325</v>
      </c>
      <c r="G717" s="11" t="s">
        <v>2326</v>
      </c>
      <c r="H717" s="11" t="s">
        <v>511</v>
      </c>
      <c r="I717" s="11" t="s">
        <v>1154</v>
      </c>
      <c r="J717" s="11" t="s">
        <v>154</v>
      </c>
      <c r="K717" s="11" t="s">
        <v>155</v>
      </c>
      <c r="L717" s="11" t="s">
        <v>517</v>
      </c>
      <c r="M717" s="11" t="s">
        <v>32</v>
      </c>
      <c r="N717" s="11" t="s">
        <v>653</v>
      </c>
      <c r="O717" s="11" t="s">
        <v>312</v>
      </c>
      <c r="P717" s="11" t="s">
        <v>2327</v>
      </c>
      <c r="Q717" s="11" t="s">
        <v>358</v>
      </c>
      <c r="R717" s="11" t="s">
        <v>596</v>
      </c>
      <c r="S717" s="11" t="s">
        <v>35</v>
      </c>
      <c r="T717" s="158">
        <v>2.3919999999999999</v>
      </c>
      <c r="U717" s="11" t="s">
        <v>2328</v>
      </c>
      <c r="V717" s="174">
        <v>0.08</v>
      </c>
      <c r="W717" s="189">
        <v>0.16452</v>
      </c>
      <c r="X717" s="4" t="s">
        <v>602</v>
      </c>
      <c r="Y717" s="4" t="s">
        <v>312</v>
      </c>
      <c r="Z717" s="158">
        <v>58682.02</v>
      </c>
      <c r="AA717" s="158">
        <v>1</v>
      </c>
      <c r="AB717" s="158">
        <v>83.99</v>
      </c>
      <c r="AD717" s="158">
        <v>49.286999999999999</v>
      </c>
      <c r="AG717" s="11" t="s">
        <v>37</v>
      </c>
      <c r="AH717" s="189">
        <v>6.4999999999999994E-5</v>
      </c>
      <c r="AI717" s="189">
        <v>3.3805903807218301E-3</v>
      </c>
      <c r="AJ717" s="189">
        <v>7.3597257466404605E-4</v>
      </c>
    </row>
    <row r="718" spans="1:36">
      <c r="A718" s="11" t="s">
        <v>256</v>
      </c>
      <c r="B718" s="11">
        <v>7206</v>
      </c>
      <c r="C718" s="11" t="s">
        <v>2329</v>
      </c>
      <c r="D718" s="11" t="s">
        <v>2330</v>
      </c>
      <c r="E718" s="4" t="s">
        <v>34</v>
      </c>
      <c r="F718" s="11" t="s">
        <v>2331</v>
      </c>
      <c r="G718" s="11" t="s">
        <v>2332</v>
      </c>
      <c r="H718" s="11" t="s">
        <v>511</v>
      </c>
      <c r="I718" s="11" t="s">
        <v>1154</v>
      </c>
      <c r="J718" s="11" t="s">
        <v>31</v>
      </c>
      <c r="K718" s="11" t="s">
        <v>155</v>
      </c>
      <c r="L718" s="11" t="s">
        <v>517</v>
      </c>
      <c r="M718" s="11" t="s">
        <v>32</v>
      </c>
      <c r="N718" s="11" t="s">
        <v>653</v>
      </c>
      <c r="O718" s="11" t="s">
        <v>312</v>
      </c>
      <c r="P718" s="11" t="s">
        <v>2234</v>
      </c>
      <c r="Q718" s="11" t="s">
        <v>358</v>
      </c>
      <c r="R718" s="11" t="s">
        <v>596</v>
      </c>
      <c r="S718" s="11" t="s">
        <v>35</v>
      </c>
      <c r="T718" s="158">
        <v>2.2709999999999999</v>
      </c>
      <c r="U718" s="11" t="s">
        <v>2333</v>
      </c>
      <c r="V718" s="174">
        <v>6.8000000000000005E-2</v>
      </c>
      <c r="W718" s="189">
        <v>6.3880000000000006E-2</v>
      </c>
      <c r="X718" s="4" t="s">
        <v>602</v>
      </c>
      <c r="Y718" s="4" t="s">
        <v>312</v>
      </c>
      <c r="Z718" s="158">
        <v>22310</v>
      </c>
      <c r="AA718" s="158">
        <v>1</v>
      </c>
      <c r="AB718" s="158">
        <v>101.14</v>
      </c>
      <c r="AD718" s="158">
        <v>22.564</v>
      </c>
      <c r="AG718" s="11" t="s">
        <v>37</v>
      </c>
      <c r="AH718" s="189">
        <v>6.3E-5</v>
      </c>
      <c r="AI718" s="189">
        <v>1.54768450518622E-3</v>
      </c>
      <c r="AJ718" s="189">
        <v>3.3693917977910601E-4</v>
      </c>
    </row>
    <row r="719" spans="1:36">
      <c r="A719" s="11" t="s">
        <v>256</v>
      </c>
      <c r="B719" s="11">
        <v>7206</v>
      </c>
      <c r="C719" s="11" t="s">
        <v>1738</v>
      </c>
      <c r="D719" s="11" t="s">
        <v>1739</v>
      </c>
      <c r="E719" s="4" t="s">
        <v>1552</v>
      </c>
      <c r="F719" s="11" t="s">
        <v>2334</v>
      </c>
      <c r="G719" s="11" t="s">
        <v>2335</v>
      </c>
      <c r="H719" s="11" t="s">
        <v>511</v>
      </c>
      <c r="I719" s="11" t="s">
        <v>945</v>
      </c>
      <c r="J719" s="11" t="s">
        <v>31</v>
      </c>
      <c r="K719" s="11" t="s">
        <v>31</v>
      </c>
      <c r="L719" s="11" t="s">
        <v>517</v>
      </c>
      <c r="M719" s="11" t="s">
        <v>50</v>
      </c>
      <c r="N719" s="11" t="s">
        <v>629</v>
      </c>
      <c r="O719" s="11" t="s">
        <v>312</v>
      </c>
      <c r="P719" s="27" t="s">
        <v>2165</v>
      </c>
      <c r="Q719" s="27" t="s">
        <v>2165</v>
      </c>
      <c r="R719" s="16" t="s">
        <v>2165</v>
      </c>
      <c r="S719" s="11" t="s">
        <v>35</v>
      </c>
      <c r="T719" s="158">
        <v>4.6539999999999999</v>
      </c>
      <c r="U719" s="11" t="s">
        <v>2336</v>
      </c>
      <c r="V719" s="174">
        <v>4.7E-2</v>
      </c>
      <c r="W719" s="189">
        <v>4.7539999999999999E-2</v>
      </c>
      <c r="X719" s="4" t="s">
        <v>602</v>
      </c>
      <c r="Y719" s="4" t="s">
        <v>312</v>
      </c>
      <c r="Z719" s="158">
        <v>167000.26999999999</v>
      </c>
      <c r="AA719" s="158">
        <v>1</v>
      </c>
      <c r="AB719" s="158">
        <v>102.67</v>
      </c>
      <c r="AD719" s="158">
        <v>171.459</v>
      </c>
      <c r="AG719" s="11" t="s">
        <v>37</v>
      </c>
      <c r="AH719" s="189">
        <v>3.8099999999999999E-4</v>
      </c>
      <c r="AI719" s="189">
        <v>1.1760360923497601E-2</v>
      </c>
      <c r="AJ719" s="189">
        <v>2.5602933609474498E-3</v>
      </c>
    </row>
    <row r="720" spans="1:36">
      <c r="A720" s="11" t="s">
        <v>256</v>
      </c>
      <c r="B720" s="11">
        <v>7206</v>
      </c>
      <c r="C720" s="11" t="s">
        <v>2337</v>
      </c>
      <c r="D720" s="11" t="s">
        <v>2338</v>
      </c>
      <c r="E720" s="4" t="s">
        <v>1552</v>
      </c>
      <c r="F720" s="11" t="s">
        <v>2339</v>
      </c>
      <c r="G720" s="11" t="s">
        <v>2340</v>
      </c>
      <c r="H720" s="11" t="s">
        <v>511</v>
      </c>
      <c r="I720" s="11" t="s">
        <v>945</v>
      </c>
      <c r="J720" s="11" t="s">
        <v>31</v>
      </c>
      <c r="K720" s="11" t="s">
        <v>31</v>
      </c>
      <c r="L720" s="11" t="s">
        <v>517</v>
      </c>
      <c r="M720" s="11" t="s">
        <v>32</v>
      </c>
      <c r="N720" s="11" t="s">
        <v>636</v>
      </c>
      <c r="O720" s="11" t="s">
        <v>312</v>
      </c>
      <c r="P720" s="11" t="s">
        <v>157</v>
      </c>
      <c r="Q720" s="11" t="s">
        <v>604</v>
      </c>
      <c r="R720" s="11" t="s">
        <v>596</v>
      </c>
      <c r="S720" s="11" t="s">
        <v>35</v>
      </c>
      <c r="T720" s="158">
        <v>3.9630000000000001</v>
      </c>
      <c r="U720" s="11" t="s">
        <v>2341</v>
      </c>
      <c r="V720" s="174">
        <v>2E-3</v>
      </c>
      <c r="W720" s="189">
        <v>2.5309999999999999E-2</v>
      </c>
      <c r="X720" s="4" t="s">
        <v>602</v>
      </c>
      <c r="Y720" s="4" t="s">
        <v>312</v>
      </c>
      <c r="Z720" s="158">
        <v>289447.36</v>
      </c>
      <c r="AA720" s="158">
        <v>1</v>
      </c>
      <c r="AB720" s="158">
        <v>100.85</v>
      </c>
      <c r="AD720" s="158">
        <v>291.90800000000002</v>
      </c>
      <c r="AG720" s="11" t="s">
        <v>37</v>
      </c>
      <c r="AH720" s="189">
        <v>7.4999999999999993E-5</v>
      </c>
      <c r="AI720" s="189">
        <v>2.0021905644954499E-2</v>
      </c>
      <c r="AJ720" s="189">
        <v>4.3588757547287898E-3</v>
      </c>
    </row>
    <row r="721" spans="1:36">
      <c r="A721" s="11" t="s">
        <v>256</v>
      </c>
      <c r="B721" s="11">
        <v>7206</v>
      </c>
      <c r="C721" s="11" t="s">
        <v>2337</v>
      </c>
      <c r="D721" s="11" t="s">
        <v>2338</v>
      </c>
      <c r="E721" s="4" t="s">
        <v>1552</v>
      </c>
      <c r="F721" s="11" t="s">
        <v>2342</v>
      </c>
      <c r="G721" s="11" t="s">
        <v>2343</v>
      </c>
      <c r="H721" s="11" t="s">
        <v>511</v>
      </c>
      <c r="I721" s="11" t="s">
        <v>945</v>
      </c>
      <c r="J721" s="11" t="s">
        <v>31</v>
      </c>
      <c r="K721" s="11" t="s">
        <v>31</v>
      </c>
      <c r="L721" s="11" t="s">
        <v>517</v>
      </c>
      <c r="M721" s="11" t="s">
        <v>32</v>
      </c>
      <c r="N721" s="11" t="s">
        <v>636</v>
      </c>
      <c r="O721" s="11" t="s">
        <v>312</v>
      </c>
      <c r="P721" s="11" t="s">
        <v>157</v>
      </c>
      <c r="Q721" s="11" t="s">
        <v>604</v>
      </c>
      <c r="R721" s="11" t="s">
        <v>596</v>
      </c>
      <c r="S721" s="11" t="s">
        <v>35</v>
      </c>
      <c r="T721" s="158">
        <v>5.3019999999999996</v>
      </c>
      <c r="U721" s="11" t="s">
        <v>2344</v>
      </c>
      <c r="V721" s="174">
        <v>2.47E-2</v>
      </c>
      <c r="W721" s="189">
        <v>2.6040000000000001E-2</v>
      </c>
      <c r="X721" s="4" t="s">
        <v>602</v>
      </c>
      <c r="Y721" s="4" t="s">
        <v>312</v>
      </c>
      <c r="Z721" s="158">
        <v>75000</v>
      </c>
      <c r="AA721" s="158">
        <v>1</v>
      </c>
      <c r="AB721" s="158">
        <v>100.34</v>
      </c>
      <c r="AD721" s="158">
        <v>75.254999999999995</v>
      </c>
      <c r="AG721" s="11" t="s">
        <v>37</v>
      </c>
      <c r="AH721" s="189">
        <v>4.8000000000000001E-5</v>
      </c>
      <c r="AI721" s="189">
        <v>5.1617298980678496E-3</v>
      </c>
      <c r="AJ721" s="189">
        <v>1.1237361569934501E-3</v>
      </c>
    </row>
    <row r="722" spans="1:36">
      <c r="A722" s="11" t="s">
        <v>256</v>
      </c>
      <c r="B722" s="11">
        <v>7206</v>
      </c>
      <c r="C722" s="11" t="s">
        <v>2337</v>
      </c>
      <c r="D722" s="11" t="s">
        <v>2338</v>
      </c>
      <c r="E722" s="4" t="s">
        <v>1552</v>
      </c>
      <c r="F722" s="11" t="s">
        <v>2345</v>
      </c>
      <c r="G722" s="11" t="s">
        <v>2346</v>
      </c>
      <c r="H722" s="11" t="s">
        <v>511</v>
      </c>
      <c r="I722" s="11" t="s">
        <v>1154</v>
      </c>
      <c r="J722" s="11" t="s">
        <v>31</v>
      </c>
      <c r="K722" s="11" t="s">
        <v>31</v>
      </c>
      <c r="L722" s="11" t="s">
        <v>517</v>
      </c>
      <c r="M722" s="11" t="s">
        <v>32</v>
      </c>
      <c r="N722" s="11" t="s">
        <v>636</v>
      </c>
      <c r="O722" s="11" t="s">
        <v>312</v>
      </c>
      <c r="P722" s="11" t="s">
        <v>157</v>
      </c>
      <c r="Q722" s="11" t="s">
        <v>604</v>
      </c>
      <c r="R722" s="11" t="s">
        <v>596</v>
      </c>
      <c r="S722" s="11" t="s">
        <v>35</v>
      </c>
      <c r="T722" s="158">
        <v>0.42699999999999999</v>
      </c>
      <c r="U722" s="11" t="s">
        <v>160</v>
      </c>
      <c r="V722" s="174">
        <v>1.8700000000000001E-2</v>
      </c>
      <c r="W722" s="189">
        <v>4.6260000000000003E-2</v>
      </c>
      <c r="X722" s="4" t="s">
        <v>602</v>
      </c>
      <c r="Y722" s="4" t="s">
        <v>312</v>
      </c>
      <c r="Z722" s="158">
        <v>257000.41</v>
      </c>
      <c r="AA722" s="158">
        <v>1</v>
      </c>
      <c r="AB722" s="158">
        <v>99.98</v>
      </c>
      <c r="AD722" s="158">
        <v>256.94900000000001</v>
      </c>
      <c r="AG722" s="11" t="s">
        <v>37</v>
      </c>
      <c r="AH722" s="189">
        <v>9.3000000000000005E-4</v>
      </c>
      <c r="AI722" s="189">
        <v>1.7624096561991501E-2</v>
      </c>
      <c r="AJ722" s="189">
        <v>3.8368599156006198E-3</v>
      </c>
    </row>
    <row r="723" spans="1:36">
      <c r="A723" s="11" t="s">
        <v>256</v>
      </c>
      <c r="B723" s="11">
        <v>7206</v>
      </c>
      <c r="C723" s="11" t="s">
        <v>2337</v>
      </c>
      <c r="D723" s="11" t="s">
        <v>2338</v>
      </c>
      <c r="E723" s="4" t="s">
        <v>1552</v>
      </c>
      <c r="F723" s="11" t="s">
        <v>2347</v>
      </c>
      <c r="G723" s="11" t="s">
        <v>2348</v>
      </c>
      <c r="H723" s="11" t="s">
        <v>511</v>
      </c>
      <c r="I723" s="11" t="s">
        <v>1154</v>
      </c>
      <c r="J723" s="11" t="s">
        <v>31</v>
      </c>
      <c r="K723" s="11" t="s">
        <v>31</v>
      </c>
      <c r="L723" s="11" t="s">
        <v>517</v>
      </c>
      <c r="M723" s="11" t="s">
        <v>32</v>
      </c>
      <c r="N723" s="11" t="s">
        <v>636</v>
      </c>
      <c r="O723" s="11" t="s">
        <v>312</v>
      </c>
      <c r="P723" s="11" t="s">
        <v>157</v>
      </c>
      <c r="Q723" s="11" t="s">
        <v>604</v>
      </c>
      <c r="R723" s="11" t="s">
        <v>596</v>
      </c>
      <c r="S723" s="11" t="s">
        <v>35</v>
      </c>
      <c r="T723" s="158">
        <v>3.1379999999999999</v>
      </c>
      <c r="U723" s="11" t="s">
        <v>2349</v>
      </c>
      <c r="V723" s="174">
        <v>2.6800000000000001E-2</v>
      </c>
      <c r="W723" s="189">
        <v>5.0459999999999998E-2</v>
      </c>
      <c r="X723" s="4" t="s">
        <v>602</v>
      </c>
      <c r="Y723" s="4" t="s">
        <v>312</v>
      </c>
      <c r="Z723" s="158">
        <v>2000</v>
      </c>
      <c r="AA723" s="158">
        <v>1</v>
      </c>
      <c r="AB723" s="158">
        <v>94.27</v>
      </c>
      <c r="AD723" s="158">
        <v>1.885</v>
      </c>
      <c r="AG723" s="11" t="s">
        <v>37</v>
      </c>
      <c r="AH723" s="189">
        <v>9.9999999999999995E-7</v>
      </c>
      <c r="AI723" s="189">
        <v>1.2931932163732799E-4</v>
      </c>
      <c r="AJ723" s="189">
        <v>2.8153506748992801E-5</v>
      </c>
    </row>
    <row r="724" spans="1:36">
      <c r="A724" s="11" t="s">
        <v>256</v>
      </c>
      <c r="B724" s="11">
        <v>7206</v>
      </c>
      <c r="C724" s="11" t="s">
        <v>2350</v>
      </c>
      <c r="D724" s="11" t="s">
        <v>2351</v>
      </c>
      <c r="E724" s="4" t="s">
        <v>1552</v>
      </c>
      <c r="F724" s="11" t="s">
        <v>2352</v>
      </c>
      <c r="G724" s="11" t="s">
        <v>2353</v>
      </c>
      <c r="H724" s="11" t="s">
        <v>511</v>
      </c>
      <c r="I724" s="11" t="s">
        <v>1154</v>
      </c>
      <c r="J724" s="11" t="s">
        <v>31</v>
      </c>
      <c r="K724" s="11" t="s">
        <v>31</v>
      </c>
      <c r="L724" s="11" t="s">
        <v>517</v>
      </c>
      <c r="M724" s="11" t="s">
        <v>32</v>
      </c>
      <c r="N724" s="11" t="s">
        <v>639</v>
      </c>
      <c r="O724" s="11" t="s">
        <v>312</v>
      </c>
      <c r="P724" s="11" t="s">
        <v>2354</v>
      </c>
      <c r="Q724" s="11" t="s">
        <v>358</v>
      </c>
      <c r="R724" s="11" t="s">
        <v>596</v>
      </c>
      <c r="S724" s="11" t="s">
        <v>35</v>
      </c>
      <c r="T724" s="158">
        <v>1.4279999999999999</v>
      </c>
      <c r="U724" s="11" t="s">
        <v>2355</v>
      </c>
      <c r="V724" s="174">
        <v>5.8000000000000003E-2</v>
      </c>
      <c r="W724" s="189">
        <v>7.8689999999999996E-2</v>
      </c>
      <c r="X724" s="4" t="s">
        <v>602</v>
      </c>
      <c r="Y724" s="4" t="s">
        <v>312</v>
      </c>
      <c r="Z724" s="158">
        <v>18000.14</v>
      </c>
      <c r="AA724" s="158">
        <v>1</v>
      </c>
      <c r="AB724" s="158">
        <v>96.03</v>
      </c>
      <c r="AD724" s="158">
        <v>17.286000000000001</v>
      </c>
      <c r="AG724" s="11" t="s">
        <v>37</v>
      </c>
      <c r="AH724" s="189">
        <v>2.0999999999999999E-5</v>
      </c>
      <c r="AI724" s="189">
        <v>1.1856123836735499E-3</v>
      </c>
      <c r="AJ724" s="189">
        <v>2.5811414584321298E-4</v>
      </c>
    </row>
    <row r="725" spans="1:36">
      <c r="A725" s="11" t="s">
        <v>256</v>
      </c>
      <c r="B725" s="11">
        <v>7206</v>
      </c>
      <c r="C725" s="11" t="s">
        <v>2356</v>
      </c>
      <c r="D725" s="11" t="s">
        <v>2357</v>
      </c>
      <c r="E725" s="4" t="s">
        <v>1552</v>
      </c>
      <c r="F725" s="11" t="s">
        <v>2358</v>
      </c>
      <c r="G725" s="11" t="s">
        <v>2359</v>
      </c>
      <c r="H725" s="11" t="s">
        <v>511</v>
      </c>
      <c r="I725" s="11" t="s">
        <v>945</v>
      </c>
      <c r="J725" s="11" t="s">
        <v>31</v>
      </c>
      <c r="K725" s="11" t="s">
        <v>31</v>
      </c>
      <c r="L725" s="11" t="s">
        <v>517</v>
      </c>
      <c r="M725" s="11" t="s">
        <v>32</v>
      </c>
      <c r="N725" s="11" t="s">
        <v>628</v>
      </c>
      <c r="O725" s="11" t="s">
        <v>312</v>
      </c>
      <c r="P725" s="11" t="s">
        <v>2206</v>
      </c>
      <c r="Q725" s="11" t="s">
        <v>604</v>
      </c>
      <c r="R725" s="11" t="s">
        <v>596</v>
      </c>
      <c r="S725" s="11" t="s">
        <v>35</v>
      </c>
      <c r="T725" s="158">
        <v>5.9729999999999999</v>
      </c>
      <c r="U725" s="11" t="s">
        <v>2360</v>
      </c>
      <c r="V725" s="174">
        <v>3.3000000000000002E-2</v>
      </c>
      <c r="W725" s="189">
        <v>4.1739999999999999E-2</v>
      </c>
      <c r="X725" s="4" t="s">
        <v>602</v>
      </c>
      <c r="Y725" s="4" t="s">
        <v>312</v>
      </c>
      <c r="Z725" s="158">
        <v>8000.9</v>
      </c>
      <c r="AA725" s="158">
        <v>1</v>
      </c>
      <c r="AB725" s="158">
        <v>100.71</v>
      </c>
      <c r="AD725" s="158">
        <v>8.0579999999999998</v>
      </c>
      <c r="AG725" s="11" t="s">
        <v>37</v>
      </c>
      <c r="AH725" s="189">
        <v>6.0000000000000002E-6</v>
      </c>
      <c r="AI725" s="189">
        <v>5.5267695147319601E-4</v>
      </c>
      <c r="AJ725" s="189">
        <v>1.2032072304671E-4</v>
      </c>
    </row>
    <row r="726" spans="1:36">
      <c r="A726" s="11" t="s">
        <v>256</v>
      </c>
      <c r="B726" s="11">
        <v>7206</v>
      </c>
      <c r="C726" s="11" t="s">
        <v>2361</v>
      </c>
      <c r="D726" s="11" t="s">
        <v>2362</v>
      </c>
      <c r="E726" s="4" t="s">
        <v>1552</v>
      </c>
      <c r="F726" s="11" t="s">
        <v>2861</v>
      </c>
      <c r="G726" s="11" t="s">
        <v>2862</v>
      </c>
      <c r="H726" s="11" t="s">
        <v>511</v>
      </c>
      <c r="I726" s="11" t="s">
        <v>1154</v>
      </c>
      <c r="J726" s="11" t="s">
        <v>31</v>
      </c>
      <c r="K726" s="11" t="s">
        <v>31</v>
      </c>
      <c r="L726" s="11" t="s">
        <v>517</v>
      </c>
      <c r="M726" s="11" t="s">
        <v>32</v>
      </c>
      <c r="N726" s="11" t="s">
        <v>642</v>
      </c>
      <c r="O726" s="11" t="s">
        <v>312</v>
      </c>
      <c r="P726" s="11" t="s">
        <v>2206</v>
      </c>
      <c r="Q726" s="11" t="s">
        <v>604</v>
      </c>
      <c r="R726" s="11" t="s">
        <v>596</v>
      </c>
      <c r="S726" s="11" t="s">
        <v>35</v>
      </c>
      <c r="T726" s="158">
        <v>2.8809999999999998</v>
      </c>
      <c r="U726" s="11" t="s">
        <v>2863</v>
      </c>
      <c r="V726" s="174">
        <v>6.7500000000000004E-2</v>
      </c>
      <c r="W726" s="189">
        <v>6.1519999999999998E-2</v>
      </c>
      <c r="X726" s="4" t="s">
        <v>602</v>
      </c>
      <c r="Y726" s="4" t="s">
        <v>312</v>
      </c>
      <c r="Z726" s="158">
        <v>46000.52</v>
      </c>
      <c r="AA726" s="158">
        <v>1</v>
      </c>
      <c r="AB726" s="158">
        <v>104.46</v>
      </c>
      <c r="AD726" s="158">
        <v>48.052</v>
      </c>
      <c r="AG726" s="11" t="s">
        <v>37</v>
      </c>
      <c r="AH726" s="189">
        <v>2.5999999999999998E-5</v>
      </c>
      <c r="AI726" s="189">
        <v>3.29588976387461E-3</v>
      </c>
      <c r="AJ726" s="189">
        <v>7.1753279816460104E-4</v>
      </c>
    </row>
    <row r="727" spans="1:36">
      <c r="A727" s="11" t="s">
        <v>256</v>
      </c>
      <c r="B727" s="11">
        <v>7206</v>
      </c>
      <c r="C727" s="11" t="s">
        <v>2361</v>
      </c>
      <c r="D727" s="11" t="s">
        <v>2362</v>
      </c>
      <c r="E727" s="4" t="s">
        <v>1552</v>
      </c>
      <c r="F727" s="11" t="s">
        <v>2363</v>
      </c>
      <c r="G727" s="11" t="s">
        <v>2364</v>
      </c>
      <c r="H727" s="11" t="s">
        <v>511</v>
      </c>
      <c r="I727" s="11" t="s">
        <v>1154</v>
      </c>
      <c r="J727" s="11" t="s">
        <v>31</v>
      </c>
      <c r="K727" s="11" t="s">
        <v>31</v>
      </c>
      <c r="L727" s="11" t="s">
        <v>517</v>
      </c>
      <c r="M727" s="11" t="s">
        <v>32</v>
      </c>
      <c r="N727" s="11" t="s">
        <v>642</v>
      </c>
      <c r="O727" s="11" t="s">
        <v>312</v>
      </c>
      <c r="P727" s="11" t="s">
        <v>2206</v>
      </c>
      <c r="Q727" s="11" t="s">
        <v>604</v>
      </c>
      <c r="R727" s="11" t="s">
        <v>596</v>
      </c>
      <c r="S727" s="11" t="s">
        <v>35</v>
      </c>
      <c r="T727" s="158">
        <v>4.0739999999999998</v>
      </c>
      <c r="U727" s="11" t="s">
        <v>2365</v>
      </c>
      <c r="V727" s="174">
        <v>6.5199999999999994E-2</v>
      </c>
      <c r="W727" s="189">
        <v>6.3450000000000006E-2</v>
      </c>
      <c r="X727" s="4" t="s">
        <v>602</v>
      </c>
      <c r="Y727" s="4" t="s">
        <v>312</v>
      </c>
      <c r="Z727" s="158">
        <v>1</v>
      </c>
      <c r="AA727" s="158">
        <v>1</v>
      </c>
      <c r="AB727" s="158">
        <v>101.71</v>
      </c>
      <c r="AD727" s="158">
        <v>1E-3</v>
      </c>
      <c r="AG727" s="11" t="s">
        <v>37</v>
      </c>
      <c r="AH727" s="189">
        <v>0</v>
      </c>
      <c r="AI727" s="189">
        <v>6.9762746386616296E-8</v>
      </c>
      <c r="AJ727" s="189">
        <v>1.5187722347724899E-8</v>
      </c>
    </row>
    <row r="728" spans="1:36">
      <c r="A728" s="11" t="s">
        <v>256</v>
      </c>
      <c r="B728" s="11">
        <v>7206</v>
      </c>
      <c r="C728" s="11" t="s">
        <v>2361</v>
      </c>
      <c r="D728" s="11" t="s">
        <v>2362</v>
      </c>
      <c r="E728" s="4" t="s">
        <v>1552</v>
      </c>
      <c r="F728" s="11" t="s">
        <v>2366</v>
      </c>
      <c r="G728" s="11" t="s">
        <v>2364</v>
      </c>
      <c r="H728" s="11" t="s">
        <v>511</v>
      </c>
      <c r="I728" s="11" t="s">
        <v>1154</v>
      </c>
      <c r="J728" s="11" t="s">
        <v>31</v>
      </c>
      <c r="K728" s="11" t="s">
        <v>31</v>
      </c>
      <c r="L728" s="16" t="s">
        <v>519</v>
      </c>
      <c r="M728" s="11" t="s">
        <v>32</v>
      </c>
      <c r="N728" s="11" t="s">
        <v>642</v>
      </c>
      <c r="O728" s="11" t="s">
        <v>312</v>
      </c>
      <c r="P728" s="11" t="s">
        <v>2206</v>
      </c>
      <c r="Q728" s="11" t="s">
        <v>604</v>
      </c>
      <c r="R728" s="11" t="s">
        <v>596</v>
      </c>
      <c r="S728" s="11" t="s">
        <v>35</v>
      </c>
      <c r="T728" s="158">
        <v>4.0999999999999996</v>
      </c>
      <c r="U728" s="11" t="s">
        <v>2365</v>
      </c>
      <c r="V728" s="174">
        <v>6.5199999999999994E-2</v>
      </c>
      <c r="W728" s="189">
        <v>6.4449999999999993E-2</v>
      </c>
      <c r="X728" s="4" t="s">
        <v>602</v>
      </c>
      <c r="Y728" s="4" t="s">
        <v>312</v>
      </c>
      <c r="Z728" s="158">
        <v>47058.82</v>
      </c>
      <c r="AA728" s="158">
        <v>1</v>
      </c>
      <c r="AB728" s="158">
        <v>101.71</v>
      </c>
      <c r="AD728" s="158">
        <v>47.863999999999997</v>
      </c>
      <c r="AG728" s="11" t="s">
        <v>37</v>
      </c>
      <c r="AH728" s="189">
        <v>0</v>
      </c>
      <c r="AI728" s="189">
        <v>3.28295252491342E-3</v>
      </c>
      <c r="AJ728" s="189">
        <v>7.1471629217156299E-4</v>
      </c>
    </row>
    <row r="729" spans="1:36">
      <c r="A729" s="11" t="s">
        <v>256</v>
      </c>
      <c r="B729" s="11">
        <v>7206</v>
      </c>
      <c r="C729" s="11" t="s">
        <v>2361</v>
      </c>
      <c r="D729" s="11" t="s">
        <v>2362</v>
      </c>
      <c r="E729" s="4" t="s">
        <v>1552</v>
      </c>
      <c r="F729" s="11" t="s">
        <v>2367</v>
      </c>
      <c r="G729" s="11" t="s">
        <v>2368</v>
      </c>
      <c r="H729" s="11" t="s">
        <v>511</v>
      </c>
      <c r="I729" s="11" t="s">
        <v>1154</v>
      </c>
      <c r="J729" s="11" t="s">
        <v>31</v>
      </c>
      <c r="K729" s="11" t="s">
        <v>31</v>
      </c>
      <c r="L729" s="11" t="s">
        <v>517</v>
      </c>
      <c r="M729" s="11" t="s">
        <v>50</v>
      </c>
      <c r="N729" s="11" t="s">
        <v>642</v>
      </c>
      <c r="O729" s="11" t="s">
        <v>312</v>
      </c>
      <c r="P729" s="11" t="s">
        <v>2206</v>
      </c>
      <c r="Q729" s="11" t="s">
        <v>604</v>
      </c>
      <c r="R729" s="11" t="s">
        <v>596</v>
      </c>
      <c r="S729" s="11" t="s">
        <v>35</v>
      </c>
      <c r="T729" s="158">
        <v>5.5659999999999998</v>
      </c>
      <c r="U729" s="11" t="s">
        <v>2369</v>
      </c>
      <c r="V729" s="174">
        <v>6.3799999999999996E-2</v>
      </c>
      <c r="W729" s="189">
        <v>6.7699999999999996E-2</v>
      </c>
      <c r="X729" s="4" t="s">
        <v>602</v>
      </c>
      <c r="Y729" s="4" t="s">
        <v>312</v>
      </c>
      <c r="Z729" s="158">
        <v>50000</v>
      </c>
      <c r="AA729" s="158">
        <v>1</v>
      </c>
      <c r="AB729" s="158">
        <v>98.24</v>
      </c>
      <c r="AD729" s="158">
        <v>49.12</v>
      </c>
      <c r="AG729" s="11" t="s">
        <v>37</v>
      </c>
      <c r="AH729" s="189">
        <v>5.0000000000000002E-5</v>
      </c>
      <c r="AI729" s="189">
        <v>3.36913391260504E-3</v>
      </c>
      <c r="AJ729" s="189">
        <v>7.3347844038958502E-4</v>
      </c>
    </row>
    <row r="730" spans="1:36">
      <c r="A730" s="11" t="s">
        <v>256</v>
      </c>
      <c r="B730" s="11">
        <v>7206</v>
      </c>
      <c r="C730" s="11" t="s">
        <v>1754</v>
      </c>
      <c r="D730" s="11" t="s">
        <v>1755</v>
      </c>
      <c r="E730" s="4" t="s">
        <v>1552</v>
      </c>
      <c r="F730" s="11" t="s">
        <v>2370</v>
      </c>
      <c r="G730" s="11" t="s">
        <v>2371</v>
      </c>
      <c r="H730" s="11" t="s">
        <v>511</v>
      </c>
      <c r="I730" s="11" t="s">
        <v>1154</v>
      </c>
      <c r="J730" s="11" t="s">
        <v>31</v>
      </c>
      <c r="K730" s="11" t="s">
        <v>31</v>
      </c>
      <c r="L730" s="11" t="s">
        <v>517</v>
      </c>
      <c r="M730" s="11" t="s">
        <v>32</v>
      </c>
      <c r="N730" s="11" t="s">
        <v>635</v>
      </c>
      <c r="O730" s="11" t="s">
        <v>312</v>
      </c>
      <c r="P730" s="11" t="s">
        <v>168</v>
      </c>
      <c r="Q730" s="11" t="s">
        <v>604</v>
      </c>
      <c r="R730" s="11" t="s">
        <v>596</v>
      </c>
      <c r="S730" s="11" t="s">
        <v>35</v>
      </c>
      <c r="T730" s="158">
        <v>0.98699999999999999</v>
      </c>
      <c r="U730" s="11" t="s">
        <v>2188</v>
      </c>
      <c r="V730" s="174">
        <v>3.0499999999999999E-2</v>
      </c>
      <c r="W730" s="189">
        <v>5.5820000000000002E-2</v>
      </c>
      <c r="X730" s="4" t="s">
        <v>602</v>
      </c>
      <c r="Y730" s="4" t="s">
        <v>312</v>
      </c>
      <c r="Z730" s="158">
        <v>12666.67</v>
      </c>
      <c r="AA730" s="158">
        <v>1</v>
      </c>
      <c r="AB730" s="158">
        <v>97.67</v>
      </c>
      <c r="AD730" s="158">
        <v>12.372</v>
      </c>
      <c r="AG730" s="11" t="s">
        <v>37</v>
      </c>
      <c r="AH730" s="189">
        <v>1.8900000000000001E-4</v>
      </c>
      <c r="AI730" s="189">
        <v>8.4856195995590498E-4</v>
      </c>
      <c r="AJ730" s="189">
        <v>1.84736469106727E-4</v>
      </c>
    </row>
    <row r="731" spans="1:36">
      <c r="A731" s="11" t="s">
        <v>256</v>
      </c>
      <c r="B731" s="11">
        <v>7206</v>
      </c>
      <c r="C731" s="11" t="s">
        <v>2372</v>
      </c>
      <c r="D731" s="11" t="s">
        <v>2373</v>
      </c>
      <c r="E731" s="4" t="s">
        <v>1552</v>
      </c>
      <c r="F731" s="11" t="s">
        <v>2374</v>
      </c>
      <c r="G731" s="11" t="s">
        <v>2375</v>
      </c>
      <c r="H731" s="11" t="s">
        <v>511</v>
      </c>
      <c r="I731" s="11" t="s">
        <v>945</v>
      </c>
      <c r="J731" s="11" t="s">
        <v>31</v>
      </c>
      <c r="K731" s="11" t="s">
        <v>31</v>
      </c>
      <c r="L731" s="11" t="s">
        <v>517</v>
      </c>
      <c r="M731" s="11" t="s">
        <v>32</v>
      </c>
      <c r="N731" s="11" t="s">
        <v>652</v>
      </c>
      <c r="O731" s="11" t="s">
        <v>312</v>
      </c>
      <c r="P731" s="11" t="s">
        <v>2234</v>
      </c>
      <c r="Q731" s="11" t="s">
        <v>358</v>
      </c>
      <c r="R731" s="11" t="s">
        <v>596</v>
      </c>
      <c r="S731" s="11" t="s">
        <v>35</v>
      </c>
      <c r="T731" s="158">
        <v>3.4430000000000001</v>
      </c>
      <c r="U731" s="11" t="s">
        <v>2376</v>
      </c>
      <c r="V731" s="174">
        <v>2.7E-2</v>
      </c>
      <c r="W731" s="189">
        <v>3.4229999999999997E-2</v>
      </c>
      <c r="X731" s="4" t="s">
        <v>602</v>
      </c>
      <c r="Y731" s="4" t="s">
        <v>312</v>
      </c>
      <c r="Z731" s="158">
        <v>23000</v>
      </c>
      <c r="AA731" s="158">
        <v>1</v>
      </c>
      <c r="AB731" s="158">
        <v>102.95</v>
      </c>
      <c r="AD731" s="158">
        <v>23.678000000000001</v>
      </c>
      <c r="AG731" s="11" t="s">
        <v>37</v>
      </c>
      <c r="AH731" s="189">
        <v>5.3000000000000001E-5</v>
      </c>
      <c r="AI731" s="189">
        <v>1.62410499490266E-3</v>
      </c>
      <c r="AJ731" s="189">
        <v>3.5357632839504898E-4</v>
      </c>
    </row>
    <row r="732" spans="1:36">
      <c r="A732" s="11" t="s">
        <v>256</v>
      </c>
      <c r="B732" s="11">
        <v>7206</v>
      </c>
      <c r="C732" s="11" t="s">
        <v>2377</v>
      </c>
      <c r="D732" s="11" t="s">
        <v>2378</v>
      </c>
      <c r="E732" s="4" t="s">
        <v>504</v>
      </c>
      <c r="F732" s="11" t="s">
        <v>2379</v>
      </c>
      <c r="G732" s="11" t="s">
        <v>2380</v>
      </c>
      <c r="H732" s="11" t="s">
        <v>511</v>
      </c>
      <c r="I732" s="11" t="s">
        <v>1154</v>
      </c>
      <c r="J732" s="11" t="s">
        <v>31</v>
      </c>
      <c r="K732" s="11" t="s">
        <v>489</v>
      </c>
      <c r="L732" s="11" t="s">
        <v>517</v>
      </c>
      <c r="M732" s="11" t="s">
        <v>32</v>
      </c>
      <c r="N732" s="11" t="s">
        <v>653</v>
      </c>
      <c r="O732" s="11" t="s">
        <v>312</v>
      </c>
      <c r="P732" s="11" t="s">
        <v>2381</v>
      </c>
      <c r="Q732" s="11" t="s">
        <v>604</v>
      </c>
      <c r="R732" s="11" t="s">
        <v>596</v>
      </c>
      <c r="S732" s="11" t="s">
        <v>35</v>
      </c>
      <c r="T732" s="158">
        <v>1.5149999999999999</v>
      </c>
      <c r="U732" s="11" t="s">
        <v>2382</v>
      </c>
      <c r="V732" s="174">
        <v>8.9499999999999996E-2</v>
      </c>
      <c r="W732" s="189">
        <v>0.12482</v>
      </c>
      <c r="X732" s="4" t="s">
        <v>602</v>
      </c>
      <c r="Y732" s="4" t="s">
        <v>312</v>
      </c>
      <c r="Z732" s="158">
        <v>49665.31</v>
      </c>
      <c r="AA732" s="158">
        <v>1</v>
      </c>
      <c r="AB732" s="158">
        <v>98.4</v>
      </c>
      <c r="AD732" s="158">
        <v>48.871000000000002</v>
      </c>
      <c r="AG732" s="11" t="s">
        <v>37</v>
      </c>
      <c r="AH732" s="189">
        <v>2.4499999999999999E-4</v>
      </c>
      <c r="AI732" s="189">
        <v>3.35203206265932E-3</v>
      </c>
      <c r="AJ732" s="189">
        <v>7.2975527635059097E-4</v>
      </c>
    </row>
    <row r="733" spans="1:36">
      <c r="A733" s="11" t="s">
        <v>256</v>
      </c>
      <c r="B733" s="11">
        <v>7206</v>
      </c>
      <c r="C733" s="11" t="s">
        <v>2031</v>
      </c>
      <c r="D733" s="11" t="s">
        <v>2032</v>
      </c>
      <c r="E733" s="4" t="s">
        <v>1552</v>
      </c>
      <c r="F733" s="11" t="s">
        <v>2383</v>
      </c>
      <c r="G733" s="11" t="s">
        <v>2384</v>
      </c>
      <c r="H733" s="11" t="s">
        <v>511</v>
      </c>
      <c r="I733" s="11" t="s">
        <v>1154</v>
      </c>
      <c r="J733" s="11" t="s">
        <v>31</v>
      </c>
      <c r="K733" s="11" t="s">
        <v>31</v>
      </c>
      <c r="L733" s="11" t="s">
        <v>517</v>
      </c>
      <c r="M733" s="11" t="s">
        <v>32</v>
      </c>
      <c r="N733" s="11" t="s">
        <v>652</v>
      </c>
      <c r="O733" s="11" t="s">
        <v>312</v>
      </c>
      <c r="P733" s="11" t="s">
        <v>2169</v>
      </c>
      <c r="Q733" s="11" t="s">
        <v>358</v>
      </c>
      <c r="R733" s="11" t="s">
        <v>596</v>
      </c>
      <c r="S733" s="11" t="s">
        <v>35</v>
      </c>
      <c r="T733" s="158">
        <v>0.98</v>
      </c>
      <c r="U733" s="11" t="s">
        <v>2385</v>
      </c>
      <c r="V733" s="174">
        <v>2.5499999999999998E-2</v>
      </c>
      <c r="W733" s="189">
        <v>4.9250000000000002E-2</v>
      </c>
      <c r="X733" s="4" t="s">
        <v>602</v>
      </c>
      <c r="Y733" s="4" t="s">
        <v>312</v>
      </c>
      <c r="Z733" s="158">
        <v>29666.67</v>
      </c>
      <c r="AA733" s="158">
        <v>1</v>
      </c>
      <c r="AB733" s="158">
        <v>97.83</v>
      </c>
      <c r="AD733" s="158">
        <v>29.023</v>
      </c>
      <c r="AG733" s="11" t="s">
        <v>37</v>
      </c>
      <c r="AH733" s="189">
        <v>1.47E-4</v>
      </c>
      <c r="AI733" s="189">
        <v>1.9906768652054301E-3</v>
      </c>
      <c r="AJ733" s="189">
        <v>4.3338098166645101E-4</v>
      </c>
    </row>
    <row r="734" spans="1:36">
      <c r="A734" s="11" t="s">
        <v>256</v>
      </c>
      <c r="B734" s="11">
        <v>7206</v>
      </c>
      <c r="C734" s="11" t="s">
        <v>2864</v>
      </c>
      <c r="D734" s="11" t="s">
        <v>2865</v>
      </c>
      <c r="E734" s="4" t="s">
        <v>1552</v>
      </c>
      <c r="F734" s="11" t="s">
        <v>2866</v>
      </c>
      <c r="G734" s="11" t="s">
        <v>2867</v>
      </c>
      <c r="H734" s="11" t="s">
        <v>511</v>
      </c>
      <c r="I734" s="11" t="s">
        <v>945</v>
      </c>
      <c r="J734" s="11" t="s">
        <v>31</v>
      </c>
      <c r="K734" s="11" t="s">
        <v>31</v>
      </c>
      <c r="L734" s="11" t="s">
        <v>517</v>
      </c>
      <c r="M734" s="11" t="s">
        <v>32</v>
      </c>
      <c r="N734" s="11" t="s">
        <v>635</v>
      </c>
      <c r="O734" s="11" t="s">
        <v>312</v>
      </c>
      <c r="P734" s="27" t="s">
        <v>2165</v>
      </c>
      <c r="Q734" s="27" t="s">
        <v>2165</v>
      </c>
      <c r="R734" s="16" t="s">
        <v>2165</v>
      </c>
      <c r="S734" s="11" t="s">
        <v>35</v>
      </c>
      <c r="T734" s="158">
        <v>1.8859999999999999</v>
      </c>
      <c r="U734" s="11" t="s">
        <v>2333</v>
      </c>
      <c r="V734" s="174">
        <v>3.5000000000000003E-2</v>
      </c>
      <c r="W734" s="189">
        <v>3.9109999999999999E-2</v>
      </c>
      <c r="X734" s="4" t="s">
        <v>602</v>
      </c>
      <c r="Y734" s="4" t="s">
        <v>312</v>
      </c>
      <c r="Z734" s="158">
        <v>9000</v>
      </c>
      <c r="AA734" s="158">
        <v>1</v>
      </c>
      <c r="AB734" s="158">
        <v>106.77</v>
      </c>
      <c r="AD734" s="158">
        <v>9.609</v>
      </c>
      <c r="AG734" s="11" t="s">
        <v>37</v>
      </c>
      <c r="AH734" s="189">
        <v>5.3000000000000001E-5</v>
      </c>
      <c r="AI734" s="189">
        <v>6.5910053962531896E-4</v>
      </c>
      <c r="AJ734" s="189">
        <v>1.4348970637694699E-4</v>
      </c>
    </row>
    <row r="735" spans="1:36">
      <c r="A735" s="11" t="s">
        <v>256</v>
      </c>
      <c r="B735" s="11">
        <v>7206</v>
      </c>
      <c r="C735" s="11" t="s">
        <v>2837</v>
      </c>
      <c r="D735" s="11" t="s">
        <v>2838</v>
      </c>
      <c r="E735" s="4" t="s">
        <v>1552</v>
      </c>
      <c r="F735" s="11" t="s">
        <v>2868</v>
      </c>
      <c r="G735" s="11" t="s">
        <v>2869</v>
      </c>
      <c r="H735" s="11" t="s">
        <v>511</v>
      </c>
      <c r="I735" s="11" t="s">
        <v>1154</v>
      </c>
      <c r="J735" s="11" t="s">
        <v>31</v>
      </c>
      <c r="K735" s="11" t="s">
        <v>31</v>
      </c>
      <c r="L735" s="11" t="s">
        <v>517</v>
      </c>
      <c r="M735" s="11" t="s">
        <v>32</v>
      </c>
      <c r="N735" s="11" t="s">
        <v>635</v>
      </c>
      <c r="O735" s="11" t="s">
        <v>312</v>
      </c>
      <c r="P735" s="27" t="s">
        <v>2165</v>
      </c>
      <c r="Q735" s="27" t="s">
        <v>2165</v>
      </c>
      <c r="R735" s="16" t="s">
        <v>2165</v>
      </c>
      <c r="S735" s="11" t="s">
        <v>35</v>
      </c>
      <c r="T735" s="158">
        <v>1.1040000000000001</v>
      </c>
      <c r="U735" s="11" t="s">
        <v>2203</v>
      </c>
      <c r="V735" s="174">
        <v>4.65E-2</v>
      </c>
      <c r="W735" s="189">
        <v>2.5765500000000001</v>
      </c>
      <c r="X735" s="4" t="s">
        <v>602</v>
      </c>
      <c r="Y735" s="4" t="s">
        <v>312</v>
      </c>
      <c r="Z735" s="158">
        <v>14000</v>
      </c>
      <c r="AA735" s="158">
        <v>1</v>
      </c>
      <c r="AB735" s="158">
        <v>19.86</v>
      </c>
      <c r="AD735" s="158">
        <v>2.78</v>
      </c>
      <c r="AG735" s="11" t="s">
        <v>37</v>
      </c>
      <c r="AH735" s="189">
        <v>8.2000000000000001E-5</v>
      </c>
      <c r="AI735" s="189">
        <v>1.9070724614428101E-4</v>
      </c>
      <c r="AJ735" s="189">
        <v>4.1517985660814397E-5</v>
      </c>
    </row>
    <row r="736" spans="1:36">
      <c r="A736" s="11" t="s">
        <v>256</v>
      </c>
      <c r="B736" s="11">
        <v>7206</v>
      </c>
      <c r="C736" s="11" t="s">
        <v>2386</v>
      </c>
      <c r="D736" s="11" t="s">
        <v>2387</v>
      </c>
      <c r="E736" s="4" t="s">
        <v>1552</v>
      </c>
      <c r="F736" s="11" t="s">
        <v>2388</v>
      </c>
      <c r="G736" s="11" t="s">
        <v>2389</v>
      </c>
      <c r="H736" s="11" t="s">
        <v>511</v>
      </c>
      <c r="I736" s="11" t="s">
        <v>1154</v>
      </c>
      <c r="J736" s="11" t="s">
        <v>31</v>
      </c>
      <c r="K736" s="11" t="s">
        <v>31</v>
      </c>
      <c r="L736" s="11" t="s">
        <v>517</v>
      </c>
      <c r="M736" s="11" t="s">
        <v>32</v>
      </c>
      <c r="N736" s="11" t="s">
        <v>647</v>
      </c>
      <c r="O736" s="11" t="s">
        <v>312</v>
      </c>
      <c r="P736" s="11" t="s">
        <v>168</v>
      </c>
      <c r="Q736" s="11" t="s">
        <v>604</v>
      </c>
      <c r="R736" s="11" t="s">
        <v>596</v>
      </c>
      <c r="S736" s="11" t="s">
        <v>35</v>
      </c>
      <c r="T736" s="158">
        <v>0.499</v>
      </c>
      <c r="U736" s="11" t="s">
        <v>2162</v>
      </c>
      <c r="V736" s="174">
        <v>3.2000000000000001E-2</v>
      </c>
      <c r="W736" s="189">
        <v>5.2510000000000001E-2</v>
      </c>
      <c r="X736" s="4" t="s">
        <v>602</v>
      </c>
      <c r="Y736" s="4" t="s">
        <v>312</v>
      </c>
      <c r="Z736" s="158">
        <v>12000</v>
      </c>
      <c r="AA736" s="158">
        <v>1</v>
      </c>
      <c r="AB736" s="158">
        <v>99.04</v>
      </c>
      <c r="AD736" s="158">
        <v>11.885</v>
      </c>
      <c r="AG736" s="11" t="s">
        <v>37</v>
      </c>
      <c r="AH736" s="189">
        <v>6.1499999999999999E-4</v>
      </c>
      <c r="AI736" s="189">
        <v>8.1517676556450396E-4</v>
      </c>
      <c r="AJ736" s="189">
        <v>1.7746833404605299E-4</v>
      </c>
    </row>
    <row r="737" spans="1:36">
      <c r="A737" s="11" t="s">
        <v>256</v>
      </c>
      <c r="B737" s="11">
        <v>7206</v>
      </c>
      <c r="C737" s="11" t="s">
        <v>2390</v>
      </c>
      <c r="D737" s="11" t="s">
        <v>2391</v>
      </c>
      <c r="E737" s="4" t="s">
        <v>1552</v>
      </c>
      <c r="F737" s="11" t="s">
        <v>2392</v>
      </c>
      <c r="G737" s="11" t="s">
        <v>2393</v>
      </c>
      <c r="H737" s="11" t="s">
        <v>511</v>
      </c>
      <c r="I737" s="11" t="s">
        <v>945</v>
      </c>
      <c r="J737" s="11" t="s">
        <v>31</v>
      </c>
      <c r="K737" s="11" t="s">
        <v>31</v>
      </c>
      <c r="L737" s="11" t="s">
        <v>517</v>
      </c>
      <c r="M737" s="11" t="s">
        <v>32</v>
      </c>
      <c r="N737" s="11" t="s">
        <v>650</v>
      </c>
      <c r="O737" s="11" t="s">
        <v>312</v>
      </c>
      <c r="P737" s="11" t="s">
        <v>2394</v>
      </c>
      <c r="Q737" s="11" t="s">
        <v>358</v>
      </c>
      <c r="R737" s="11" t="s">
        <v>596</v>
      </c>
      <c r="S737" s="11" t="s">
        <v>35</v>
      </c>
      <c r="T737" s="158">
        <v>1.5760000000000001</v>
      </c>
      <c r="U737" s="11" t="s">
        <v>2395</v>
      </c>
      <c r="V737" s="174">
        <v>1.0500000000000001E-2</v>
      </c>
      <c r="W737" s="189">
        <v>2.7009999999999999E-2</v>
      </c>
      <c r="X737" s="4" t="s">
        <v>602</v>
      </c>
      <c r="Y737" s="4" t="s">
        <v>312</v>
      </c>
      <c r="Z737" s="158">
        <v>18544.18</v>
      </c>
      <c r="AA737" s="158">
        <v>1</v>
      </c>
      <c r="AB737" s="158">
        <v>109.95</v>
      </c>
      <c r="AD737" s="158">
        <v>20.388999999999999</v>
      </c>
      <c r="AG737" s="11" t="s">
        <v>37</v>
      </c>
      <c r="AH737" s="189">
        <v>7.7999999999999999E-5</v>
      </c>
      <c r="AI737" s="189">
        <v>1.3985010052633899E-3</v>
      </c>
      <c r="AJ737" s="189">
        <v>3.0446113536363503E-4</v>
      </c>
    </row>
    <row r="738" spans="1:36">
      <c r="A738" s="11" t="s">
        <v>256</v>
      </c>
      <c r="B738" s="11">
        <v>7206</v>
      </c>
      <c r="C738" s="11" t="s">
        <v>2390</v>
      </c>
      <c r="D738" s="11" t="s">
        <v>2391</v>
      </c>
      <c r="E738" s="4" t="s">
        <v>1552</v>
      </c>
      <c r="F738" s="11" t="s">
        <v>2396</v>
      </c>
      <c r="G738" s="11" t="s">
        <v>2397</v>
      </c>
      <c r="H738" s="11" t="s">
        <v>511</v>
      </c>
      <c r="I738" s="11" t="s">
        <v>1154</v>
      </c>
      <c r="J738" s="11" t="s">
        <v>31</v>
      </c>
      <c r="K738" s="11" t="s">
        <v>31</v>
      </c>
      <c r="L738" s="11" t="s">
        <v>517</v>
      </c>
      <c r="M738" s="11" t="s">
        <v>32</v>
      </c>
      <c r="N738" s="11" t="s">
        <v>650</v>
      </c>
      <c r="O738" s="11" t="s">
        <v>312</v>
      </c>
      <c r="P738" s="11" t="s">
        <v>2394</v>
      </c>
      <c r="Q738" s="11" t="s">
        <v>358</v>
      </c>
      <c r="R738" s="11" t="s">
        <v>596</v>
      </c>
      <c r="S738" s="11" t="s">
        <v>35</v>
      </c>
      <c r="T738" s="158">
        <v>2.2210000000000001</v>
      </c>
      <c r="U738" s="11" t="s">
        <v>2398</v>
      </c>
      <c r="V738" s="174">
        <v>2.18E-2</v>
      </c>
      <c r="W738" s="189">
        <v>5.4399999999999997E-2</v>
      </c>
      <c r="X738" s="4" t="s">
        <v>602</v>
      </c>
      <c r="Y738" s="4" t="s">
        <v>312</v>
      </c>
      <c r="Z738" s="158">
        <v>69725.94</v>
      </c>
      <c r="AA738" s="158">
        <v>1</v>
      </c>
      <c r="AB738" s="158">
        <v>93.46</v>
      </c>
      <c r="AD738" s="158">
        <v>65.165999999999997</v>
      </c>
      <c r="AG738" s="11" t="s">
        <v>37</v>
      </c>
      <c r="AH738" s="189">
        <v>1.93E-4</v>
      </c>
      <c r="AI738" s="189">
        <v>4.4697174418342903E-3</v>
      </c>
      <c r="AJ738" s="189">
        <v>9.7308135065602797E-4</v>
      </c>
    </row>
    <row r="739" spans="1:36">
      <c r="A739" s="11" t="s">
        <v>256</v>
      </c>
      <c r="B739" s="11">
        <v>7206</v>
      </c>
      <c r="C739" s="11" t="s">
        <v>2390</v>
      </c>
      <c r="D739" s="11" t="s">
        <v>2391</v>
      </c>
      <c r="E739" s="4" t="s">
        <v>1552</v>
      </c>
      <c r="F739" s="11" t="s">
        <v>2399</v>
      </c>
      <c r="G739" s="11" t="s">
        <v>2400</v>
      </c>
      <c r="H739" s="11" t="s">
        <v>511</v>
      </c>
      <c r="I739" s="11" t="s">
        <v>945</v>
      </c>
      <c r="J739" s="11" t="s">
        <v>31</v>
      </c>
      <c r="K739" s="11" t="s">
        <v>31</v>
      </c>
      <c r="L739" s="11" t="s">
        <v>517</v>
      </c>
      <c r="M739" s="11" t="s">
        <v>32</v>
      </c>
      <c r="N739" s="11" t="s">
        <v>650</v>
      </c>
      <c r="O739" s="11" t="s">
        <v>312</v>
      </c>
      <c r="P739" s="11" t="s">
        <v>2394</v>
      </c>
      <c r="Q739" s="11" t="s">
        <v>358</v>
      </c>
      <c r="R739" s="11" t="s">
        <v>596</v>
      </c>
      <c r="S739" s="11" t="s">
        <v>35</v>
      </c>
      <c r="T739" s="158">
        <v>3.1659999999999999</v>
      </c>
      <c r="U739" s="11" t="s">
        <v>2401</v>
      </c>
      <c r="V739" s="174">
        <v>2.1999999999999999E-2</v>
      </c>
      <c r="W739" s="189">
        <v>3.108E-2</v>
      </c>
      <c r="X739" s="4" t="s">
        <v>602</v>
      </c>
      <c r="Y739" s="4" t="s">
        <v>312</v>
      </c>
      <c r="Z739" s="158">
        <v>16875</v>
      </c>
      <c r="AA739" s="158">
        <v>1</v>
      </c>
      <c r="AB739" s="158">
        <v>102.76</v>
      </c>
      <c r="AD739" s="158">
        <v>17.341000000000001</v>
      </c>
      <c r="AG739" s="11" t="s">
        <v>37</v>
      </c>
      <c r="AH739" s="189">
        <v>4.8000000000000001E-5</v>
      </c>
      <c r="AI739" s="189">
        <v>1.18939961105468E-3</v>
      </c>
      <c r="AJ739" s="189">
        <v>2.5893864546387799E-4</v>
      </c>
    </row>
    <row r="740" spans="1:36">
      <c r="A740" s="11" t="s">
        <v>256</v>
      </c>
      <c r="B740" s="11">
        <v>7206</v>
      </c>
      <c r="C740" s="11" t="s">
        <v>1794</v>
      </c>
      <c r="D740" s="11" t="s">
        <v>1795</v>
      </c>
      <c r="E740" s="4" t="s">
        <v>1552</v>
      </c>
      <c r="F740" s="11" t="s">
        <v>2402</v>
      </c>
      <c r="G740" s="11" t="s">
        <v>2403</v>
      </c>
      <c r="H740" s="11" t="s">
        <v>511</v>
      </c>
      <c r="I740" s="11" t="s">
        <v>364</v>
      </c>
      <c r="J740" s="11" t="s">
        <v>31</v>
      </c>
      <c r="K740" s="11" t="s">
        <v>31</v>
      </c>
      <c r="L740" s="11" t="s">
        <v>517</v>
      </c>
      <c r="M740" s="11" t="s">
        <v>32</v>
      </c>
      <c r="N740" s="11" t="s">
        <v>642</v>
      </c>
      <c r="O740" s="11" t="s">
        <v>312</v>
      </c>
      <c r="P740" s="11" t="s">
        <v>2169</v>
      </c>
      <c r="Q740" s="11" t="s">
        <v>358</v>
      </c>
      <c r="R740" s="11" t="s">
        <v>596</v>
      </c>
      <c r="S740" s="11" t="s">
        <v>35</v>
      </c>
      <c r="T740" s="158">
        <v>3.46</v>
      </c>
      <c r="U740" s="11" t="s">
        <v>2404</v>
      </c>
      <c r="V740" s="174">
        <v>3.7699999999999997E-2</v>
      </c>
      <c r="W740" s="189">
        <v>6.2239999999999997E-2</v>
      </c>
      <c r="X740" s="4" t="s">
        <v>602</v>
      </c>
      <c r="Y740" s="4" t="s">
        <v>312</v>
      </c>
      <c r="Z740" s="158">
        <v>26337.65</v>
      </c>
      <c r="AA740" s="158">
        <v>1</v>
      </c>
      <c r="AB740" s="158">
        <v>102.78</v>
      </c>
      <c r="AD740" s="158">
        <v>27.07</v>
      </c>
      <c r="AG740" s="11" t="s">
        <v>37</v>
      </c>
      <c r="AH740" s="189">
        <v>1.5100000000000001E-4</v>
      </c>
      <c r="AI740" s="189">
        <v>1.8567163015793301E-3</v>
      </c>
      <c r="AJ740" s="189">
        <v>4.0421705175717402E-4</v>
      </c>
    </row>
    <row r="741" spans="1:36">
      <c r="A741" s="11" t="s">
        <v>256</v>
      </c>
      <c r="B741" s="11">
        <v>7206</v>
      </c>
      <c r="C741" s="11" t="s">
        <v>1794</v>
      </c>
      <c r="D741" s="11" t="s">
        <v>1795</v>
      </c>
      <c r="E741" s="4" t="s">
        <v>1552</v>
      </c>
      <c r="F741" s="11" t="s">
        <v>2405</v>
      </c>
      <c r="G741" s="11" t="s">
        <v>2406</v>
      </c>
      <c r="H741" s="11" t="s">
        <v>511</v>
      </c>
      <c r="I741" s="11" t="s">
        <v>364</v>
      </c>
      <c r="J741" s="11" t="s">
        <v>31</v>
      </c>
      <c r="K741" s="11" t="s">
        <v>31</v>
      </c>
      <c r="L741" s="11" t="s">
        <v>517</v>
      </c>
      <c r="M741" s="11" t="s">
        <v>32</v>
      </c>
      <c r="N741" s="11" t="s">
        <v>642</v>
      </c>
      <c r="O741" s="11" t="s">
        <v>312</v>
      </c>
      <c r="P741" s="11" t="s">
        <v>2169</v>
      </c>
      <c r="Q741" s="11" t="s">
        <v>358</v>
      </c>
      <c r="R741" s="11" t="s">
        <v>596</v>
      </c>
      <c r="S741" s="11" t="s">
        <v>35</v>
      </c>
      <c r="T741" s="158">
        <v>0.79</v>
      </c>
      <c r="U741" s="11" t="s">
        <v>2407</v>
      </c>
      <c r="V741" s="174">
        <v>3.49E-2</v>
      </c>
      <c r="W741" s="189">
        <v>7.4029999999999999E-2</v>
      </c>
      <c r="X741" s="4" t="s">
        <v>602</v>
      </c>
      <c r="Y741" s="4" t="s">
        <v>312</v>
      </c>
      <c r="Z741" s="158">
        <v>48750.64</v>
      </c>
      <c r="AA741" s="158">
        <v>1</v>
      </c>
      <c r="AB741" s="158">
        <v>102.13</v>
      </c>
      <c r="AD741" s="158">
        <v>49.789000000000001</v>
      </c>
      <c r="AG741" s="11" t="s">
        <v>37</v>
      </c>
      <c r="AH741" s="189">
        <v>9.7E-5</v>
      </c>
      <c r="AI741" s="189">
        <v>3.4150224926656099E-3</v>
      </c>
      <c r="AJ741" s="189">
        <v>7.4346862926530399E-4</v>
      </c>
    </row>
    <row r="742" spans="1:36">
      <c r="A742" s="11" t="s">
        <v>256</v>
      </c>
      <c r="B742" s="11">
        <v>7206</v>
      </c>
      <c r="C742" s="11" t="s">
        <v>2039</v>
      </c>
      <c r="D742" s="11" t="s">
        <v>2040</v>
      </c>
      <c r="E742" s="4" t="s">
        <v>1552</v>
      </c>
      <c r="F742" s="11" t="s">
        <v>2408</v>
      </c>
      <c r="G742" s="11" t="s">
        <v>2409</v>
      </c>
      <c r="H742" s="11" t="s">
        <v>511</v>
      </c>
      <c r="I742" s="11" t="s">
        <v>945</v>
      </c>
      <c r="J742" s="11" t="s">
        <v>31</v>
      </c>
      <c r="K742" s="11" t="s">
        <v>31</v>
      </c>
      <c r="L742" s="11" t="s">
        <v>517</v>
      </c>
      <c r="M742" s="11" t="s">
        <v>32</v>
      </c>
      <c r="N742" s="11" t="s">
        <v>652</v>
      </c>
      <c r="O742" s="11" t="s">
        <v>312</v>
      </c>
      <c r="P742" s="11" t="s">
        <v>2225</v>
      </c>
      <c r="Q742" s="11" t="s">
        <v>604</v>
      </c>
      <c r="R742" s="11" t="s">
        <v>596</v>
      </c>
      <c r="S742" s="11" t="s">
        <v>35</v>
      </c>
      <c r="T742" s="158">
        <v>4.9880000000000004</v>
      </c>
      <c r="U742" s="11" t="s">
        <v>2410</v>
      </c>
      <c r="V742" s="174">
        <v>8.3999999999999995E-3</v>
      </c>
      <c r="W742" s="189">
        <v>3.1829999999999997E-2</v>
      </c>
      <c r="X742" s="4" t="s">
        <v>602</v>
      </c>
      <c r="Y742" s="4" t="s">
        <v>312</v>
      </c>
      <c r="Z742" s="158">
        <v>37000.29</v>
      </c>
      <c r="AA742" s="158">
        <v>1</v>
      </c>
      <c r="AB742" s="158">
        <v>100.43</v>
      </c>
      <c r="AD742" s="158">
        <v>37.158999999999999</v>
      </c>
      <c r="AG742" s="11" t="s">
        <v>37</v>
      </c>
      <c r="AH742" s="189">
        <v>4.6999999999999997E-5</v>
      </c>
      <c r="AI742" s="189">
        <v>2.5487574353018501E-3</v>
      </c>
      <c r="AJ742" s="189">
        <v>5.5487810133705102E-4</v>
      </c>
    </row>
    <row r="743" spans="1:36">
      <c r="A743" s="11" t="s">
        <v>256</v>
      </c>
      <c r="B743" s="11">
        <v>7206</v>
      </c>
      <c r="C743" s="11" t="s">
        <v>1798</v>
      </c>
      <c r="D743" s="11" t="s">
        <v>1799</v>
      </c>
      <c r="E743" s="4" t="s">
        <v>1552</v>
      </c>
      <c r="F743" s="11" t="s">
        <v>2411</v>
      </c>
      <c r="G743" s="11" t="s">
        <v>2412</v>
      </c>
      <c r="H743" s="11" t="s">
        <v>511</v>
      </c>
      <c r="I743" s="11" t="s">
        <v>1155</v>
      </c>
      <c r="J743" s="11" t="s">
        <v>31</v>
      </c>
      <c r="K743" s="11" t="s">
        <v>31</v>
      </c>
      <c r="L743" s="11" t="s">
        <v>517</v>
      </c>
      <c r="M743" s="11" t="s">
        <v>32</v>
      </c>
      <c r="N743" s="11" t="s">
        <v>633</v>
      </c>
      <c r="O743" s="11" t="s">
        <v>312</v>
      </c>
      <c r="P743" s="11" t="s">
        <v>2394</v>
      </c>
      <c r="Q743" s="11" t="s">
        <v>358</v>
      </c>
      <c r="R743" s="11" t="s">
        <v>596</v>
      </c>
      <c r="S743" s="11" t="s">
        <v>35</v>
      </c>
      <c r="T743" s="158">
        <v>3.4940000000000002</v>
      </c>
      <c r="U743" s="11" t="s">
        <v>2413</v>
      </c>
      <c r="V743" s="174">
        <v>2.8000000000000001E-2</v>
      </c>
      <c r="W743" s="189">
        <v>4.4420000000000001E-2</v>
      </c>
      <c r="X743" s="4" t="s">
        <v>602</v>
      </c>
      <c r="Y743" s="4" t="s">
        <v>312</v>
      </c>
      <c r="Z743" s="158">
        <v>1500</v>
      </c>
      <c r="AA743" s="158">
        <v>1</v>
      </c>
      <c r="AB743" s="158">
        <v>95.5</v>
      </c>
      <c r="AD743" s="158">
        <v>1.4330000000000001</v>
      </c>
      <c r="AG743" s="11" t="s">
        <v>37</v>
      </c>
      <c r="AH743" s="189">
        <v>1.0000000000000001E-5</v>
      </c>
      <c r="AI743" s="189">
        <v>9.8254974141016399E-5</v>
      </c>
      <c r="AJ743" s="189">
        <v>2.13906324482508E-5</v>
      </c>
    </row>
    <row r="744" spans="1:36">
      <c r="A744" s="11" t="s">
        <v>256</v>
      </c>
      <c r="B744" s="11">
        <v>7206</v>
      </c>
      <c r="C744" s="11" t="s">
        <v>2414</v>
      </c>
      <c r="D744" s="11" t="s">
        <v>2415</v>
      </c>
      <c r="E744" s="4" t="s">
        <v>1552</v>
      </c>
      <c r="F744" s="11" t="s">
        <v>2416</v>
      </c>
      <c r="G744" s="11" t="s">
        <v>2417</v>
      </c>
      <c r="H744" s="11" t="s">
        <v>511</v>
      </c>
      <c r="I744" s="11" t="s">
        <v>1154</v>
      </c>
      <c r="J744" s="11" t="s">
        <v>31</v>
      </c>
      <c r="K744" s="11" t="s">
        <v>31</v>
      </c>
      <c r="L744" s="11" t="s">
        <v>517</v>
      </c>
      <c r="M744" s="11" t="s">
        <v>32</v>
      </c>
      <c r="N744" s="11" t="s">
        <v>633</v>
      </c>
      <c r="O744" s="11" t="s">
        <v>312</v>
      </c>
      <c r="P744" s="11" t="s">
        <v>2418</v>
      </c>
      <c r="Q744" s="11" t="s">
        <v>604</v>
      </c>
      <c r="R744" s="11" t="s">
        <v>596</v>
      </c>
      <c r="S744" s="11" t="s">
        <v>35</v>
      </c>
      <c r="T744" s="158">
        <v>7.9000000000000001E-2</v>
      </c>
      <c r="U744" s="11" t="s">
        <v>45</v>
      </c>
      <c r="V744" s="174">
        <v>3.9199999999999999E-2</v>
      </c>
      <c r="W744" s="189">
        <v>5.9880000000000003E-2</v>
      </c>
      <c r="X744" s="4" t="s">
        <v>602</v>
      </c>
      <c r="Y744" s="4" t="s">
        <v>312</v>
      </c>
      <c r="Z744" s="158">
        <v>100000</v>
      </c>
      <c r="AA744" s="158">
        <v>1</v>
      </c>
      <c r="AB744" s="158">
        <v>101.47</v>
      </c>
      <c r="AD744" s="158">
        <v>101.47</v>
      </c>
      <c r="AG744" s="11" t="s">
        <v>37</v>
      </c>
      <c r="AH744" s="189">
        <v>2.1900000000000001E-4</v>
      </c>
      <c r="AI744" s="189">
        <v>6.9598130723133901E-3</v>
      </c>
      <c r="AJ744" s="189">
        <v>1.51518846389111E-3</v>
      </c>
    </row>
    <row r="745" spans="1:36">
      <c r="A745" s="11" t="s">
        <v>256</v>
      </c>
      <c r="B745" s="11">
        <v>7206</v>
      </c>
      <c r="C745" s="11" t="s">
        <v>362</v>
      </c>
      <c r="D745" s="11" t="s">
        <v>1802</v>
      </c>
      <c r="E745" s="4" t="s">
        <v>1552</v>
      </c>
      <c r="F745" s="11" t="s">
        <v>2419</v>
      </c>
      <c r="G745" s="11" t="s">
        <v>2420</v>
      </c>
      <c r="H745" s="11" t="s">
        <v>511</v>
      </c>
      <c r="I745" s="11" t="s">
        <v>945</v>
      </c>
      <c r="J745" s="11" t="s">
        <v>31</v>
      </c>
      <c r="K745" s="11" t="s">
        <v>31</v>
      </c>
      <c r="L745" s="11" t="s">
        <v>517</v>
      </c>
      <c r="M745" s="11" t="s">
        <v>32</v>
      </c>
      <c r="N745" s="11" t="s">
        <v>636</v>
      </c>
      <c r="O745" s="11" t="s">
        <v>312</v>
      </c>
      <c r="P745" s="11" t="s">
        <v>157</v>
      </c>
      <c r="Q745" s="11" t="s">
        <v>604</v>
      </c>
      <c r="R745" s="11" t="s">
        <v>596</v>
      </c>
      <c r="S745" s="11" t="s">
        <v>35</v>
      </c>
      <c r="T745" s="158">
        <v>1.986</v>
      </c>
      <c r="U745" s="11" t="s">
        <v>2203</v>
      </c>
      <c r="V745" s="174">
        <v>8.3000000000000001E-3</v>
      </c>
      <c r="W745" s="189">
        <v>2.0129999999999999E-2</v>
      </c>
      <c r="X745" s="4" t="s">
        <v>602</v>
      </c>
      <c r="Y745" s="4" t="s">
        <v>312</v>
      </c>
      <c r="Z745" s="158">
        <v>176000</v>
      </c>
      <c r="AA745" s="158">
        <v>1</v>
      </c>
      <c r="AB745" s="158">
        <v>110.75</v>
      </c>
      <c r="AD745" s="158">
        <v>194.92</v>
      </c>
      <c r="AG745" s="11" t="s">
        <v>37</v>
      </c>
      <c r="AH745" s="189">
        <v>5.8E-5</v>
      </c>
      <c r="AI745" s="189">
        <v>1.33695354691567E-2</v>
      </c>
      <c r="AJ745" s="189">
        <v>2.91061925082936E-3</v>
      </c>
    </row>
    <row r="746" spans="1:36">
      <c r="A746" s="11" t="s">
        <v>256</v>
      </c>
      <c r="B746" s="11">
        <v>7206</v>
      </c>
      <c r="C746" s="11" t="s">
        <v>362</v>
      </c>
      <c r="D746" s="11" t="s">
        <v>1802</v>
      </c>
      <c r="E746" s="4" t="s">
        <v>1552</v>
      </c>
      <c r="F746" s="11" t="s">
        <v>2421</v>
      </c>
      <c r="G746" s="11" t="s">
        <v>2422</v>
      </c>
      <c r="H746" s="11" t="s">
        <v>511</v>
      </c>
      <c r="I746" s="11" t="s">
        <v>1154</v>
      </c>
      <c r="J746" s="11" t="s">
        <v>31</v>
      </c>
      <c r="K746" s="11" t="s">
        <v>31</v>
      </c>
      <c r="L746" s="11" t="s">
        <v>517</v>
      </c>
      <c r="M746" s="11" t="s">
        <v>32</v>
      </c>
      <c r="N746" s="11" t="s">
        <v>636</v>
      </c>
      <c r="O746" s="11" t="s">
        <v>312</v>
      </c>
      <c r="P746" s="11" t="s">
        <v>357</v>
      </c>
      <c r="Q746" s="11" t="s">
        <v>358</v>
      </c>
      <c r="R746" s="11" t="s">
        <v>596</v>
      </c>
      <c r="S746" s="11" t="s">
        <v>35</v>
      </c>
      <c r="T746" s="158">
        <v>0.66</v>
      </c>
      <c r="U746" s="11" t="s">
        <v>140</v>
      </c>
      <c r="V746" s="174">
        <v>2.0199999999999999E-2</v>
      </c>
      <c r="W746" s="189">
        <v>4.7199999999999999E-2</v>
      </c>
      <c r="X746" s="4" t="s">
        <v>602</v>
      </c>
      <c r="Y746" s="4" t="s">
        <v>312</v>
      </c>
      <c r="Z746" s="158">
        <v>114000</v>
      </c>
      <c r="AA746" s="158">
        <v>1</v>
      </c>
      <c r="AB746" s="158">
        <v>99.11</v>
      </c>
      <c r="AD746" s="158">
        <v>112.985</v>
      </c>
      <c r="AG746" s="11" t="s">
        <v>37</v>
      </c>
      <c r="AH746" s="189">
        <v>1.35E-4</v>
      </c>
      <c r="AI746" s="189">
        <v>7.7496527436735803E-3</v>
      </c>
      <c r="AJ746" s="189">
        <v>1.68714077725557E-3</v>
      </c>
    </row>
    <row r="747" spans="1:36">
      <c r="A747" s="11" t="s">
        <v>256</v>
      </c>
      <c r="B747" s="11">
        <v>7206</v>
      </c>
      <c r="C747" s="11" t="s">
        <v>362</v>
      </c>
      <c r="D747" s="11" t="s">
        <v>1802</v>
      </c>
      <c r="E747" s="4" t="s">
        <v>1552</v>
      </c>
      <c r="F747" s="11" t="s">
        <v>2423</v>
      </c>
      <c r="G747" s="11" t="s">
        <v>2424</v>
      </c>
      <c r="H747" s="11" t="s">
        <v>511</v>
      </c>
      <c r="I747" s="11" t="s">
        <v>945</v>
      </c>
      <c r="J747" s="11" t="s">
        <v>31</v>
      </c>
      <c r="K747" s="11" t="s">
        <v>31</v>
      </c>
      <c r="L747" s="11" t="s">
        <v>517</v>
      </c>
      <c r="M747" s="11" t="s">
        <v>32</v>
      </c>
      <c r="N747" s="11" t="s">
        <v>636</v>
      </c>
      <c r="O747" s="11" t="s">
        <v>312</v>
      </c>
      <c r="P747" s="11" t="s">
        <v>357</v>
      </c>
      <c r="Q747" s="11" t="s">
        <v>358</v>
      </c>
      <c r="R747" s="11" t="s">
        <v>596</v>
      </c>
      <c r="S747" s="11" t="s">
        <v>35</v>
      </c>
      <c r="T747" s="158">
        <v>2.806</v>
      </c>
      <c r="U747" s="11" t="s">
        <v>2425</v>
      </c>
      <c r="V747" s="174">
        <v>1.8599999999999998E-2</v>
      </c>
      <c r="W747" s="189">
        <v>2.2460000000000001E-2</v>
      </c>
      <c r="X747" s="4" t="s">
        <v>602</v>
      </c>
      <c r="Y747" s="4" t="s">
        <v>312</v>
      </c>
      <c r="Z747" s="158">
        <v>91000</v>
      </c>
      <c r="AA747" s="158">
        <v>1</v>
      </c>
      <c r="AB747" s="158">
        <v>101.33</v>
      </c>
      <c r="AD747" s="158">
        <v>92.21</v>
      </c>
      <c r="AG747" s="11" t="s">
        <v>37</v>
      </c>
      <c r="AH747" s="189">
        <v>7.3999999999999996E-5</v>
      </c>
      <c r="AI747" s="189">
        <v>6.3246915476686703E-3</v>
      </c>
      <c r="AJ747" s="189">
        <v>1.3769191170980399E-3</v>
      </c>
    </row>
    <row r="748" spans="1:36">
      <c r="A748" s="11" t="s">
        <v>256</v>
      </c>
      <c r="B748" s="11">
        <v>7206</v>
      </c>
      <c r="C748" s="11" t="s">
        <v>362</v>
      </c>
      <c r="D748" s="11" t="s">
        <v>1802</v>
      </c>
      <c r="E748" s="4" t="s">
        <v>1552</v>
      </c>
      <c r="F748" s="11" t="s">
        <v>2870</v>
      </c>
      <c r="G748" s="11" t="s">
        <v>2871</v>
      </c>
      <c r="H748" s="11" t="s">
        <v>511</v>
      </c>
      <c r="I748" s="11" t="s">
        <v>945</v>
      </c>
      <c r="J748" s="11" t="s">
        <v>31</v>
      </c>
      <c r="K748" s="11" t="s">
        <v>31</v>
      </c>
      <c r="L748" s="11" t="s">
        <v>517</v>
      </c>
      <c r="M748" s="11" t="s">
        <v>32</v>
      </c>
      <c r="N748" s="11" t="s">
        <v>636</v>
      </c>
      <c r="O748" s="11" t="s">
        <v>312</v>
      </c>
      <c r="P748" s="11" t="s">
        <v>357</v>
      </c>
      <c r="Q748" s="11" t="s">
        <v>358</v>
      </c>
      <c r="R748" s="11" t="s">
        <v>596</v>
      </c>
      <c r="S748" s="11" t="s">
        <v>35</v>
      </c>
      <c r="T748" s="158">
        <v>3.3940000000000001</v>
      </c>
      <c r="U748" s="11" t="s">
        <v>2872</v>
      </c>
      <c r="V748" s="174">
        <v>1E-3</v>
      </c>
      <c r="W748" s="189">
        <v>2.298E-2</v>
      </c>
      <c r="X748" s="4" t="s">
        <v>602</v>
      </c>
      <c r="Y748" s="4" t="s">
        <v>312</v>
      </c>
      <c r="Z748" s="158">
        <v>114000</v>
      </c>
      <c r="AA748" s="158">
        <v>1</v>
      </c>
      <c r="AB748" s="158">
        <v>102.72</v>
      </c>
      <c r="AD748" s="158">
        <v>117.101</v>
      </c>
      <c r="AG748" s="11" t="s">
        <v>37</v>
      </c>
      <c r="AH748" s="189">
        <v>3.6000000000000001E-5</v>
      </c>
      <c r="AI748" s="189">
        <v>8.0319274526299E-3</v>
      </c>
      <c r="AJ748" s="189">
        <v>1.74859348844407E-3</v>
      </c>
    </row>
    <row r="749" spans="1:36">
      <c r="A749" s="11" t="s">
        <v>256</v>
      </c>
      <c r="B749" s="11">
        <v>7206</v>
      </c>
      <c r="C749" s="11" t="s">
        <v>2426</v>
      </c>
      <c r="D749" s="11" t="s">
        <v>2427</v>
      </c>
      <c r="E749" s="4" t="s">
        <v>1552</v>
      </c>
      <c r="F749" s="11" t="s">
        <v>2428</v>
      </c>
      <c r="G749" s="11" t="s">
        <v>2429</v>
      </c>
      <c r="H749" s="11" t="s">
        <v>511</v>
      </c>
      <c r="I749" s="11" t="s">
        <v>1154</v>
      </c>
      <c r="J749" s="11" t="s">
        <v>31</v>
      </c>
      <c r="K749" s="11" t="s">
        <v>31</v>
      </c>
      <c r="L749" s="11" t="s">
        <v>517</v>
      </c>
      <c r="M749" s="11" t="s">
        <v>32</v>
      </c>
      <c r="N749" s="11" t="s">
        <v>635</v>
      </c>
      <c r="O749" s="11" t="s">
        <v>312</v>
      </c>
      <c r="P749" s="27" t="s">
        <v>2165</v>
      </c>
      <c r="Q749" s="27" t="s">
        <v>2165</v>
      </c>
      <c r="R749" s="16" t="s">
        <v>2165</v>
      </c>
      <c r="S749" s="11" t="s">
        <v>35</v>
      </c>
      <c r="T749" s="158">
        <v>4.2640000000000002</v>
      </c>
      <c r="U749" s="11" t="s">
        <v>2430</v>
      </c>
      <c r="V749" s="174">
        <v>6.7299999999999999E-2</v>
      </c>
      <c r="W749" s="189">
        <v>6.8379999999999996E-2</v>
      </c>
      <c r="X749" s="4" t="s">
        <v>602</v>
      </c>
      <c r="Y749" s="4" t="s">
        <v>312</v>
      </c>
      <c r="Z749" s="158">
        <v>28000</v>
      </c>
      <c r="AA749" s="158">
        <v>1</v>
      </c>
      <c r="AB749" s="158">
        <v>100.7</v>
      </c>
      <c r="AD749" s="158">
        <v>28.196000000000002</v>
      </c>
      <c r="AG749" s="11" t="s">
        <v>37</v>
      </c>
      <c r="AH749" s="189">
        <v>1.02E-4</v>
      </c>
      <c r="AI749" s="189">
        <v>1.93395968647825E-3</v>
      </c>
      <c r="AJ749" s="189">
        <v>4.2103334904773502E-4</v>
      </c>
    </row>
    <row r="750" spans="1:36">
      <c r="A750" s="11" t="s">
        <v>256</v>
      </c>
      <c r="B750" s="11">
        <v>7206</v>
      </c>
      <c r="C750" s="11" t="s">
        <v>2431</v>
      </c>
      <c r="D750" s="11" t="s">
        <v>2432</v>
      </c>
      <c r="E750" s="4" t="s">
        <v>1552</v>
      </c>
      <c r="F750" s="11" t="s">
        <v>2433</v>
      </c>
      <c r="G750" s="11" t="s">
        <v>2434</v>
      </c>
      <c r="H750" s="11" t="s">
        <v>511</v>
      </c>
      <c r="I750" s="11" t="s">
        <v>1154</v>
      </c>
      <c r="J750" s="11" t="s">
        <v>31</v>
      </c>
      <c r="K750" s="11" t="s">
        <v>31</v>
      </c>
      <c r="L750" s="11" t="s">
        <v>517</v>
      </c>
      <c r="M750" s="11" t="s">
        <v>32</v>
      </c>
      <c r="N750" s="11" t="s">
        <v>635</v>
      </c>
      <c r="O750" s="11" t="s">
        <v>312</v>
      </c>
      <c r="P750" s="27" t="s">
        <v>2165</v>
      </c>
      <c r="Q750" s="27" t="s">
        <v>2165</v>
      </c>
      <c r="R750" s="16" t="s">
        <v>2165</v>
      </c>
      <c r="S750" s="11" t="s">
        <v>35</v>
      </c>
      <c r="T750" s="158">
        <v>1.776</v>
      </c>
      <c r="U750" s="11" t="s">
        <v>110</v>
      </c>
      <c r="V750" s="174">
        <v>7.0000000000000007E-2</v>
      </c>
      <c r="W750" s="189">
        <v>9.6860000000000002E-2</v>
      </c>
      <c r="X750" s="4" t="s">
        <v>602</v>
      </c>
      <c r="Y750" s="4" t="s">
        <v>312</v>
      </c>
      <c r="Z750" s="158">
        <v>30665.4</v>
      </c>
      <c r="AA750" s="158">
        <v>1</v>
      </c>
      <c r="AB750" s="158">
        <v>99.94</v>
      </c>
      <c r="AD750" s="158">
        <v>30.646999999999998</v>
      </c>
      <c r="AG750" s="11" t="s">
        <v>37</v>
      </c>
      <c r="AH750" s="189">
        <v>4.4999999999999999E-4</v>
      </c>
      <c r="AI750" s="189">
        <v>2.1020734849378801E-3</v>
      </c>
      <c r="AJ750" s="189">
        <v>4.5763262052245999E-4</v>
      </c>
    </row>
    <row r="751" spans="1:36">
      <c r="A751" s="11" t="s">
        <v>256</v>
      </c>
      <c r="B751" s="11">
        <v>7206</v>
      </c>
      <c r="C751" s="11" t="s">
        <v>1808</v>
      </c>
      <c r="D751" s="11" t="s">
        <v>1809</v>
      </c>
      <c r="E751" s="4" t="s">
        <v>1552</v>
      </c>
      <c r="F751" s="11" t="s">
        <v>2435</v>
      </c>
      <c r="G751" s="11" t="s">
        <v>2436</v>
      </c>
      <c r="H751" s="11" t="s">
        <v>511</v>
      </c>
      <c r="I751" s="11" t="s">
        <v>1154</v>
      </c>
      <c r="J751" s="11" t="s">
        <v>31</v>
      </c>
      <c r="K751" s="11" t="s">
        <v>31</v>
      </c>
      <c r="L751" s="11" t="s">
        <v>517</v>
      </c>
      <c r="M751" s="11" t="s">
        <v>32</v>
      </c>
      <c r="N751" s="11" t="s">
        <v>639</v>
      </c>
      <c r="O751" s="11" t="s">
        <v>312</v>
      </c>
      <c r="P751" s="27" t="s">
        <v>2165</v>
      </c>
      <c r="Q751" s="27" t="s">
        <v>2165</v>
      </c>
      <c r="R751" s="16" t="s">
        <v>2165</v>
      </c>
      <c r="S751" s="11" t="s">
        <v>35</v>
      </c>
      <c r="T751" s="158">
        <v>0.98299999999999998</v>
      </c>
      <c r="U751" s="11" t="s">
        <v>2317</v>
      </c>
      <c r="V751" s="174">
        <v>3.5000000000000003E-2</v>
      </c>
      <c r="W751" s="189">
        <v>4.6519999999999999E-2</v>
      </c>
      <c r="X751" s="4" t="s">
        <v>602</v>
      </c>
      <c r="Y751" s="4" t="s">
        <v>312</v>
      </c>
      <c r="Z751" s="158">
        <v>13000</v>
      </c>
      <c r="AA751" s="158">
        <v>1</v>
      </c>
      <c r="AB751" s="158">
        <v>97.64</v>
      </c>
      <c r="AD751" s="158">
        <v>12.693</v>
      </c>
      <c r="AG751" s="11" t="s">
        <v>37</v>
      </c>
      <c r="AH751" s="189">
        <v>1.6200000000000001E-4</v>
      </c>
      <c r="AI751" s="189">
        <v>8.7062480821413599E-4</v>
      </c>
      <c r="AJ751" s="189">
        <v>1.8953966896484301E-4</v>
      </c>
    </row>
    <row r="752" spans="1:36">
      <c r="A752" s="11" t="s">
        <v>256</v>
      </c>
      <c r="B752" s="11">
        <v>7206</v>
      </c>
      <c r="C752" s="11" t="s">
        <v>2437</v>
      </c>
      <c r="D752" s="11" t="s">
        <v>2438</v>
      </c>
      <c r="E752" s="4" t="s">
        <v>1552</v>
      </c>
      <c r="F752" s="11" t="s">
        <v>2439</v>
      </c>
      <c r="G752" s="11" t="s">
        <v>2440</v>
      </c>
      <c r="H752" s="11" t="s">
        <v>511</v>
      </c>
      <c r="I752" s="11" t="s">
        <v>945</v>
      </c>
      <c r="J752" s="11" t="s">
        <v>31</v>
      </c>
      <c r="K752" s="11" t="s">
        <v>31</v>
      </c>
      <c r="L752" s="11" t="s">
        <v>517</v>
      </c>
      <c r="M752" s="11" t="s">
        <v>32</v>
      </c>
      <c r="N752" s="11" t="s">
        <v>652</v>
      </c>
      <c r="O752" s="11" t="s">
        <v>312</v>
      </c>
      <c r="P752" s="27" t="s">
        <v>2165</v>
      </c>
      <c r="Q752" s="27" t="s">
        <v>2165</v>
      </c>
      <c r="R752" s="16" t="s">
        <v>2165</v>
      </c>
      <c r="S752" s="11" t="s">
        <v>35</v>
      </c>
      <c r="T752" s="158">
        <v>3.08</v>
      </c>
      <c r="U752" s="11" t="s">
        <v>2441</v>
      </c>
      <c r="V752" s="174">
        <v>6.0999999999999999E-2</v>
      </c>
      <c r="W752" s="189">
        <v>5.0319999999999997E-2</v>
      </c>
      <c r="X752" s="4" t="s">
        <v>602</v>
      </c>
      <c r="Y752" s="4" t="s">
        <v>312</v>
      </c>
      <c r="Z752" s="158">
        <v>24000</v>
      </c>
      <c r="AA752" s="158">
        <v>1</v>
      </c>
      <c r="AB752" s="158">
        <v>105.52</v>
      </c>
      <c r="AD752" s="158">
        <v>25.324999999999999</v>
      </c>
      <c r="AG752" s="11" t="s">
        <v>37</v>
      </c>
      <c r="AH752" s="189">
        <v>2.8299999999999999E-4</v>
      </c>
      <c r="AI752" s="189">
        <v>1.73702448106556E-3</v>
      </c>
      <c r="AJ752" s="189">
        <v>3.7815950340346402E-4</v>
      </c>
    </row>
    <row r="753" spans="1:36">
      <c r="A753" s="11" t="s">
        <v>256</v>
      </c>
      <c r="B753" s="11">
        <v>7206</v>
      </c>
      <c r="C753" s="11" t="s">
        <v>2437</v>
      </c>
      <c r="D753" s="11" t="s">
        <v>2438</v>
      </c>
      <c r="E753" s="4" t="s">
        <v>1552</v>
      </c>
      <c r="F753" s="11" t="s">
        <v>2442</v>
      </c>
      <c r="G753" s="11" t="s">
        <v>2443</v>
      </c>
      <c r="H753" s="11" t="s">
        <v>511</v>
      </c>
      <c r="I753" s="11" t="s">
        <v>945</v>
      </c>
      <c r="J753" s="11" t="s">
        <v>31</v>
      </c>
      <c r="K753" s="11" t="s">
        <v>31</v>
      </c>
      <c r="L753" s="11" t="s">
        <v>517</v>
      </c>
      <c r="M753" s="11" t="s">
        <v>32</v>
      </c>
      <c r="N753" s="11" t="s">
        <v>652</v>
      </c>
      <c r="O753" s="11" t="s">
        <v>312</v>
      </c>
      <c r="P753" s="27" t="s">
        <v>2165</v>
      </c>
      <c r="Q753" s="27" t="s">
        <v>2165</v>
      </c>
      <c r="R753" s="16" t="s">
        <v>2165</v>
      </c>
      <c r="S753" s="11" t="s">
        <v>35</v>
      </c>
      <c r="T753" s="158">
        <v>3.113</v>
      </c>
      <c r="U753" s="11" t="s">
        <v>2166</v>
      </c>
      <c r="V753" s="174">
        <v>0.06</v>
      </c>
      <c r="W753" s="189">
        <v>4.795E-2</v>
      </c>
      <c r="X753" s="4" t="s">
        <v>602</v>
      </c>
      <c r="Y753" s="4" t="s">
        <v>312</v>
      </c>
      <c r="Z753" s="158">
        <v>16000</v>
      </c>
      <c r="AA753" s="158">
        <v>1</v>
      </c>
      <c r="AB753" s="158">
        <v>106.8</v>
      </c>
      <c r="AD753" s="158">
        <v>17.088000000000001</v>
      </c>
      <c r="AG753" s="11" t="s">
        <v>37</v>
      </c>
      <c r="AH753" s="189">
        <v>2.0799999999999999E-4</v>
      </c>
      <c r="AI753" s="189">
        <v>1.1720635239941999E-3</v>
      </c>
      <c r="AJ753" s="189">
        <v>2.5516448675442198E-4</v>
      </c>
    </row>
    <row r="754" spans="1:36">
      <c r="A754" s="11" t="s">
        <v>256</v>
      </c>
      <c r="B754" s="11">
        <v>7206</v>
      </c>
      <c r="C754" s="11" t="s">
        <v>1820</v>
      </c>
      <c r="D754" s="11" t="s">
        <v>1821</v>
      </c>
      <c r="E754" s="4" t="s">
        <v>1552</v>
      </c>
      <c r="F754" s="11" t="s">
        <v>2444</v>
      </c>
      <c r="G754" s="11" t="s">
        <v>2445</v>
      </c>
      <c r="H754" s="11" t="s">
        <v>511</v>
      </c>
      <c r="I754" s="11" t="s">
        <v>945</v>
      </c>
      <c r="J754" s="11" t="s">
        <v>31</v>
      </c>
      <c r="K754" s="11" t="s">
        <v>31</v>
      </c>
      <c r="L754" s="11" t="s">
        <v>517</v>
      </c>
      <c r="M754" s="11" t="s">
        <v>32</v>
      </c>
      <c r="N754" s="11" t="s">
        <v>652</v>
      </c>
      <c r="O754" s="11" t="s">
        <v>312</v>
      </c>
      <c r="P754" s="11" t="s">
        <v>2169</v>
      </c>
      <c r="Q754" s="11" t="s">
        <v>604</v>
      </c>
      <c r="R754" s="11" t="s">
        <v>596</v>
      </c>
      <c r="S754" s="11" t="s">
        <v>35</v>
      </c>
      <c r="T754" s="158">
        <v>2.4700000000000002</v>
      </c>
      <c r="U754" s="11" t="s">
        <v>110</v>
      </c>
      <c r="V754" s="174">
        <v>2.5999999999999999E-2</v>
      </c>
      <c r="W754" s="189">
        <v>2.6950000000000002E-2</v>
      </c>
      <c r="X754" s="4" t="s">
        <v>602</v>
      </c>
      <c r="Y754" s="4" t="s">
        <v>312</v>
      </c>
      <c r="Z754" s="158">
        <v>36000.99</v>
      </c>
      <c r="AA754" s="158">
        <v>1</v>
      </c>
      <c r="AB754" s="158">
        <v>115.09</v>
      </c>
      <c r="AD754" s="158">
        <v>41.433999999999997</v>
      </c>
      <c r="AG754" s="11" t="s">
        <v>37</v>
      </c>
      <c r="AH754" s="189">
        <v>1E-4</v>
      </c>
      <c r="AI754" s="189">
        <v>2.8419206571961499E-3</v>
      </c>
      <c r="AJ754" s="189">
        <v>6.1870129992530804E-4</v>
      </c>
    </row>
    <row r="755" spans="1:36">
      <c r="A755" s="11" t="s">
        <v>256</v>
      </c>
      <c r="B755" s="11">
        <v>7206</v>
      </c>
      <c r="C755" s="11" t="s">
        <v>1820</v>
      </c>
      <c r="D755" s="11" t="s">
        <v>1821</v>
      </c>
      <c r="E755" s="4" t="s">
        <v>1552</v>
      </c>
      <c r="F755" s="11" t="s">
        <v>2446</v>
      </c>
      <c r="G755" s="11" t="s">
        <v>2447</v>
      </c>
      <c r="H755" s="11" t="s">
        <v>511</v>
      </c>
      <c r="I755" s="11" t="s">
        <v>945</v>
      </c>
      <c r="J755" s="11" t="s">
        <v>31</v>
      </c>
      <c r="K755" s="11" t="s">
        <v>31</v>
      </c>
      <c r="L755" s="11" t="s">
        <v>517</v>
      </c>
      <c r="M755" s="11" t="s">
        <v>32</v>
      </c>
      <c r="N755" s="11" t="s">
        <v>652</v>
      </c>
      <c r="O755" s="11" t="s">
        <v>312</v>
      </c>
      <c r="P755" s="11" t="s">
        <v>2169</v>
      </c>
      <c r="Q755" s="11" t="s">
        <v>604</v>
      </c>
      <c r="R755" s="11" t="s">
        <v>596</v>
      </c>
      <c r="S755" s="11" t="s">
        <v>35</v>
      </c>
      <c r="T755" s="158">
        <v>1.988</v>
      </c>
      <c r="U755" s="11" t="s">
        <v>2198</v>
      </c>
      <c r="V755" s="174">
        <v>2.4E-2</v>
      </c>
      <c r="W755" s="189">
        <v>2.647E-2</v>
      </c>
      <c r="X755" s="4" t="s">
        <v>602</v>
      </c>
      <c r="Y755" s="4" t="s">
        <v>312</v>
      </c>
      <c r="Z755" s="158">
        <v>140000.18</v>
      </c>
      <c r="AA755" s="158">
        <v>1</v>
      </c>
      <c r="AB755" s="158">
        <v>114.25</v>
      </c>
      <c r="AD755" s="158">
        <v>159.94999999999999</v>
      </c>
      <c r="AG755" s="11" t="s">
        <v>37</v>
      </c>
      <c r="AH755" s="189">
        <v>2.43E-4</v>
      </c>
      <c r="AI755" s="189">
        <v>1.0970962178004201E-2</v>
      </c>
      <c r="AJ755" s="189">
        <v>2.3884370394982798E-3</v>
      </c>
    </row>
    <row r="756" spans="1:36">
      <c r="A756" s="11" t="s">
        <v>256</v>
      </c>
      <c r="B756" s="11">
        <v>7206</v>
      </c>
      <c r="C756" s="11" t="s">
        <v>1828</v>
      </c>
      <c r="D756" s="11" t="s">
        <v>1829</v>
      </c>
      <c r="E756" s="4" t="s">
        <v>1552</v>
      </c>
      <c r="F756" s="11" t="s">
        <v>2448</v>
      </c>
      <c r="G756" s="11" t="s">
        <v>2449</v>
      </c>
      <c r="H756" s="11" t="s">
        <v>511</v>
      </c>
      <c r="I756" s="11" t="s">
        <v>945</v>
      </c>
      <c r="J756" s="11" t="s">
        <v>31</v>
      </c>
      <c r="K756" s="11" t="s">
        <v>31</v>
      </c>
      <c r="L756" s="11" t="s">
        <v>517</v>
      </c>
      <c r="M756" s="11" t="s">
        <v>32</v>
      </c>
      <c r="N756" s="11" t="s">
        <v>652</v>
      </c>
      <c r="O756" s="11" t="s">
        <v>312</v>
      </c>
      <c r="P756" s="11" t="s">
        <v>2394</v>
      </c>
      <c r="Q756" s="11" t="s">
        <v>358</v>
      </c>
      <c r="R756" s="11" t="s">
        <v>596</v>
      </c>
      <c r="S756" s="11" t="s">
        <v>35</v>
      </c>
      <c r="T756" s="158">
        <v>1.956</v>
      </c>
      <c r="U756" s="11" t="s">
        <v>110</v>
      </c>
      <c r="V756" s="174">
        <v>1.4E-2</v>
      </c>
      <c r="W756" s="189">
        <v>2.5319999999999999E-2</v>
      </c>
      <c r="X756" s="4" t="s">
        <v>602</v>
      </c>
      <c r="Y756" s="4" t="s">
        <v>312</v>
      </c>
      <c r="Z756" s="158">
        <v>371400</v>
      </c>
      <c r="AA756" s="158">
        <v>1</v>
      </c>
      <c r="AB756" s="158">
        <v>111.84</v>
      </c>
      <c r="AD756" s="158">
        <v>415.37400000000002</v>
      </c>
      <c r="AG756" s="11" t="s">
        <v>37</v>
      </c>
      <c r="AH756" s="189">
        <v>4.6000000000000001E-4</v>
      </c>
      <c r="AI756" s="189">
        <v>2.8490427956479401E-2</v>
      </c>
      <c r="AJ756" s="189">
        <v>6.2025182749095601E-3</v>
      </c>
    </row>
    <row r="757" spans="1:36">
      <c r="A757" s="11" t="s">
        <v>256</v>
      </c>
      <c r="B757" s="11">
        <v>7206</v>
      </c>
      <c r="C757" s="11" t="s">
        <v>2450</v>
      </c>
      <c r="D757" s="11" t="s">
        <v>2451</v>
      </c>
      <c r="E757" s="4" t="s">
        <v>1552</v>
      </c>
      <c r="F757" s="11" t="s">
        <v>2452</v>
      </c>
      <c r="G757" s="11" t="s">
        <v>2453</v>
      </c>
      <c r="H757" s="11" t="s">
        <v>511</v>
      </c>
      <c r="I757" s="11" t="s">
        <v>945</v>
      </c>
      <c r="J757" s="11" t="s">
        <v>31</v>
      </c>
      <c r="K757" s="11" t="s">
        <v>31</v>
      </c>
      <c r="L757" s="11" t="s">
        <v>517</v>
      </c>
      <c r="M757" s="11" t="s">
        <v>32</v>
      </c>
      <c r="N757" s="11" t="s">
        <v>652</v>
      </c>
      <c r="O757" s="11" t="s">
        <v>312</v>
      </c>
      <c r="P757" s="11" t="s">
        <v>2327</v>
      </c>
      <c r="Q757" s="11" t="s">
        <v>358</v>
      </c>
      <c r="R757" s="11" t="s">
        <v>596</v>
      </c>
      <c r="S757" s="11" t="s">
        <v>35</v>
      </c>
      <c r="T757" s="158">
        <v>1.498</v>
      </c>
      <c r="U757" s="11" t="s">
        <v>2317</v>
      </c>
      <c r="V757" s="174">
        <v>1E-3</v>
      </c>
      <c r="W757" s="189">
        <v>2.086E-2</v>
      </c>
      <c r="X757" s="4" t="s">
        <v>602</v>
      </c>
      <c r="Y757" s="4" t="s">
        <v>312</v>
      </c>
      <c r="Z757" s="158">
        <v>100000</v>
      </c>
      <c r="AA757" s="158">
        <v>1</v>
      </c>
      <c r="AB757" s="158">
        <v>110.23</v>
      </c>
      <c r="AD757" s="158">
        <v>110.23</v>
      </c>
      <c r="AG757" s="11" t="s">
        <v>37</v>
      </c>
      <c r="AH757" s="189">
        <v>1.74E-4</v>
      </c>
      <c r="AI757" s="189">
        <v>7.5606602440239003E-3</v>
      </c>
      <c r="AJ757" s="189">
        <v>1.64599610106156E-3</v>
      </c>
    </row>
    <row r="758" spans="1:36">
      <c r="A758" s="11" t="s">
        <v>256</v>
      </c>
      <c r="B758" s="11">
        <v>7206</v>
      </c>
      <c r="C758" s="11" t="s">
        <v>2450</v>
      </c>
      <c r="D758" s="11" t="s">
        <v>2451</v>
      </c>
      <c r="E758" s="4" t="s">
        <v>1552</v>
      </c>
      <c r="F758" s="11" t="s">
        <v>2454</v>
      </c>
      <c r="G758" s="11" t="s">
        <v>2455</v>
      </c>
      <c r="H758" s="11" t="s">
        <v>511</v>
      </c>
      <c r="I758" s="11" t="s">
        <v>945</v>
      </c>
      <c r="J758" s="11" t="s">
        <v>31</v>
      </c>
      <c r="K758" s="11" t="s">
        <v>31</v>
      </c>
      <c r="L758" s="11" t="s">
        <v>517</v>
      </c>
      <c r="M758" s="11" t="s">
        <v>32</v>
      </c>
      <c r="N758" s="11" t="s">
        <v>652</v>
      </c>
      <c r="O758" s="11" t="s">
        <v>312</v>
      </c>
      <c r="P758" s="11" t="s">
        <v>2327</v>
      </c>
      <c r="Q758" s="11" t="s">
        <v>358</v>
      </c>
      <c r="R758" s="11" t="s">
        <v>596</v>
      </c>
      <c r="S758" s="11" t="s">
        <v>35</v>
      </c>
      <c r="T758" s="158">
        <v>2.7330000000000001</v>
      </c>
      <c r="U758" s="11" t="s">
        <v>110</v>
      </c>
      <c r="V758" s="174">
        <v>3.0000000000000001E-3</v>
      </c>
      <c r="W758" s="189">
        <v>3.356E-2</v>
      </c>
      <c r="X758" s="4" t="s">
        <v>602</v>
      </c>
      <c r="Y758" s="4" t="s">
        <v>312</v>
      </c>
      <c r="Z758" s="158">
        <v>84000</v>
      </c>
      <c r="AA758" s="158">
        <v>1</v>
      </c>
      <c r="AB758" s="158">
        <v>101.03</v>
      </c>
      <c r="AD758" s="158">
        <v>84.864999999999995</v>
      </c>
      <c r="AG758" s="11" t="s">
        <v>37</v>
      </c>
      <c r="AH758" s="189">
        <v>1.65E-4</v>
      </c>
      <c r="AI758" s="189">
        <v>5.8208921685669697E-3</v>
      </c>
      <c r="AJ758" s="189">
        <v>1.2672393025112E-3</v>
      </c>
    </row>
    <row r="759" spans="1:36">
      <c r="A759" s="11" t="s">
        <v>256</v>
      </c>
      <c r="B759" s="11">
        <v>7206</v>
      </c>
      <c r="C759" s="11" t="s">
        <v>2450</v>
      </c>
      <c r="D759" s="11" t="s">
        <v>2451</v>
      </c>
      <c r="E759" s="4" t="s">
        <v>1552</v>
      </c>
      <c r="F759" s="11" t="s">
        <v>2456</v>
      </c>
      <c r="G759" s="11" t="s">
        <v>2457</v>
      </c>
      <c r="H759" s="11" t="s">
        <v>511</v>
      </c>
      <c r="I759" s="11" t="s">
        <v>945</v>
      </c>
      <c r="J759" s="11" t="s">
        <v>31</v>
      </c>
      <c r="K759" s="11" t="s">
        <v>31</v>
      </c>
      <c r="L759" s="11" t="s">
        <v>517</v>
      </c>
      <c r="M759" s="11" t="s">
        <v>32</v>
      </c>
      <c r="N759" s="11" t="s">
        <v>652</v>
      </c>
      <c r="O759" s="11" t="s">
        <v>312</v>
      </c>
      <c r="P759" s="11" t="s">
        <v>2327</v>
      </c>
      <c r="Q759" s="11" t="s">
        <v>358</v>
      </c>
      <c r="R759" s="11" t="s">
        <v>596</v>
      </c>
      <c r="S759" s="11" t="s">
        <v>35</v>
      </c>
      <c r="T759" s="158">
        <v>2.2389999999999999</v>
      </c>
      <c r="U759" s="11" t="s">
        <v>2198</v>
      </c>
      <c r="V759" s="174">
        <v>3.0000000000000001E-3</v>
      </c>
      <c r="W759" s="189">
        <v>3.2349999999999997E-2</v>
      </c>
      <c r="X759" s="4" t="s">
        <v>602</v>
      </c>
      <c r="Y759" s="4" t="s">
        <v>312</v>
      </c>
      <c r="Z759" s="158">
        <v>75000</v>
      </c>
      <c r="AA759" s="158">
        <v>1</v>
      </c>
      <c r="AB759" s="158">
        <v>98.78</v>
      </c>
      <c r="AD759" s="158">
        <v>74.084999999999994</v>
      </c>
      <c r="AG759" s="11" t="s">
        <v>37</v>
      </c>
      <c r="AH759" s="189">
        <v>1.8200000000000001E-4</v>
      </c>
      <c r="AI759" s="189">
        <v>5.0814797621202097E-3</v>
      </c>
      <c r="AJ759" s="189">
        <v>1.1062652739467101E-3</v>
      </c>
    </row>
    <row r="760" spans="1:36">
      <c r="A760" s="11" t="s">
        <v>256</v>
      </c>
      <c r="B760" s="11">
        <v>7206</v>
      </c>
      <c r="C760" s="11" t="s">
        <v>2450</v>
      </c>
      <c r="D760" s="11" t="s">
        <v>2451</v>
      </c>
      <c r="E760" s="4" t="s">
        <v>1552</v>
      </c>
      <c r="F760" s="11" t="s">
        <v>2458</v>
      </c>
      <c r="G760" s="11" t="s">
        <v>2459</v>
      </c>
      <c r="H760" s="11" t="s">
        <v>511</v>
      </c>
      <c r="I760" s="11" t="s">
        <v>945</v>
      </c>
      <c r="J760" s="11" t="s">
        <v>31</v>
      </c>
      <c r="K760" s="11" t="s">
        <v>31</v>
      </c>
      <c r="L760" s="11" t="s">
        <v>517</v>
      </c>
      <c r="M760" s="11" t="s">
        <v>32</v>
      </c>
      <c r="N760" s="11" t="s">
        <v>652</v>
      </c>
      <c r="O760" s="11" t="s">
        <v>312</v>
      </c>
      <c r="P760" s="11" t="s">
        <v>2327</v>
      </c>
      <c r="Q760" s="11" t="s">
        <v>358</v>
      </c>
      <c r="R760" s="11" t="s">
        <v>596</v>
      </c>
      <c r="S760" s="11" t="s">
        <v>35</v>
      </c>
      <c r="T760" s="158">
        <v>2.4910000000000001</v>
      </c>
      <c r="U760" s="11" t="s">
        <v>2333</v>
      </c>
      <c r="V760" s="174">
        <v>3.0000000000000001E-3</v>
      </c>
      <c r="W760" s="189">
        <v>3.322E-2</v>
      </c>
      <c r="X760" s="4" t="s">
        <v>602</v>
      </c>
      <c r="Y760" s="4" t="s">
        <v>312</v>
      </c>
      <c r="Z760" s="158">
        <v>2000</v>
      </c>
      <c r="AA760" s="158">
        <v>1</v>
      </c>
      <c r="AB760" s="158">
        <v>94.71</v>
      </c>
      <c r="AD760" s="158">
        <v>1.8939999999999999</v>
      </c>
      <c r="AG760" s="11" t="s">
        <v>37</v>
      </c>
      <c r="AH760" s="189">
        <v>6.9999999999999999E-6</v>
      </c>
      <c r="AI760" s="189">
        <v>1.2992291240343E-4</v>
      </c>
      <c r="AJ760" s="189">
        <v>2.8284911681310102E-5</v>
      </c>
    </row>
    <row r="761" spans="1:36">
      <c r="A761" s="11" t="s">
        <v>256</v>
      </c>
      <c r="B761" s="11">
        <v>7206</v>
      </c>
      <c r="C761" s="11" t="s">
        <v>2460</v>
      </c>
      <c r="D761" s="11" t="s">
        <v>2461</v>
      </c>
      <c r="E761" s="4" t="s">
        <v>1552</v>
      </c>
      <c r="F761" s="11" t="s">
        <v>2462</v>
      </c>
      <c r="G761" s="11" t="s">
        <v>2463</v>
      </c>
      <c r="H761" s="11" t="s">
        <v>511</v>
      </c>
      <c r="I761" s="11" t="s">
        <v>945</v>
      </c>
      <c r="J761" s="11" t="s">
        <v>31</v>
      </c>
      <c r="K761" s="11" t="s">
        <v>31</v>
      </c>
      <c r="L761" s="11" t="s">
        <v>517</v>
      </c>
      <c r="M761" s="11" t="s">
        <v>32</v>
      </c>
      <c r="N761" s="11" t="s">
        <v>636</v>
      </c>
      <c r="O761" s="11" t="s">
        <v>312</v>
      </c>
      <c r="P761" s="11" t="s">
        <v>157</v>
      </c>
      <c r="Q761" s="11" t="s">
        <v>604</v>
      </c>
      <c r="R761" s="11" t="s">
        <v>596</v>
      </c>
      <c r="S761" s="11" t="s">
        <v>35</v>
      </c>
      <c r="T761" s="158">
        <v>3.1680000000000001</v>
      </c>
      <c r="U761" s="11" t="s">
        <v>2464</v>
      </c>
      <c r="V761" s="174">
        <v>1.2200000000000001E-2</v>
      </c>
      <c r="W761" s="189">
        <v>2.3429999999999999E-2</v>
      </c>
      <c r="X761" s="4" t="s">
        <v>602</v>
      </c>
      <c r="Y761" s="4" t="s">
        <v>312</v>
      </c>
      <c r="Z761" s="158">
        <v>25000</v>
      </c>
      <c r="AA761" s="158">
        <v>1</v>
      </c>
      <c r="AB761" s="158">
        <v>111.52</v>
      </c>
      <c r="AD761" s="158">
        <v>27.88</v>
      </c>
      <c r="AG761" s="11" t="s">
        <v>37</v>
      </c>
      <c r="AH761" s="189">
        <v>7.9999999999999996E-6</v>
      </c>
      <c r="AI761" s="189">
        <v>1.91228529078641E-3</v>
      </c>
      <c r="AJ761" s="189">
        <v>4.1631471738724801E-4</v>
      </c>
    </row>
    <row r="762" spans="1:36">
      <c r="A762" s="11" t="s">
        <v>256</v>
      </c>
      <c r="B762" s="11">
        <v>7206</v>
      </c>
      <c r="C762" s="11" t="s">
        <v>2460</v>
      </c>
      <c r="D762" s="11" t="s">
        <v>2461</v>
      </c>
      <c r="E762" s="4" t="s">
        <v>1552</v>
      </c>
      <c r="F762" s="11" t="s">
        <v>2465</v>
      </c>
      <c r="G762" s="11" t="s">
        <v>2466</v>
      </c>
      <c r="H762" s="11" t="s">
        <v>511</v>
      </c>
      <c r="I762" s="11" t="s">
        <v>945</v>
      </c>
      <c r="J762" s="11" t="s">
        <v>31</v>
      </c>
      <c r="K762" s="11" t="s">
        <v>31</v>
      </c>
      <c r="L762" s="11" t="s">
        <v>517</v>
      </c>
      <c r="M762" s="11" t="s">
        <v>32</v>
      </c>
      <c r="N762" s="11" t="s">
        <v>636</v>
      </c>
      <c r="O762" s="11" t="s">
        <v>312</v>
      </c>
      <c r="P762" s="11" t="s">
        <v>157</v>
      </c>
      <c r="Q762" s="11" t="s">
        <v>604</v>
      </c>
      <c r="R762" s="11" t="s">
        <v>596</v>
      </c>
      <c r="S762" s="11" t="s">
        <v>35</v>
      </c>
      <c r="T762" s="158">
        <v>4.2990000000000004</v>
      </c>
      <c r="U762" s="11" t="s">
        <v>2467</v>
      </c>
      <c r="V762" s="174">
        <v>1E-3</v>
      </c>
      <c r="W762" s="189">
        <v>2.529E-2</v>
      </c>
      <c r="X762" s="4" t="s">
        <v>602</v>
      </c>
      <c r="Y762" s="4" t="s">
        <v>312</v>
      </c>
      <c r="Z762" s="158">
        <v>157000</v>
      </c>
      <c r="AA762" s="158">
        <v>1</v>
      </c>
      <c r="AB762" s="158">
        <v>99.99</v>
      </c>
      <c r="AD762" s="158">
        <v>156.98400000000001</v>
      </c>
      <c r="AG762" s="11" t="s">
        <v>37</v>
      </c>
      <c r="AH762" s="189">
        <v>4.6E-5</v>
      </c>
      <c r="AI762" s="189">
        <v>1.0767531125337199E-2</v>
      </c>
      <c r="AJ762" s="189">
        <v>2.3441490132257901E-3</v>
      </c>
    </row>
    <row r="763" spans="1:36">
      <c r="A763" s="11" t="s">
        <v>256</v>
      </c>
      <c r="B763" s="11">
        <v>7206</v>
      </c>
      <c r="C763" s="11" t="s">
        <v>2460</v>
      </c>
      <c r="D763" s="11" t="s">
        <v>2461</v>
      </c>
      <c r="E763" s="4" t="s">
        <v>1552</v>
      </c>
      <c r="F763" s="11" t="s">
        <v>2468</v>
      </c>
      <c r="G763" s="11" t="s">
        <v>2469</v>
      </c>
      <c r="H763" s="11" t="s">
        <v>511</v>
      </c>
      <c r="I763" s="11" t="s">
        <v>945</v>
      </c>
      <c r="J763" s="11" t="s">
        <v>31</v>
      </c>
      <c r="K763" s="11" t="s">
        <v>31</v>
      </c>
      <c r="L763" s="11" t="s">
        <v>517</v>
      </c>
      <c r="M763" s="11" t="s">
        <v>32</v>
      </c>
      <c r="N763" s="11" t="s">
        <v>636</v>
      </c>
      <c r="O763" s="11" t="s">
        <v>312</v>
      </c>
      <c r="P763" s="11" t="s">
        <v>157</v>
      </c>
      <c r="Q763" s="11" t="s">
        <v>604</v>
      </c>
      <c r="R763" s="11" t="s">
        <v>596</v>
      </c>
      <c r="S763" s="11" t="s">
        <v>35</v>
      </c>
      <c r="T763" s="158">
        <v>4.6559999999999997</v>
      </c>
      <c r="U763" s="11" t="s">
        <v>2470</v>
      </c>
      <c r="V763" s="174">
        <v>2.06E-2</v>
      </c>
      <c r="W763" s="189">
        <v>2.554E-2</v>
      </c>
      <c r="X763" s="4" t="s">
        <v>602</v>
      </c>
      <c r="Y763" s="4" t="s">
        <v>312</v>
      </c>
      <c r="Z763" s="158">
        <v>51300</v>
      </c>
      <c r="AA763" s="158">
        <v>1</v>
      </c>
      <c r="AB763" s="158">
        <v>100.67</v>
      </c>
      <c r="AD763" s="158">
        <v>51.643999999999998</v>
      </c>
      <c r="AG763" s="11" t="s">
        <v>37</v>
      </c>
      <c r="AH763" s="189">
        <v>2.8E-5</v>
      </c>
      <c r="AI763" s="189">
        <v>3.5422348276412901E-3</v>
      </c>
      <c r="AJ763" s="189">
        <v>7.7116343376897403E-4</v>
      </c>
    </row>
    <row r="764" spans="1:36">
      <c r="A764" s="11" t="s">
        <v>256</v>
      </c>
      <c r="B764" s="11">
        <v>7206</v>
      </c>
      <c r="C764" s="11" t="s">
        <v>2460</v>
      </c>
      <c r="D764" s="11" t="s">
        <v>2461</v>
      </c>
      <c r="E764" s="4" t="s">
        <v>1552</v>
      </c>
      <c r="F764" s="11" t="s">
        <v>2471</v>
      </c>
      <c r="G764" s="11" t="s">
        <v>2472</v>
      </c>
      <c r="H764" s="11" t="s">
        <v>511</v>
      </c>
      <c r="I764" s="11" t="s">
        <v>945</v>
      </c>
      <c r="J764" s="11" t="s">
        <v>31</v>
      </c>
      <c r="K764" s="11" t="s">
        <v>31</v>
      </c>
      <c r="L764" s="11" t="s">
        <v>517</v>
      </c>
      <c r="M764" s="11" t="s">
        <v>32</v>
      </c>
      <c r="N764" s="11" t="s">
        <v>636</v>
      </c>
      <c r="O764" s="11" t="s">
        <v>312</v>
      </c>
      <c r="P764" s="11" t="s">
        <v>357</v>
      </c>
      <c r="Q764" s="11" t="s">
        <v>358</v>
      </c>
      <c r="R764" s="11" t="s">
        <v>596</v>
      </c>
      <c r="S764" s="11" t="s">
        <v>35</v>
      </c>
      <c r="T764" s="158">
        <v>4.6280000000000001</v>
      </c>
      <c r="U764" s="11" t="s">
        <v>2473</v>
      </c>
      <c r="V764" s="174">
        <v>1.9900000000000001E-2</v>
      </c>
      <c r="W764" s="189">
        <v>2.571E-2</v>
      </c>
      <c r="X764" s="4" t="s">
        <v>602</v>
      </c>
      <c r="Y764" s="4" t="s">
        <v>312</v>
      </c>
      <c r="Z764" s="158">
        <v>140000</v>
      </c>
      <c r="AA764" s="158">
        <v>1</v>
      </c>
      <c r="AB764" s="158">
        <v>100.23</v>
      </c>
      <c r="AD764" s="158">
        <v>140.322</v>
      </c>
      <c r="AG764" s="11" t="s">
        <v>37</v>
      </c>
      <c r="AH764" s="189">
        <v>5.1999999999999997E-5</v>
      </c>
      <c r="AI764" s="189">
        <v>9.6246663046532007E-3</v>
      </c>
      <c r="AJ764" s="189">
        <v>2.09534124007222E-3</v>
      </c>
    </row>
    <row r="765" spans="1:36">
      <c r="A765" s="11" t="s">
        <v>256</v>
      </c>
      <c r="B765" s="11">
        <v>7206</v>
      </c>
      <c r="C765" s="11" t="s">
        <v>2460</v>
      </c>
      <c r="D765" s="11" t="s">
        <v>2461</v>
      </c>
      <c r="E765" s="4" t="s">
        <v>1552</v>
      </c>
      <c r="F765" s="11" t="s">
        <v>2474</v>
      </c>
      <c r="G765" s="11" t="s">
        <v>2475</v>
      </c>
      <c r="H765" s="11" t="s">
        <v>511</v>
      </c>
      <c r="I765" s="11" t="s">
        <v>1154</v>
      </c>
      <c r="J765" s="11" t="s">
        <v>31</v>
      </c>
      <c r="K765" s="11" t="s">
        <v>31</v>
      </c>
      <c r="L765" s="11" t="s">
        <v>517</v>
      </c>
      <c r="M765" s="11" t="s">
        <v>32</v>
      </c>
      <c r="N765" s="11" t="s">
        <v>636</v>
      </c>
      <c r="O765" s="11" t="s">
        <v>312</v>
      </c>
      <c r="P765" s="11" t="s">
        <v>157</v>
      </c>
      <c r="Q765" s="11" t="s">
        <v>604</v>
      </c>
      <c r="R765" s="11" t="s">
        <v>596</v>
      </c>
      <c r="S765" s="11" t="s">
        <v>35</v>
      </c>
      <c r="T765" s="158">
        <v>0.17799999999999999</v>
      </c>
      <c r="U765" s="11" t="s">
        <v>243</v>
      </c>
      <c r="V765" s="174">
        <v>1.09E-2</v>
      </c>
      <c r="W765" s="189">
        <v>4.7379999999999999E-2</v>
      </c>
      <c r="X765" s="4" t="s">
        <v>602</v>
      </c>
      <c r="Y765" s="4" t="s">
        <v>312</v>
      </c>
      <c r="Z765" s="158">
        <v>38000</v>
      </c>
      <c r="AA765" s="158">
        <v>1</v>
      </c>
      <c r="AB765" s="158">
        <v>100.26</v>
      </c>
      <c r="AD765" s="158">
        <v>38.098999999999997</v>
      </c>
      <c r="AG765" s="11" t="s">
        <v>37</v>
      </c>
      <c r="AH765" s="189">
        <v>5.0000000000000002E-5</v>
      </c>
      <c r="AI765" s="189">
        <v>2.6131913499502701E-3</v>
      </c>
      <c r="AJ765" s="189">
        <v>5.6890570856503897E-4</v>
      </c>
    </row>
    <row r="766" spans="1:36">
      <c r="A766" s="11" t="s">
        <v>256</v>
      </c>
      <c r="B766" s="11">
        <v>7206</v>
      </c>
      <c r="C766" s="11" t="s">
        <v>2460</v>
      </c>
      <c r="D766" s="11" t="s">
        <v>2461</v>
      </c>
      <c r="E766" s="4" t="s">
        <v>1552</v>
      </c>
      <c r="F766" s="11" t="s">
        <v>2476</v>
      </c>
      <c r="G766" s="11" t="s">
        <v>2477</v>
      </c>
      <c r="H766" s="11" t="s">
        <v>511</v>
      </c>
      <c r="I766" s="11" t="s">
        <v>945</v>
      </c>
      <c r="J766" s="11" t="s">
        <v>31</v>
      </c>
      <c r="K766" s="11" t="s">
        <v>31</v>
      </c>
      <c r="L766" s="11" t="s">
        <v>517</v>
      </c>
      <c r="M766" s="11" t="s">
        <v>32</v>
      </c>
      <c r="N766" s="11" t="s">
        <v>636</v>
      </c>
      <c r="O766" s="11" t="s">
        <v>312</v>
      </c>
      <c r="P766" s="11" t="s">
        <v>157</v>
      </c>
      <c r="Q766" s="11" t="s">
        <v>604</v>
      </c>
      <c r="R766" s="11" t="s">
        <v>596</v>
      </c>
      <c r="S766" s="11" t="s">
        <v>35</v>
      </c>
      <c r="T766" s="158">
        <v>2.4089999999999998</v>
      </c>
      <c r="U766" s="11" t="s">
        <v>2478</v>
      </c>
      <c r="V766" s="174">
        <v>5.0000000000000001E-3</v>
      </c>
      <c r="W766" s="189">
        <v>2.0039999999999999E-2</v>
      </c>
      <c r="X766" s="4" t="s">
        <v>602</v>
      </c>
      <c r="Y766" s="4" t="s">
        <v>312</v>
      </c>
      <c r="Z766" s="158">
        <v>27000</v>
      </c>
      <c r="AA766" s="158">
        <v>1</v>
      </c>
      <c r="AB766" s="158">
        <v>108.28</v>
      </c>
      <c r="AD766" s="158">
        <v>29.236000000000001</v>
      </c>
      <c r="AG766" s="11" t="s">
        <v>37</v>
      </c>
      <c r="AH766" s="189">
        <v>3.4999999999999997E-5</v>
      </c>
      <c r="AI766" s="189">
        <v>2.0052657047100199E-3</v>
      </c>
      <c r="AJ766" s="189">
        <v>4.3655704991559001E-4</v>
      </c>
    </row>
    <row r="767" spans="1:36">
      <c r="A767" s="11" t="s">
        <v>256</v>
      </c>
      <c r="B767" s="11">
        <v>7206</v>
      </c>
      <c r="C767" s="11" t="s">
        <v>2460</v>
      </c>
      <c r="D767" s="11" t="s">
        <v>2461</v>
      </c>
      <c r="E767" s="4" t="s">
        <v>1552</v>
      </c>
      <c r="F767" s="11" t="s">
        <v>2479</v>
      </c>
      <c r="G767" s="11" t="s">
        <v>2480</v>
      </c>
      <c r="H767" s="11" t="s">
        <v>511</v>
      </c>
      <c r="I767" s="11" t="s">
        <v>945</v>
      </c>
      <c r="J767" s="11" t="s">
        <v>31</v>
      </c>
      <c r="K767" s="11" t="s">
        <v>31</v>
      </c>
      <c r="L767" s="11" t="s">
        <v>517</v>
      </c>
      <c r="M767" s="11" t="s">
        <v>32</v>
      </c>
      <c r="N767" s="11" t="s">
        <v>636</v>
      </c>
      <c r="O767" s="11" t="s">
        <v>312</v>
      </c>
      <c r="P767" s="11" t="s">
        <v>157</v>
      </c>
      <c r="Q767" s="11" t="s">
        <v>604</v>
      </c>
      <c r="R767" s="11" t="s">
        <v>596</v>
      </c>
      <c r="S767" s="11" t="s">
        <v>35</v>
      </c>
      <c r="T767" s="158">
        <v>0.66600000000000004</v>
      </c>
      <c r="U767" s="11" t="s">
        <v>2481</v>
      </c>
      <c r="V767" s="174">
        <v>9.4999999999999998E-3</v>
      </c>
      <c r="W767" s="189">
        <v>2.8910000000000002E-2</v>
      </c>
      <c r="X767" s="4" t="s">
        <v>602</v>
      </c>
      <c r="Y767" s="4" t="s">
        <v>312</v>
      </c>
      <c r="Z767" s="158">
        <v>68000.009999999995</v>
      </c>
      <c r="AA767" s="158">
        <v>1</v>
      </c>
      <c r="AB767" s="158">
        <v>113.35</v>
      </c>
      <c r="AD767" s="158">
        <v>77.078000000000003</v>
      </c>
      <c r="AG767" s="11" t="s">
        <v>37</v>
      </c>
      <c r="AH767" s="189">
        <v>4.2299999999999998E-4</v>
      </c>
      <c r="AI767" s="189">
        <v>5.2867699899206899E-3</v>
      </c>
      <c r="AJ767" s="189">
        <v>1.1509580525717899E-3</v>
      </c>
    </row>
    <row r="768" spans="1:36">
      <c r="A768" s="11" t="s">
        <v>256</v>
      </c>
      <c r="B768" s="11">
        <v>7206</v>
      </c>
      <c r="C768" s="11" t="s">
        <v>2460</v>
      </c>
      <c r="D768" s="11" t="s">
        <v>2461</v>
      </c>
      <c r="E768" s="4" t="s">
        <v>1552</v>
      </c>
      <c r="F768" s="11" t="s">
        <v>2482</v>
      </c>
      <c r="G768" s="11" t="s">
        <v>2483</v>
      </c>
      <c r="H768" s="11" t="s">
        <v>511</v>
      </c>
      <c r="I768" s="11" t="s">
        <v>1154</v>
      </c>
      <c r="J768" s="11" t="s">
        <v>31</v>
      </c>
      <c r="K768" s="11" t="s">
        <v>31</v>
      </c>
      <c r="L768" s="11" t="s">
        <v>517</v>
      </c>
      <c r="M768" s="11" t="s">
        <v>32</v>
      </c>
      <c r="N768" s="11" t="s">
        <v>636</v>
      </c>
      <c r="O768" s="11" t="s">
        <v>312</v>
      </c>
      <c r="P768" s="11" t="s">
        <v>157</v>
      </c>
      <c r="Q768" s="11" t="s">
        <v>604</v>
      </c>
      <c r="R768" s="11" t="s">
        <v>596</v>
      </c>
      <c r="S768" s="11" t="s">
        <v>35</v>
      </c>
      <c r="T768" s="158">
        <v>0.93400000000000005</v>
      </c>
      <c r="U768" s="11" t="s">
        <v>2484</v>
      </c>
      <c r="V768" s="174">
        <v>2.98E-2</v>
      </c>
      <c r="W768" s="189">
        <v>4.4900000000000002E-2</v>
      </c>
      <c r="X768" s="4" t="s">
        <v>602</v>
      </c>
      <c r="Y768" s="4" t="s">
        <v>312</v>
      </c>
      <c r="Z768" s="158">
        <v>130000</v>
      </c>
      <c r="AA768" s="158">
        <v>1</v>
      </c>
      <c r="AB768" s="158">
        <v>98.82</v>
      </c>
      <c r="AD768" s="158">
        <v>128.46600000000001</v>
      </c>
      <c r="AG768" s="11" t="s">
        <v>37</v>
      </c>
      <c r="AH768" s="189">
        <v>5.1E-5</v>
      </c>
      <c r="AI768" s="189">
        <v>8.8114649270504795E-3</v>
      </c>
      <c r="AJ768" s="189">
        <v>1.91830295853193E-3</v>
      </c>
    </row>
    <row r="769" spans="1:36">
      <c r="A769" s="11" t="s">
        <v>256</v>
      </c>
      <c r="B769" s="11">
        <v>7206</v>
      </c>
      <c r="C769" s="11" t="s">
        <v>2460</v>
      </c>
      <c r="D769" s="11" t="s">
        <v>2461</v>
      </c>
      <c r="E769" s="4" t="s">
        <v>1552</v>
      </c>
      <c r="F769" s="11" t="s">
        <v>2485</v>
      </c>
      <c r="G769" s="11" t="s">
        <v>2486</v>
      </c>
      <c r="H769" s="11" t="s">
        <v>511</v>
      </c>
      <c r="I769" s="11" t="s">
        <v>945</v>
      </c>
      <c r="J769" s="11" t="s">
        <v>31</v>
      </c>
      <c r="K769" s="11" t="s">
        <v>31</v>
      </c>
      <c r="L769" s="11" t="s">
        <v>517</v>
      </c>
      <c r="M769" s="11" t="s">
        <v>32</v>
      </c>
      <c r="N769" s="11" t="s">
        <v>636</v>
      </c>
      <c r="O769" s="11" t="s">
        <v>312</v>
      </c>
      <c r="P769" s="11" t="s">
        <v>157</v>
      </c>
      <c r="Q769" s="11" t="s">
        <v>604</v>
      </c>
      <c r="R769" s="11" t="s">
        <v>596</v>
      </c>
      <c r="S769" s="11" t="s">
        <v>35</v>
      </c>
      <c r="T769" s="158">
        <v>3.73</v>
      </c>
      <c r="U769" s="11" t="s">
        <v>2487</v>
      </c>
      <c r="V769" s="174">
        <v>1.6400000000000001E-2</v>
      </c>
      <c r="W769" s="189">
        <v>2.4680000000000001E-2</v>
      </c>
      <c r="X769" s="4" t="s">
        <v>602</v>
      </c>
      <c r="Y769" s="4" t="s">
        <v>312</v>
      </c>
      <c r="Z769" s="158">
        <v>96890.1</v>
      </c>
      <c r="AA769" s="158">
        <v>1</v>
      </c>
      <c r="AB769" s="158">
        <v>102.97</v>
      </c>
      <c r="AD769" s="158">
        <v>99.768000000000001</v>
      </c>
      <c r="AG769" s="11" t="s">
        <v>37</v>
      </c>
      <c r="AH769" s="189">
        <v>9.0000000000000006E-5</v>
      </c>
      <c r="AI769" s="189">
        <v>6.8430550211798303E-3</v>
      </c>
      <c r="AJ769" s="189">
        <v>1.4897696127946999E-3</v>
      </c>
    </row>
    <row r="770" spans="1:36">
      <c r="A770" s="11" t="s">
        <v>256</v>
      </c>
      <c r="B770" s="11">
        <v>7206</v>
      </c>
      <c r="C770" s="11" t="s">
        <v>2460</v>
      </c>
      <c r="D770" s="11" t="s">
        <v>2461</v>
      </c>
      <c r="E770" s="4" t="s">
        <v>1552</v>
      </c>
      <c r="F770" s="11" t="s">
        <v>2488</v>
      </c>
      <c r="G770" s="11" t="s">
        <v>2489</v>
      </c>
      <c r="H770" s="11" t="s">
        <v>511</v>
      </c>
      <c r="I770" s="11" t="s">
        <v>945</v>
      </c>
      <c r="J770" s="11" t="s">
        <v>31</v>
      </c>
      <c r="K770" s="11" t="s">
        <v>31</v>
      </c>
      <c r="L770" s="11" t="s">
        <v>517</v>
      </c>
      <c r="M770" s="11" t="s">
        <v>32</v>
      </c>
      <c r="N770" s="11" t="s">
        <v>636</v>
      </c>
      <c r="O770" s="11" t="s">
        <v>312</v>
      </c>
      <c r="P770" s="11" t="s">
        <v>157</v>
      </c>
      <c r="Q770" s="11" t="s">
        <v>604</v>
      </c>
      <c r="R770" s="11" t="s">
        <v>596</v>
      </c>
      <c r="S770" s="11" t="s">
        <v>35</v>
      </c>
      <c r="T770" s="158">
        <v>0.24399999999999999</v>
      </c>
      <c r="U770" s="11" t="s">
        <v>2490</v>
      </c>
      <c r="V770" s="174">
        <v>8.6E-3</v>
      </c>
      <c r="W770" s="189">
        <v>2.4969999999999999E-2</v>
      </c>
      <c r="X770" s="4" t="s">
        <v>602</v>
      </c>
      <c r="Y770" s="4" t="s">
        <v>312</v>
      </c>
      <c r="Z770" s="158">
        <v>457000</v>
      </c>
      <c r="AA770" s="158">
        <v>1</v>
      </c>
      <c r="AB770" s="158">
        <v>114.94</v>
      </c>
      <c r="AD770" s="158">
        <v>525.27599999999995</v>
      </c>
      <c r="AG770" s="11" t="s">
        <v>37</v>
      </c>
      <c r="AH770" s="189">
        <v>1.83E-4</v>
      </c>
      <c r="AI770" s="189">
        <v>3.6028593470088403E-2</v>
      </c>
      <c r="AJ770" s="189">
        <v>7.8436171530617202E-3</v>
      </c>
    </row>
    <row r="771" spans="1:36">
      <c r="A771" s="11" t="s">
        <v>256</v>
      </c>
      <c r="B771" s="11">
        <v>7206</v>
      </c>
      <c r="C771" s="11" t="s">
        <v>2460</v>
      </c>
      <c r="D771" s="11" t="s">
        <v>2461</v>
      </c>
      <c r="E771" s="4" t="s">
        <v>1552</v>
      </c>
      <c r="F771" s="11" t="s">
        <v>2491</v>
      </c>
      <c r="G771" s="11" t="s">
        <v>2492</v>
      </c>
      <c r="H771" s="11" t="s">
        <v>511</v>
      </c>
      <c r="I771" s="11" t="s">
        <v>945</v>
      </c>
      <c r="J771" s="11" t="s">
        <v>31</v>
      </c>
      <c r="K771" s="11" t="s">
        <v>31</v>
      </c>
      <c r="L771" s="11" t="s">
        <v>517</v>
      </c>
      <c r="M771" s="11" t="s">
        <v>32</v>
      </c>
      <c r="N771" s="11" t="s">
        <v>636</v>
      </c>
      <c r="O771" s="11" t="s">
        <v>312</v>
      </c>
      <c r="P771" s="11" t="s">
        <v>157</v>
      </c>
      <c r="Q771" s="11" t="s">
        <v>604</v>
      </c>
      <c r="R771" s="11" t="s">
        <v>596</v>
      </c>
      <c r="S771" s="11" t="s">
        <v>35</v>
      </c>
      <c r="T771" s="158">
        <v>1.9710000000000001</v>
      </c>
      <c r="U771" s="11" t="s">
        <v>2493</v>
      </c>
      <c r="V771" s="174">
        <v>3.8E-3</v>
      </c>
      <c r="W771" s="189">
        <v>2.087E-2</v>
      </c>
      <c r="X771" s="4" t="s">
        <v>602</v>
      </c>
      <c r="Y771" s="4" t="s">
        <v>312</v>
      </c>
      <c r="Z771" s="158">
        <v>150600</v>
      </c>
      <c r="AA771" s="158">
        <v>1</v>
      </c>
      <c r="AB771" s="158">
        <v>107.97</v>
      </c>
      <c r="AD771" s="158">
        <v>162.60300000000001</v>
      </c>
      <c r="AG771" s="11" t="s">
        <v>37</v>
      </c>
      <c r="AH771" s="189">
        <v>5.0000000000000002E-5</v>
      </c>
      <c r="AI771" s="189">
        <v>1.1152904624332501E-2</v>
      </c>
      <c r="AJ771" s="189">
        <v>2.4280468814443898E-3</v>
      </c>
    </row>
    <row r="772" spans="1:36">
      <c r="A772" s="11" t="s">
        <v>256</v>
      </c>
      <c r="B772" s="11">
        <v>7206</v>
      </c>
      <c r="C772" s="11" t="s">
        <v>2460</v>
      </c>
      <c r="D772" s="11" t="s">
        <v>2461</v>
      </c>
      <c r="E772" s="4" t="s">
        <v>1552</v>
      </c>
      <c r="F772" s="11" t="s">
        <v>2494</v>
      </c>
      <c r="G772" s="11" t="s">
        <v>2495</v>
      </c>
      <c r="H772" s="11" t="s">
        <v>511</v>
      </c>
      <c r="I772" s="11" t="s">
        <v>945</v>
      </c>
      <c r="J772" s="11" t="s">
        <v>31</v>
      </c>
      <c r="K772" s="11" t="s">
        <v>31</v>
      </c>
      <c r="L772" s="11" t="s">
        <v>517</v>
      </c>
      <c r="M772" s="11" t="s">
        <v>32</v>
      </c>
      <c r="N772" s="11" t="s">
        <v>636</v>
      </c>
      <c r="O772" s="11" t="s">
        <v>312</v>
      </c>
      <c r="P772" s="11" t="s">
        <v>157</v>
      </c>
      <c r="Q772" s="11" t="s">
        <v>604</v>
      </c>
      <c r="R772" s="11" t="s">
        <v>596</v>
      </c>
      <c r="S772" s="11" t="s">
        <v>35</v>
      </c>
      <c r="T772" s="158">
        <v>3.6779999999999999</v>
      </c>
      <c r="U772" s="11" t="s">
        <v>2496</v>
      </c>
      <c r="V772" s="174">
        <v>1E-3</v>
      </c>
      <c r="W772" s="189">
        <v>2.5350000000000001E-2</v>
      </c>
      <c r="X772" s="4" t="s">
        <v>602</v>
      </c>
      <c r="Y772" s="4" t="s">
        <v>312</v>
      </c>
      <c r="Z772" s="158">
        <v>319630.27</v>
      </c>
      <c r="AA772" s="158">
        <v>1</v>
      </c>
      <c r="AB772" s="158">
        <v>100.22</v>
      </c>
      <c r="AD772" s="158">
        <v>320.33300000000003</v>
      </c>
      <c r="AG772" s="11" t="s">
        <v>37</v>
      </c>
      <c r="AH772" s="189">
        <v>1.2300000000000001E-4</v>
      </c>
      <c r="AI772" s="189">
        <v>2.1971626872004098E-2</v>
      </c>
      <c r="AJ772" s="189">
        <v>4.7833404753088796E-3</v>
      </c>
    </row>
    <row r="773" spans="1:36">
      <c r="A773" s="11" t="s">
        <v>256</v>
      </c>
      <c r="B773" s="11">
        <v>7206</v>
      </c>
      <c r="C773" s="11" t="s">
        <v>2497</v>
      </c>
      <c r="D773" s="11" t="s">
        <v>2498</v>
      </c>
      <c r="E773" s="4" t="s">
        <v>1552</v>
      </c>
      <c r="F773" s="11" t="s">
        <v>2499</v>
      </c>
      <c r="G773" s="11" t="s">
        <v>2500</v>
      </c>
      <c r="H773" s="11" t="s">
        <v>511</v>
      </c>
      <c r="I773" s="11" t="s">
        <v>945</v>
      </c>
      <c r="J773" s="11" t="s">
        <v>31</v>
      </c>
      <c r="K773" s="11" t="s">
        <v>31</v>
      </c>
      <c r="L773" s="11" t="s">
        <v>517</v>
      </c>
      <c r="M773" s="11" t="s">
        <v>32</v>
      </c>
      <c r="N773" s="11" t="s">
        <v>631</v>
      </c>
      <c r="O773" s="11" t="s">
        <v>312</v>
      </c>
      <c r="P773" s="11" t="s">
        <v>168</v>
      </c>
      <c r="Q773" s="11" t="s">
        <v>604</v>
      </c>
      <c r="R773" s="11" t="s">
        <v>596</v>
      </c>
      <c r="S773" s="11" t="s">
        <v>35</v>
      </c>
      <c r="T773" s="158">
        <v>1.0389999999999999</v>
      </c>
      <c r="U773" s="11" t="s">
        <v>2317</v>
      </c>
      <c r="V773" s="174">
        <v>1.8499999999999999E-2</v>
      </c>
      <c r="W773" s="189">
        <v>2.92E-2</v>
      </c>
      <c r="X773" s="4" t="s">
        <v>602</v>
      </c>
      <c r="Y773" s="4" t="s">
        <v>312</v>
      </c>
      <c r="Z773" s="158">
        <v>35750</v>
      </c>
      <c r="AA773" s="158">
        <v>1</v>
      </c>
      <c r="AB773" s="158">
        <v>112.32</v>
      </c>
      <c r="AD773" s="158">
        <v>40.154000000000003</v>
      </c>
      <c r="AG773" s="11" t="s">
        <v>37</v>
      </c>
      <c r="AH773" s="189">
        <v>7.4999999999999993E-5</v>
      </c>
      <c r="AI773" s="189">
        <v>2.7541846657228798E-3</v>
      </c>
      <c r="AJ773" s="189">
        <v>5.9960070616407897E-4</v>
      </c>
    </row>
    <row r="774" spans="1:36">
      <c r="A774" s="11" t="s">
        <v>256</v>
      </c>
      <c r="B774" s="11">
        <v>7206</v>
      </c>
      <c r="C774" s="11" t="s">
        <v>2497</v>
      </c>
      <c r="D774" s="11" t="s">
        <v>2498</v>
      </c>
      <c r="E774" s="4" t="s">
        <v>1552</v>
      </c>
      <c r="F774" s="11" t="s">
        <v>2501</v>
      </c>
      <c r="G774" s="11" t="s">
        <v>2502</v>
      </c>
      <c r="H774" s="11" t="s">
        <v>511</v>
      </c>
      <c r="I774" s="11" t="s">
        <v>945</v>
      </c>
      <c r="J774" s="11" t="s">
        <v>31</v>
      </c>
      <c r="K774" s="11" t="s">
        <v>31</v>
      </c>
      <c r="L774" s="11" t="s">
        <v>517</v>
      </c>
      <c r="M774" s="11" t="s">
        <v>32</v>
      </c>
      <c r="N774" s="11" t="s">
        <v>631</v>
      </c>
      <c r="O774" s="11" t="s">
        <v>312</v>
      </c>
      <c r="P774" s="11" t="s">
        <v>168</v>
      </c>
      <c r="Q774" s="11" t="s">
        <v>604</v>
      </c>
      <c r="R774" s="11" t="s">
        <v>596</v>
      </c>
      <c r="S774" s="11" t="s">
        <v>35</v>
      </c>
      <c r="T774" s="158">
        <v>0.64900000000000002</v>
      </c>
      <c r="U774" s="11" t="s">
        <v>2503</v>
      </c>
      <c r="V774" s="174">
        <v>0.01</v>
      </c>
      <c r="W774" s="189">
        <v>3.1940000000000003E-2</v>
      </c>
      <c r="X774" s="4" t="s">
        <v>602</v>
      </c>
      <c r="Y774" s="4" t="s">
        <v>312</v>
      </c>
      <c r="Z774" s="158">
        <v>33411.760000000002</v>
      </c>
      <c r="AA774" s="158">
        <v>1</v>
      </c>
      <c r="AB774" s="158">
        <v>111.26</v>
      </c>
      <c r="AD774" s="158">
        <v>37.173999999999999</v>
      </c>
      <c r="AG774" s="11" t="s">
        <v>37</v>
      </c>
      <c r="AH774" s="189">
        <v>7.6000000000000004E-5</v>
      </c>
      <c r="AI774" s="189">
        <v>2.5497542468642101E-3</v>
      </c>
      <c r="AJ774" s="189">
        <v>5.5509511253609895E-4</v>
      </c>
    </row>
    <row r="775" spans="1:36">
      <c r="A775" s="11" t="s">
        <v>256</v>
      </c>
      <c r="B775" s="11">
        <v>7206</v>
      </c>
      <c r="C775" s="11" t="s">
        <v>1852</v>
      </c>
      <c r="D775" s="11" t="s">
        <v>1853</v>
      </c>
      <c r="E775" s="4" t="s">
        <v>1552</v>
      </c>
      <c r="F775" s="11" t="s">
        <v>2504</v>
      </c>
      <c r="G775" s="11" t="s">
        <v>2505</v>
      </c>
      <c r="H775" s="11" t="s">
        <v>511</v>
      </c>
      <c r="I775" s="11" t="s">
        <v>945</v>
      </c>
      <c r="J775" s="11" t="s">
        <v>31</v>
      </c>
      <c r="K775" s="11" t="s">
        <v>31</v>
      </c>
      <c r="L775" s="11" t="s">
        <v>517</v>
      </c>
      <c r="M775" s="11" t="s">
        <v>32</v>
      </c>
      <c r="N775" s="11" t="s">
        <v>652</v>
      </c>
      <c r="O775" s="11" t="s">
        <v>312</v>
      </c>
      <c r="P775" s="11" t="s">
        <v>2169</v>
      </c>
      <c r="Q775" s="11" t="s">
        <v>358</v>
      </c>
      <c r="R775" s="11" t="s">
        <v>596</v>
      </c>
      <c r="S775" s="11" t="s">
        <v>35</v>
      </c>
      <c r="T775" s="158">
        <v>4.59</v>
      </c>
      <c r="U775" s="11" t="s">
        <v>2170</v>
      </c>
      <c r="V775" s="174">
        <v>1.43E-2</v>
      </c>
      <c r="W775" s="189">
        <v>3.1870000000000002E-2</v>
      </c>
      <c r="X775" s="4" t="s">
        <v>602</v>
      </c>
      <c r="Y775" s="4" t="s">
        <v>312</v>
      </c>
      <c r="Z775" s="158">
        <v>81234.62</v>
      </c>
      <c r="AA775" s="158">
        <v>1</v>
      </c>
      <c r="AB775" s="158">
        <v>104.95</v>
      </c>
      <c r="AC775" s="158">
        <v>1.669</v>
      </c>
      <c r="AD775" s="158">
        <v>86.924999999999997</v>
      </c>
      <c r="AG775" s="11" t="s">
        <v>37</v>
      </c>
      <c r="AH775" s="189">
        <v>7.1000000000000005E-5</v>
      </c>
      <c r="AI775" s="189">
        <v>5.96215941097671E-3</v>
      </c>
      <c r="AJ775" s="189">
        <v>1.29799393540162E-3</v>
      </c>
    </row>
    <row r="776" spans="1:36">
      <c r="A776" s="11" t="s">
        <v>256</v>
      </c>
      <c r="B776" s="11">
        <v>7206</v>
      </c>
      <c r="C776" s="11" t="s">
        <v>1852</v>
      </c>
      <c r="D776" s="11" t="s">
        <v>1853</v>
      </c>
      <c r="E776" s="4" t="s">
        <v>1552</v>
      </c>
      <c r="F776" s="11" t="s">
        <v>2506</v>
      </c>
      <c r="G776" s="11" t="s">
        <v>2507</v>
      </c>
      <c r="H776" s="11" t="s">
        <v>511</v>
      </c>
      <c r="I776" s="11" t="s">
        <v>945</v>
      </c>
      <c r="J776" s="11" t="s">
        <v>31</v>
      </c>
      <c r="K776" s="11" t="s">
        <v>31</v>
      </c>
      <c r="L776" s="11" t="s">
        <v>517</v>
      </c>
      <c r="M776" s="11" t="s">
        <v>32</v>
      </c>
      <c r="N776" s="11" t="s">
        <v>652</v>
      </c>
      <c r="O776" s="11" t="s">
        <v>312</v>
      </c>
      <c r="P776" s="11" t="s">
        <v>2169</v>
      </c>
      <c r="Q776" s="11" t="s">
        <v>358</v>
      </c>
      <c r="R776" s="11" t="s">
        <v>596</v>
      </c>
      <c r="S776" s="11" t="s">
        <v>35</v>
      </c>
      <c r="T776" s="158">
        <v>1.012</v>
      </c>
      <c r="U776" s="11" t="s">
        <v>2508</v>
      </c>
      <c r="V776" s="174">
        <v>1.7600000000000001E-2</v>
      </c>
      <c r="W776" s="189">
        <v>2.5399999999999999E-2</v>
      </c>
      <c r="X776" s="4" t="s">
        <v>602</v>
      </c>
      <c r="Y776" s="4" t="s">
        <v>312</v>
      </c>
      <c r="Z776" s="158">
        <v>79545.009999999995</v>
      </c>
      <c r="AA776" s="158">
        <v>1</v>
      </c>
      <c r="AB776" s="158">
        <v>114.44</v>
      </c>
      <c r="AC776" s="158">
        <v>1.9359999999999999</v>
      </c>
      <c r="AD776" s="158">
        <v>92.968000000000004</v>
      </c>
      <c r="AG776" s="11" t="s">
        <v>37</v>
      </c>
      <c r="AH776" s="189">
        <v>1.02E-4</v>
      </c>
      <c r="AI776" s="189">
        <v>6.37664764242072E-3</v>
      </c>
      <c r="AJ776" s="189">
        <v>1.3882302363162099E-3</v>
      </c>
    </row>
    <row r="777" spans="1:36">
      <c r="A777" s="11" t="s">
        <v>256</v>
      </c>
      <c r="B777" s="11">
        <v>7206</v>
      </c>
      <c r="C777" s="11" t="s">
        <v>1852</v>
      </c>
      <c r="D777" s="11" t="s">
        <v>1853</v>
      </c>
      <c r="E777" s="4" t="s">
        <v>1552</v>
      </c>
      <c r="F777" s="11" t="s">
        <v>2509</v>
      </c>
      <c r="G777" s="11" t="s">
        <v>2510</v>
      </c>
      <c r="H777" s="11" t="s">
        <v>511</v>
      </c>
      <c r="I777" s="11" t="s">
        <v>945</v>
      </c>
      <c r="J777" s="11" t="s">
        <v>31</v>
      </c>
      <c r="K777" s="11" t="s">
        <v>31</v>
      </c>
      <c r="L777" s="11" t="s">
        <v>517</v>
      </c>
      <c r="M777" s="11" t="s">
        <v>32</v>
      </c>
      <c r="N777" s="11" t="s">
        <v>652</v>
      </c>
      <c r="O777" s="11" t="s">
        <v>312</v>
      </c>
      <c r="P777" s="11" t="s">
        <v>2169</v>
      </c>
      <c r="Q777" s="11" t="s">
        <v>358</v>
      </c>
      <c r="R777" s="11" t="s">
        <v>596</v>
      </c>
      <c r="S777" s="11" t="s">
        <v>35</v>
      </c>
      <c r="T777" s="158">
        <v>1.752</v>
      </c>
      <c r="U777" s="11" t="s">
        <v>2511</v>
      </c>
      <c r="V777" s="174">
        <v>2.1499999999999998E-2</v>
      </c>
      <c r="W777" s="189">
        <v>2.5180000000000001E-2</v>
      </c>
      <c r="X777" s="4" t="s">
        <v>602</v>
      </c>
      <c r="Y777" s="4" t="s">
        <v>312</v>
      </c>
      <c r="Z777" s="158">
        <v>168000.76</v>
      </c>
      <c r="AA777" s="158">
        <v>1</v>
      </c>
      <c r="AB777" s="158">
        <v>115.16</v>
      </c>
      <c r="AD777" s="158">
        <v>193.47</v>
      </c>
      <c r="AG777" s="11" t="s">
        <v>37</v>
      </c>
      <c r="AH777" s="189">
        <v>1.4100000000000001E-4</v>
      </c>
      <c r="AI777" s="189">
        <v>1.32700578955804E-2</v>
      </c>
      <c r="AJ777" s="189">
        <v>2.8889624519566602E-3</v>
      </c>
    </row>
    <row r="778" spans="1:36">
      <c r="A778" s="11" t="s">
        <v>256</v>
      </c>
      <c r="B778" s="11">
        <v>7206</v>
      </c>
      <c r="C778" s="11" t="s">
        <v>1852</v>
      </c>
      <c r="D778" s="11" t="s">
        <v>1853</v>
      </c>
      <c r="E778" s="4" t="s">
        <v>1552</v>
      </c>
      <c r="F778" s="11" t="s">
        <v>2512</v>
      </c>
      <c r="G778" s="11" t="s">
        <v>2513</v>
      </c>
      <c r="H778" s="11" t="s">
        <v>511</v>
      </c>
      <c r="I778" s="11" t="s">
        <v>945</v>
      </c>
      <c r="J778" s="11" t="s">
        <v>31</v>
      </c>
      <c r="K778" s="11" t="s">
        <v>31</v>
      </c>
      <c r="L778" s="11" t="s">
        <v>517</v>
      </c>
      <c r="M778" s="11" t="s">
        <v>32</v>
      </c>
      <c r="N778" s="11" t="s">
        <v>652</v>
      </c>
      <c r="O778" s="11" t="s">
        <v>312</v>
      </c>
      <c r="P778" s="11" t="s">
        <v>2169</v>
      </c>
      <c r="Q778" s="11" t="s">
        <v>358</v>
      </c>
      <c r="R778" s="11" t="s">
        <v>596</v>
      </c>
      <c r="S778" s="11" t="s">
        <v>35</v>
      </c>
      <c r="T778" s="158">
        <v>2.577</v>
      </c>
      <c r="U778" s="11" t="s">
        <v>2256</v>
      </c>
      <c r="V778" s="174">
        <v>2.35E-2</v>
      </c>
      <c r="W778" s="189">
        <v>2.5690000000000001E-2</v>
      </c>
      <c r="X778" s="4" t="s">
        <v>602</v>
      </c>
      <c r="Y778" s="4" t="s">
        <v>312</v>
      </c>
      <c r="Z778" s="158">
        <v>70000.399999999994</v>
      </c>
      <c r="AA778" s="158">
        <v>1</v>
      </c>
      <c r="AB778" s="158">
        <v>114.98</v>
      </c>
      <c r="AD778" s="158">
        <v>80.486000000000004</v>
      </c>
      <c r="AG778" s="11" t="s">
        <v>37</v>
      </c>
      <c r="AH778" s="189">
        <v>7.4999999999999993E-5</v>
      </c>
      <c r="AI778" s="189">
        <v>5.5205550004478604E-3</v>
      </c>
      <c r="AJ778" s="189">
        <v>1.2018542975285101E-3</v>
      </c>
    </row>
    <row r="779" spans="1:36">
      <c r="A779" s="11" t="s">
        <v>256</v>
      </c>
      <c r="B779" s="11">
        <v>7206</v>
      </c>
      <c r="C779" s="11" t="s">
        <v>2514</v>
      </c>
      <c r="D779" s="11" t="s">
        <v>2515</v>
      </c>
      <c r="E779" s="4" t="s">
        <v>1552</v>
      </c>
      <c r="F779" s="11" t="s">
        <v>2516</v>
      </c>
      <c r="G779" s="11" t="s">
        <v>2517</v>
      </c>
      <c r="H779" s="11" t="s">
        <v>511</v>
      </c>
      <c r="I779" s="11" t="s">
        <v>1154</v>
      </c>
      <c r="J779" s="11" t="s">
        <v>31</v>
      </c>
      <c r="K779" s="11" t="s">
        <v>31</v>
      </c>
      <c r="L779" s="11" t="s">
        <v>517</v>
      </c>
      <c r="M779" s="11" t="s">
        <v>32</v>
      </c>
      <c r="N779" s="11" t="s">
        <v>666</v>
      </c>
      <c r="O779" s="11" t="s">
        <v>312</v>
      </c>
      <c r="P779" s="11" t="s">
        <v>2161</v>
      </c>
      <c r="Q779" s="11" t="s">
        <v>358</v>
      </c>
      <c r="R779" s="11" t="s">
        <v>596</v>
      </c>
      <c r="S779" s="11" t="s">
        <v>35</v>
      </c>
      <c r="T779" s="158">
        <v>0.499</v>
      </c>
      <c r="U779" s="11" t="s">
        <v>2162</v>
      </c>
      <c r="V779" s="174">
        <v>2.9499999999999998E-2</v>
      </c>
      <c r="W779" s="189">
        <v>5.7180000000000002E-2</v>
      </c>
      <c r="X779" s="4" t="s">
        <v>602</v>
      </c>
      <c r="Y779" s="4" t="s">
        <v>312</v>
      </c>
      <c r="Z779" s="158">
        <v>4250</v>
      </c>
      <c r="AA779" s="158">
        <v>1</v>
      </c>
      <c r="AB779" s="158">
        <v>98.7</v>
      </c>
      <c r="AD779" s="158">
        <v>4.1950000000000003</v>
      </c>
      <c r="AG779" s="11" t="s">
        <v>37</v>
      </c>
      <c r="AH779" s="189">
        <v>2.3800000000000001E-4</v>
      </c>
      <c r="AI779" s="189">
        <v>2.8771731433021198E-4</v>
      </c>
      <c r="AJ779" s="189">
        <v>6.2637595436160695E-5</v>
      </c>
    </row>
    <row r="780" spans="1:36">
      <c r="A780" s="11" t="s">
        <v>256</v>
      </c>
      <c r="B780" s="11">
        <v>7206</v>
      </c>
      <c r="C780" s="11" t="s">
        <v>1860</v>
      </c>
      <c r="D780" s="11" t="s">
        <v>1861</v>
      </c>
      <c r="E780" s="4" t="s">
        <v>1552</v>
      </c>
      <c r="F780" s="11" t="s">
        <v>2518</v>
      </c>
      <c r="G780" s="11" t="s">
        <v>2519</v>
      </c>
      <c r="H780" s="11" t="s">
        <v>511</v>
      </c>
      <c r="I780" s="11" t="s">
        <v>945</v>
      </c>
      <c r="J780" s="11" t="s">
        <v>31</v>
      </c>
      <c r="K780" s="11" t="s">
        <v>31</v>
      </c>
      <c r="L780" s="11" t="s">
        <v>517</v>
      </c>
      <c r="M780" s="11" t="s">
        <v>32</v>
      </c>
      <c r="N780" s="11" t="s">
        <v>652</v>
      </c>
      <c r="O780" s="11" t="s">
        <v>312</v>
      </c>
      <c r="P780" s="11" t="s">
        <v>2418</v>
      </c>
      <c r="Q780" s="11" t="s">
        <v>604</v>
      </c>
      <c r="R780" s="11" t="s">
        <v>596</v>
      </c>
      <c r="S780" s="11" t="s">
        <v>35</v>
      </c>
      <c r="T780" s="158">
        <v>3.0230000000000001</v>
      </c>
      <c r="U780" s="11" t="s">
        <v>2441</v>
      </c>
      <c r="V780" s="174">
        <v>2.75E-2</v>
      </c>
      <c r="W780" s="189">
        <v>3.124E-2</v>
      </c>
      <c r="X780" s="4" t="s">
        <v>602</v>
      </c>
      <c r="Y780" s="4" t="s">
        <v>312</v>
      </c>
      <c r="Z780" s="158">
        <v>95000.65</v>
      </c>
      <c r="AA780" s="158">
        <v>1</v>
      </c>
      <c r="AB780" s="158">
        <v>111.38</v>
      </c>
      <c r="AD780" s="158">
        <v>105.812</v>
      </c>
      <c r="AG780" s="11" t="s">
        <v>37</v>
      </c>
      <c r="AH780" s="189">
        <v>1.75E-4</v>
      </c>
      <c r="AI780" s="189">
        <v>7.2576113106378503E-3</v>
      </c>
      <c r="AJ780" s="189">
        <v>1.5800207303023001E-3</v>
      </c>
    </row>
    <row r="781" spans="1:36">
      <c r="A781" s="11" t="s">
        <v>256</v>
      </c>
      <c r="B781" s="11">
        <v>7206</v>
      </c>
      <c r="C781" s="11" t="s">
        <v>1860</v>
      </c>
      <c r="D781" s="11" t="s">
        <v>1861</v>
      </c>
      <c r="E781" s="4" t="s">
        <v>1552</v>
      </c>
      <c r="F781" s="11" t="s">
        <v>2520</v>
      </c>
      <c r="G781" s="11" t="s">
        <v>2521</v>
      </c>
      <c r="H781" s="11" t="s">
        <v>511</v>
      </c>
      <c r="I781" s="11" t="s">
        <v>945</v>
      </c>
      <c r="J781" s="11" t="s">
        <v>31</v>
      </c>
      <c r="K781" s="11" t="s">
        <v>31</v>
      </c>
      <c r="L781" s="11" t="s">
        <v>517</v>
      </c>
      <c r="M781" s="11" t="s">
        <v>32</v>
      </c>
      <c r="N781" s="11" t="s">
        <v>652</v>
      </c>
      <c r="O781" s="11" t="s">
        <v>312</v>
      </c>
      <c r="P781" s="11" t="s">
        <v>2418</v>
      </c>
      <c r="Q781" s="11" t="s">
        <v>604</v>
      </c>
      <c r="R781" s="11" t="s">
        <v>596</v>
      </c>
      <c r="S781" s="11" t="s">
        <v>35</v>
      </c>
      <c r="T781" s="158">
        <v>4.4390000000000001</v>
      </c>
      <c r="U781" s="11" t="s">
        <v>2376</v>
      </c>
      <c r="V781" s="174">
        <v>8.5000000000000006E-3</v>
      </c>
      <c r="W781" s="189">
        <v>3.5560000000000001E-2</v>
      </c>
      <c r="X781" s="4" t="s">
        <v>602</v>
      </c>
      <c r="Y781" s="4" t="s">
        <v>312</v>
      </c>
      <c r="Z781" s="158">
        <v>105000</v>
      </c>
      <c r="AA781" s="158">
        <v>1</v>
      </c>
      <c r="AB781" s="158">
        <v>99.88</v>
      </c>
      <c r="AD781" s="158">
        <v>104.874</v>
      </c>
      <c r="AG781" s="11" t="s">
        <v>37</v>
      </c>
      <c r="AH781" s="189">
        <v>1.5899999999999999E-4</v>
      </c>
      <c r="AI781" s="189">
        <v>7.1932929550191701E-3</v>
      </c>
      <c r="AJ781" s="189">
        <v>1.56601828089205E-3</v>
      </c>
    </row>
    <row r="782" spans="1:36">
      <c r="A782" s="11" t="s">
        <v>256</v>
      </c>
      <c r="B782" s="11">
        <v>7206</v>
      </c>
      <c r="C782" s="11" t="s">
        <v>1860</v>
      </c>
      <c r="D782" s="11" t="s">
        <v>1861</v>
      </c>
      <c r="E782" s="4" t="s">
        <v>1552</v>
      </c>
      <c r="F782" s="11" t="s">
        <v>2522</v>
      </c>
      <c r="G782" s="11" t="s">
        <v>2523</v>
      </c>
      <c r="H782" s="11" t="s">
        <v>511</v>
      </c>
      <c r="I782" s="11" t="s">
        <v>945</v>
      </c>
      <c r="J782" s="11" t="s">
        <v>31</v>
      </c>
      <c r="K782" s="11" t="s">
        <v>31</v>
      </c>
      <c r="L782" s="11" t="s">
        <v>517</v>
      </c>
      <c r="M782" s="11" t="s">
        <v>32</v>
      </c>
      <c r="N782" s="11" t="s">
        <v>652</v>
      </c>
      <c r="O782" s="11" t="s">
        <v>312</v>
      </c>
      <c r="P782" s="11" t="s">
        <v>2418</v>
      </c>
      <c r="Q782" s="11" t="s">
        <v>604</v>
      </c>
      <c r="R782" s="11" t="s">
        <v>596</v>
      </c>
      <c r="S782" s="11" t="s">
        <v>35</v>
      </c>
      <c r="T782" s="158">
        <v>5.8849999999999998</v>
      </c>
      <c r="U782" s="11" t="s">
        <v>2524</v>
      </c>
      <c r="V782" s="174">
        <v>3.1800000000000002E-2</v>
      </c>
      <c r="W782" s="189">
        <v>3.8390000000000001E-2</v>
      </c>
      <c r="X782" s="4" t="s">
        <v>602</v>
      </c>
      <c r="Y782" s="4" t="s">
        <v>312</v>
      </c>
      <c r="Z782" s="158">
        <v>102000</v>
      </c>
      <c r="AA782" s="158">
        <v>1</v>
      </c>
      <c r="AB782" s="158">
        <v>102.42</v>
      </c>
      <c r="AD782" s="158">
        <v>104.468</v>
      </c>
      <c r="AG782" s="11" t="s">
        <v>37</v>
      </c>
      <c r="AH782" s="189">
        <v>2.3900000000000001E-4</v>
      </c>
      <c r="AI782" s="189">
        <v>7.1654729078906498E-3</v>
      </c>
      <c r="AJ782" s="189">
        <v>1.5599617081025099E-3</v>
      </c>
    </row>
    <row r="783" spans="1:36">
      <c r="A783" s="11" t="s">
        <v>256</v>
      </c>
      <c r="B783" s="11">
        <v>7206</v>
      </c>
      <c r="C783" s="11" t="s">
        <v>2525</v>
      </c>
      <c r="D783" s="11" t="s">
        <v>2526</v>
      </c>
      <c r="E783" s="4" t="s">
        <v>1552</v>
      </c>
      <c r="F783" s="11" t="s">
        <v>2527</v>
      </c>
      <c r="G783" s="11" t="s">
        <v>2528</v>
      </c>
      <c r="H783" s="11" t="s">
        <v>511</v>
      </c>
      <c r="I783" s="11" t="s">
        <v>1154</v>
      </c>
      <c r="J783" s="11" t="s">
        <v>31</v>
      </c>
      <c r="K783" s="11" t="s">
        <v>31</v>
      </c>
      <c r="L783" s="11" t="s">
        <v>517</v>
      </c>
      <c r="M783" s="11" t="s">
        <v>32</v>
      </c>
      <c r="N783" s="11" t="s">
        <v>631</v>
      </c>
      <c r="O783" s="11" t="s">
        <v>312</v>
      </c>
      <c r="P783" s="11" t="s">
        <v>2206</v>
      </c>
      <c r="Q783" s="11" t="s">
        <v>604</v>
      </c>
      <c r="R783" s="11" t="s">
        <v>596</v>
      </c>
      <c r="S783" s="11" t="s">
        <v>35</v>
      </c>
      <c r="T783" s="158">
        <v>1.1870000000000001</v>
      </c>
      <c r="U783" s="11" t="s">
        <v>2198</v>
      </c>
      <c r="V783" s="174">
        <v>0.114</v>
      </c>
      <c r="W783" s="189">
        <v>6.7919999999999994E-2</v>
      </c>
      <c r="X783" s="4" t="s">
        <v>602</v>
      </c>
      <c r="Y783" s="4" t="s">
        <v>312</v>
      </c>
      <c r="Z783" s="158">
        <v>25000</v>
      </c>
      <c r="AA783" s="158">
        <v>1</v>
      </c>
      <c r="AB783" s="158">
        <v>101.87</v>
      </c>
      <c r="AD783" s="158">
        <v>25.468</v>
      </c>
      <c r="AG783" s="11" t="s">
        <v>37</v>
      </c>
      <c r="AH783" s="189">
        <v>6.8999999999999997E-5</v>
      </c>
      <c r="AI783" s="189">
        <v>1.7468122540567801E-3</v>
      </c>
      <c r="AJ783" s="189">
        <v>3.8029035384001998E-4</v>
      </c>
    </row>
    <row r="784" spans="1:36">
      <c r="A784" s="11" t="s">
        <v>256</v>
      </c>
      <c r="B784" s="11">
        <v>7206</v>
      </c>
      <c r="C784" s="11" t="s">
        <v>2529</v>
      </c>
      <c r="D784" s="11" t="s">
        <v>2530</v>
      </c>
      <c r="E784" s="4" t="s">
        <v>1552</v>
      </c>
      <c r="F784" s="11" t="s">
        <v>2531</v>
      </c>
      <c r="G784" s="11" t="s">
        <v>2532</v>
      </c>
      <c r="H784" s="11" t="s">
        <v>511</v>
      </c>
      <c r="I784" s="11" t="s">
        <v>945</v>
      </c>
      <c r="J784" s="11" t="s">
        <v>31</v>
      </c>
      <c r="K784" s="11" t="s">
        <v>31</v>
      </c>
      <c r="L784" s="11" t="s">
        <v>517</v>
      </c>
      <c r="M784" s="11" t="s">
        <v>32</v>
      </c>
      <c r="N784" s="11" t="s">
        <v>666</v>
      </c>
      <c r="O784" s="11" t="s">
        <v>312</v>
      </c>
      <c r="P784" s="11" t="s">
        <v>357</v>
      </c>
      <c r="Q784" s="11" t="s">
        <v>358</v>
      </c>
      <c r="R784" s="11" t="s">
        <v>596</v>
      </c>
      <c r="S784" s="11" t="s">
        <v>35</v>
      </c>
      <c r="T784" s="158">
        <v>1.972</v>
      </c>
      <c r="U784" s="11" t="s">
        <v>2441</v>
      </c>
      <c r="V784" s="174">
        <v>1E-3</v>
      </c>
      <c r="W784" s="189">
        <v>2.1149999999999999E-2</v>
      </c>
      <c r="X784" s="4" t="s">
        <v>602</v>
      </c>
      <c r="Y784" s="4" t="s">
        <v>312</v>
      </c>
      <c r="Z784" s="158">
        <v>313000</v>
      </c>
      <c r="AA784" s="158">
        <v>1</v>
      </c>
      <c r="AB784" s="158">
        <v>107.52</v>
      </c>
      <c r="AD784" s="158">
        <v>336.53800000000001</v>
      </c>
      <c r="AG784" s="11" t="s">
        <v>37</v>
      </c>
      <c r="AH784" s="189">
        <v>3.6499999999999998E-4</v>
      </c>
      <c r="AI784" s="189">
        <v>2.3083066796146402E-2</v>
      </c>
      <c r="AJ784" s="189">
        <v>5.0253068807095697E-3</v>
      </c>
    </row>
    <row r="785" spans="1:36">
      <c r="A785" s="11" t="s">
        <v>256</v>
      </c>
      <c r="B785" s="11">
        <v>7206</v>
      </c>
      <c r="C785" s="11" t="s">
        <v>2529</v>
      </c>
      <c r="D785" s="11" t="s">
        <v>2530</v>
      </c>
      <c r="E785" s="4" t="s">
        <v>1552</v>
      </c>
      <c r="F785" s="11" t="s">
        <v>2533</v>
      </c>
      <c r="G785" s="11" t="s">
        <v>2534</v>
      </c>
      <c r="H785" s="11" t="s">
        <v>511</v>
      </c>
      <c r="I785" s="11" t="s">
        <v>945</v>
      </c>
      <c r="J785" s="11" t="s">
        <v>31</v>
      </c>
      <c r="K785" s="11" t="s">
        <v>31</v>
      </c>
      <c r="L785" s="11" t="s">
        <v>517</v>
      </c>
      <c r="M785" s="11" t="s">
        <v>32</v>
      </c>
      <c r="N785" s="11" t="s">
        <v>666</v>
      </c>
      <c r="O785" s="11" t="s">
        <v>312</v>
      </c>
      <c r="P785" s="11" t="s">
        <v>357</v>
      </c>
      <c r="Q785" s="11" t="s">
        <v>358</v>
      </c>
      <c r="R785" s="11" t="s">
        <v>596</v>
      </c>
      <c r="S785" s="11" t="s">
        <v>35</v>
      </c>
      <c r="T785" s="158">
        <v>11.7</v>
      </c>
      <c r="U785" s="11" t="s">
        <v>2535</v>
      </c>
      <c r="V785" s="174">
        <v>2.07E-2</v>
      </c>
      <c r="W785" s="189">
        <v>3.2730000000000002E-2</v>
      </c>
      <c r="X785" s="4" t="s">
        <v>602</v>
      </c>
      <c r="Y785" s="4" t="s">
        <v>312</v>
      </c>
      <c r="Z785" s="158">
        <v>219000.28</v>
      </c>
      <c r="AA785" s="158">
        <v>1</v>
      </c>
      <c r="AB785" s="158">
        <v>97.32</v>
      </c>
      <c r="AD785" s="158">
        <v>213.131</v>
      </c>
      <c r="AG785" s="11" t="s">
        <v>37</v>
      </c>
      <c r="AH785" s="189">
        <v>4.8000000000000001E-5</v>
      </c>
      <c r="AI785" s="189">
        <v>1.46186303781791E-2</v>
      </c>
      <c r="AJ785" s="189">
        <v>3.18255388137064E-3</v>
      </c>
    </row>
    <row r="786" spans="1:36">
      <c r="A786" s="11" t="s">
        <v>256</v>
      </c>
      <c r="B786" s="11">
        <v>7206</v>
      </c>
      <c r="C786" s="11" t="s">
        <v>2536</v>
      </c>
      <c r="D786" s="11" t="s">
        <v>2537</v>
      </c>
      <c r="E786" s="4" t="s">
        <v>1552</v>
      </c>
      <c r="F786" s="11" t="s">
        <v>2538</v>
      </c>
      <c r="G786" s="11" t="s">
        <v>2539</v>
      </c>
      <c r="H786" s="11" t="s">
        <v>511</v>
      </c>
      <c r="I786" s="11" t="s">
        <v>945</v>
      </c>
      <c r="J786" s="11" t="s">
        <v>31</v>
      </c>
      <c r="K786" s="11" t="s">
        <v>31</v>
      </c>
      <c r="L786" s="11" t="s">
        <v>517</v>
      </c>
      <c r="M786" s="11" t="s">
        <v>32</v>
      </c>
      <c r="N786" s="11" t="s">
        <v>636</v>
      </c>
      <c r="O786" s="11" t="s">
        <v>312</v>
      </c>
      <c r="P786" s="11" t="s">
        <v>357</v>
      </c>
      <c r="Q786" s="11" t="s">
        <v>358</v>
      </c>
      <c r="R786" s="11" t="s">
        <v>596</v>
      </c>
      <c r="S786" s="11" t="s">
        <v>35</v>
      </c>
      <c r="T786" s="158">
        <v>2.9769999999999999</v>
      </c>
      <c r="U786" s="11" t="s">
        <v>2540</v>
      </c>
      <c r="V786" s="174">
        <v>1.4999999999999999E-2</v>
      </c>
      <c r="W786" s="189">
        <v>2.426E-2</v>
      </c>
      <c r="X786" s="4" t="s">
        <v>602</v>
      </c>
      <c r="Y786" s="4" t="s">
        <v>312</v>
      </c>
      <c r="Z786" s="158">
        <v>111468.68</v>
      </c>
      <c r="AA786" s="158">
        <v>1</v>
      </c>
      <c r="AB786" s="158">
        <v>111.17</v>
      </c>
      <c r="AD786" s="158">
        <v>123.92</v>
      </c>
      <c r="AG786" s="11" t="s">
        <v>37</v>
      </c>
      <c r="AH786" s="189">
        <v>3.9899999999999999E-4</v>
      </c>
      <c r="AI786" s="189">
        <v>8.4996370119347093E-3</v>
      </c>
      <c r="AJ786" s="189">
        <v>1.8504163565796199E-3</v>
      </c>
    </row>
    <row r="787" spans="1:36">
      <c r="A787" s="11" t="s">
        <v>256</v>
      </c>
      <c r="B787" s="11">
        <v>7206</v>
      </c>
      <c r="C787" s="11" t="s">
        <v>2050</v>
      </c>
      <c r="D787" s="11" t="s">
        <v>2051</v>
      </c>
      <c r="E787" s="4" t="s">
        <v>1552</v>
      </c>
      <c r="F787" s="11" t="s">
        <v>2541</v>
      </c>
      <c r="G787" s="11" t="s">
        <v>2542</v>
      </c>
      <c r="H787" s="11" t="s">
        <v>511</v>
      </c>
      <c r="I787" s="11" t="s">
        <v>945</v>
      </c>
      <c r="J787" s="11" t="s">
        <v>31</v>
      </c>
      <c r="K787" s="11" t="s">
        <v>31</v>
      </c>
      <c r="L787" s="11" t="s">
        <v>517</v>
      </c>
      <c r="M787" s="11" t="s">
        <v>32</v>
      </c>
      <c r="N787" s="11" t="s">
        <v>628</v>
      </c>
      <c r="O787" s="11" t="s">
        <v>312</v>
      </c>
      <c r="P787" s="27" t="s">
        <v>2165</v>
      </c>
      <c r="Q787" s="27" t="s">
        <v>2165</v>
      </c>
      <c r="R787" s="16" t="s">
        <v>2165</v>
      </c>
      <c r="S787" s="11" t="s">
        <v>35</v>
      </c>
      <c r="T787" s="158">
        <v>1.64</v>
      </c>
      <c r="U787" s="11" t="s">
        <v>2299</v>
      </c>
      <c r="V787" s="174">
        <v>1.6400000000000001E-2</v>
      </c>
      <c r="W787" s="189">
        <v>3.44E-2</v>
      </c>
      <c r="X787" s="4" t="s">
        <v>602</v>
      </c>
      <c r="Y787" s="4" t="s">
        <v>312</v>
      </c>
      <c r="Z787" s="158">
        <v>51332.46</v>
      </c>
      <c r="AA787" s="158">
        <v>1</v>
      </c>
      <c r="AB787" s="158">
        <v>110.89</v>
      </c>
      <c r="AD787" s="158">
        <v>56.923000000000002</v>
      </c>
      <c r="AG787" s="11" t="s">
        <v>37</v>
      </c>
      <c r="AH787" s="189">
        <v>2.0599999999999999E-4</v>
      </c>
      <c r="AI787" s="189">
        <v>3.90431074464244E-3</v>
      </c>
      <c r="AJ787" s="189">
        <v>8.4998929400297398E-4</v>
      </c>
    </row>
    <row r="788" spans="1:36">
      <c r="A788" s="11" t="s">
        <v>256</v>
      </c>
      <c r="B788" s="11">
        <v>7206</v>
      </c>
      <c r="C788" s="11" t="s">
        <v>2543</v>
      </c>
      <c r="D788" s="11" t="s">
        <v>2544</v>
      </c>
      <c r="E788" s="4" t="s">
        <v>1552</v>
      </c>
      <c r="F788" s="11" t="s">
        <v>2545</v>
      </c>
      <c r="G788" s="11" t="s">
        <v>2546</v>
      </c>
      <c r="H788" s="11" t="s">
        <v>511</v>
      </c>
      <c r="I788" s="11" t="s">
        <v>1154</v>
      </c>
      <c r="J788" s="11" t="s">
        <v>31</v>
      </c>
      <c r="K788" s="11" t="s">
        <v>31</v>
      </c>
      <c r="L788" s="11" t="s">
        <v>517</v>
      </c>
      <c r="M788" s="11" t="s">
        <v>50</v>
      </c>
      <c r="N788" s="11" t="s">
        <v>642</v>
      </c>
      <c r="O788" s="11" t="s">
        <v>312</v>
      </c>
      <c r="P788" s="11" t="s">
        <v>2327</v>
      </c>
      <c r="Q788" s="11" t="s">
        <v>358</v>
      </c>
      <c r="R788" s="11" t="s">
        <v>596</v>
      </c>
      <c r="S788" s="11" t="s">
        <v>35</v>
      </c>
      <c r="T788" s="158">
        <v>3.8690000000000002</v>
      </c>
      <c r="U788" s="11" t="s">
        <v>2547</v>
      </c>
      <c r="V788" s="174">
        <v>6.7000000000000004E-2</v>
      </c>
      <c r="W788" s="189">
        <v>6.6000000000000003E-2</v>
      </c>
      <c r="X788" s="4" t="s">
        <v>602</v>
      </c>
      <c r="Y788" s="4" t="s">
        <v>312</v>
      </c>
      <c r="Z788" s="158">
        <v>28000</v>
      </c>
      <c r="AA788" s="158">
        <v>1</v>
      </c>
      <c r="AB788" s="158">
        <v>102.81</v>
      </c>
      <c r="AD788" s="158">
        <v>28.786999999999999</v>
      </c>
      <c r="AG788" s="11" t="s">
        <v>37</v>
      </c>
      <c r="AH788" s="189">
        <v>3.1000000000000001E-5</v>
      </c>
      <c r="AI788" s="189">
        <v>1.9744825756388201E-3</v>
      </c>
      <c r="AJ788" s="189">
        <v>4.2985539836740399E-4</v>
      </c>
    </row>
    <row r="789" spans="1:36">
      <c r="A789" s="11" t="s">
        <v>256</v>
      </c>
      <c r="B789" s="11">
        <v>7206</v>
      </c>
      <c r="C789" s="11" t="s">
        <v>2548</v>
      </c>
      <c r="D789" s="11" t="s">
        <v>2549</v>
      </c>
      <c r="E789" s="4" t="s">
        <v>1552</v>
      </c>
      <c r="F789" s="11" t="s">
        <v>2550</v>
      </c>
      <c r="G789" s="11" t="s">
        <v>2551</v>
      </c>
      <c r="H789" s="11" t="s">
        <v>511</v>
      </c>
      <c r="I789" s="11" t="s">
        <v>1155</v>
      </c>
      <c r="J789" s="11" t="s">
        <v>31</v>
      </c>
      <c r="K789" s="11" t="s">
        <v>31</v>
      </c>
      <c r="L789" s="11" t="s">
        <v>517</v>
      </c>
      <c r="M789" s="11" t="s">
        <v>32</v>
      </c>
      <c r="N789" s="11" t="s">
        <v>629</v>
      </c>
      <c r="O789" s="11" t="s">
        <v>312</v>
      </c>
      <c r="P789" s="27" t="s">
        <v>2165</v>
      </c>
      <c r="Q789" s="27" t="s">
        <v>2165</v>
      </c>
      <c r="R789" s="16" t="s">
        <v>2165</v>
      </c>
      <c r="S789" s="11" t="s">
        <v>35</v>
      </c>
      <c r="T789" s="158">
        <v>4.0789999999999997</v>
      </c>
      <c r="U789" s="11" t="s">
        <v>2170</v>
      </c>
      <c r="V789" s="174">
        <v>0.05</v>
      </c>
      <c r="W789" s="189">
        <v>5.0389999999999997E-2</v>
      </c>
      <c r="X789" s="4" t="s">
        <v>602</v>
      </c>
      <c r="Y789" s="4" t="s">
        <v>312</v>
      </c>
      <c r="Z789" s="158">
        <v>33000</v>
      </c>
      <c r="AA789" s="158">
        <v>1</v>
      </c>
      <c r="AB789" s="158">
        <v>100.1</v>
      </c>
      <c r="AD789" s="158">
        <v>33.033000000000001</v>
      </c>
      <c r="AG789" s="11" t="s">
        <v>37</v>
      </c>
      <c r="AH789" s="189">
        <v>8.1000000000000004E-5</v>
      </c>
      <c r="AI789" s="189">
        <v>2.2657288382549401E-3</v>
      </c>
      <c r="AJ789" s="189">
        <v>4.93261264686262E-4</v>
      </c>
    </row>
    <row r="790" spans="1:36">
      <c r="A790" s="11" t="s">
        <v>256</v>
      </c>
      <c r="B790" s="11">
        <v>7206</v>
      </c>
      <c r="C790" s="11" t="s">
        <v>2548</v>
      </c>
      <c r="D790" s="11" t="s">
        <v>2549</v>
      </c>
      <c r="E790" s="4" t="s">
        <v>1552</v>
      </c>
      <c r="F790" s="11" t="s">
        <v>2552</v>
      </c>
      <c r="G790" s="11" t="s">
        <v>2553</v>
      </c>
      <c r="H790" s="11" t="s">
        <v>511</v>
      </c>
      <c r="I790" s="11" t="s">
        <v>945</v>
      </c>
      <c r="J790" s="11" t="s">
        <v>31</v>
      </c>
      <c r="K790" s="11" t="s">
        <v>31</v>
      </c>
      <c r="L790" s="11" t="s">
        <v>517</v>
      </c>
      <c r="M790" s="11" t="s">
        <v>32</v>
      </c>
      <c r="N790" s="11" t="s">
        <v>629</v>
      </c>
      <c r="O790" s="11" t="s">
        <v>312</v>
      </c>
      <c r="P790" s="27" t="s">
        <v>2165</v>
      </c>
      <c r="Q790" s="27" t="s">
        <v>2165</v>
      </c>
      <c r="R790" s="16" t="s">
        <v>2165</v>
      </c>
      <c r="S790" s="11" t="s">
        <v>35</v>
      </c>
      <c r="T790" s="158">
        <v>2.7309999999999999</v>
      </c>
      <c r="U790" s="11" t="s">
        <v>2441</v>
      </c>
      <c r="V790" s="174">
        <v>1.4800000000000001E-2</v>
      </c>
      <c r="W790" s="189">
        <v>4.2779999999999999E-2</v>
      </c>
      <c r="X790" s="4" t="s">
        <v>602</v>
      </c>
      <c r="Y790" s="4" t="s">
        <v>312</v>
      </c>
      <c r="Z790" s="158">
        <v>64071.43</v>
      </c>
      <c r="AA790" s="158">
        <v>1</v>
      </c>
      <c r="AB790" s="158">
        <v>103.41</v>
      </c>
      <c r="AD790" s="158">
        <v>66.256</v>
      </c>
      <c r="AG790" s="11" t="s">
        <v>37</v>
      </c>
      <c r="AH790" s="189">
        <v>7.8999999999999996E-5</v>
      </c>
      <c r="AI790" s="189">
        <v>4.5445079785158002E-3</v>
      </c>
      <c r="AJ790" s="189">
        <v>9.8936364979403698E-4</v>
      </c>
    </row>
    <row r="791" spans="1:36">
      <c r="A791" s="11" t="s">
        <v>256</v>
      </c>
      <c r="B791" s="11">
        <v>7206</v>
      </c>
      <c r="C791" s="11" t="s">
        <v>2554</v>
      </c>
      <c r="D791" s="11" t="s">
        <v>2555</v>
      </c>
      <c r="E791" s="4" t="s">
        <v>1552</v>
      </c>
      <c r="F791" s="11" t="s">
        <v>2556</v>
      </c>
      <c r="G791" s="11" t="s">
        <v>2557</v>
      </c>
      <c r="H791" s="11" t="s">
        <v>511</v>
      </c>
      <c r="I791" s="11" t="s">
        <v>945</v>
      </c>
      <c r="J791" s="11" t="s">
        <v>31</v>
      </c>
      <c r="K791" s="11" t="s">
        <v>31</v>
      </c>
      <c r="L791" s="11" t="s">
        <v>517</v>
      </c>
      <c r="M791" s="11" t="s">
        <v>32</v>
      </c>
      <c r="N791" s="11" t="s">
        <v>652</v>
      </c>
      <c r="O791" s="11" t="s">
        <v>312</v>
      </c>
      <c r="P791" s="11" t="s">
        <v>157</v>
      </c>
      <c r="Q791" s="11" t="s">
        <v>604</v>
      </c>
      <c r="R791" s="11" t="s">
        <v>596</v>
      </c>
      <c r="S791" s="11" t="s">
        <v>35</v>
      </c>
      <c r="T791" s="158">
        <v>5.2370000000000001</v>
      </c>
      <c r="U791" s="11" t="s">
        <v>2524</v>
      </c>
      <c r="V791" s="174">
        <v>1.6500000000000001E-2</v>
      </c>
      <c r="W791" s="189">
        <v>2.8119999999999999E-2</v>
      </c>
      <c r="X791" s="4" t="s">
        <v>602</v>
      </c>
      <c r="Y791" s="4" t="s">
        <v>312</v>
      </c>
      <c r="Z791" s="158">
        <v>90000</v>
      </c>
      <c r="AA791" s="158">
        <v>1</v>
      </c>
      <c r="AB791" s="158">
        <v>107.94</v>
      </c>
      <c r="AD791" s="158">
        <v>97.146000000000001</v>
      </c>
      <c r="AG791" s="11" t="s">
        <v>37</v>
      </c>
      <c r="AH791" s="189">
        <v>4.3000000000000002E-5</v>
      </c>
      <c r="AI791" s="189">
        <v>6.66323051860606E-3</v>
      </c>
      <c r="AJ791" s="189">
        <v>1.45062085851154E-3</v>
      </c>
    </row>
    <row r="792" spans="1:36">
      <c r="A792" s="11" t="s">
        <v>256</v>
      </c>
      <c r="B792" s="11">
        <v>7206</v>
      </c>
      <c r="C792" s="11" t="s">
        <v>2554</v>
      </c>
      <c r="D792" s="11" t="s">
        <v>2555</v>
      </c>
      <c r="E792" s="4" t="s">
        <v>1552</v>
      </c>
      <c r="F792" s="11" t="s">
        <v>2558</v>
      </c>
      <c r="G792" s="11" t="s">
        <v>2559</v>
      </c>
      <c r="H792" s="11" t="s">
        <v>511</v>
      </c>
      <c r="I792" s="11" t="s">
        <v>945</v>
      </c>
      <c r="J792" s="11" t="s">
        <v>31</v>
      </c>
      <c r="K792" s="11" t="s">
        <v>31</v>
      </c>
      <c r="L792" s="11" t="s">
        <v>517</v>
      </c>
      <c r="M792" s="11" t="s">
        <v>32</v>
      </c>
      <c r="N792" s="11" t="s">
        <v>652</v>
      </c>
      <c r="O792" s="11" t="s">
        <v>312</v>
      </c>
      <c r="P792" s="11" t="s">
        <v>157</v>
      </c>
      <c r="Q792" s="11" t="s">
        <v>604</v>
      </c>
      <c r="R792" s="11" t="s">
        <v>596</v>
      </c>
      <c r="S792" s="11" t="s">
        <v>35</v>
      </c>
      <c r="T792" s="158">
        <v>1.7070000000000001</v>
      </c>
      <c r="U792" s="11" t="s">
        <v>2333</v>
      </c>
      <c r="V792" s="174">
        <v>8.3000000000000001E-3</v>
      </c>
      <c r="W792" s="189">
        <v>2.0580000000000001E-2</v>
      </c>
      <c r="X792" s="4" t="s">
        <v>602</v>
      </c>
      <c r="Y792" s="4" t="s">
        <v>312</v>
      </c>
      <c r="Z792" s="158">
        <v>135000.22</v>
      </c>
      <c r="AA792" s="158">
        <v>1</v>
      </c>
      <c r="AB792" s="158">
        <v>111.94</v>
      </c>
      <c r="AD792" s="158">
        <v>151.119</v>
      </c>
      <c r="AG792" s="11" t="s">
        <v>37</v>
      </c>
      <c r="AH792" s="189">
        <v>1.1400000000000001E-4</v>
      </c>
      <c r="AI792" s="189">
        <v>1.03652479122319E-2</v>
      </c>
      <c r="AJ792" s="189">
        <v>2.2565698099654401E-3</v>
      </c>
    </row>
    <row r="793" spans="1:36">
      <c r="A793" s="11" t="s">
        <v>256</v>
      </c>
      <c r="B793" s="11">
        <v>7206</v>
      </c>
      <c r="C793" s="11" t="s">
        <v>2554</v>
      </c>
      <c r="D793" s="11" t="s">
        <v>2555</v>
      </c>
      <c r="E793" s="4" t="s">
        <v>1552</v>
      </c>
      <c r="F793" s="11" t="s">
        <v>2560</v>
      </c>
      <c r="G793" s="11" t="s">
        <v>2561</v>
      </c>
      <c r="H793" s="11" t="s">
        <v>511</v>
      </c>
      <c r="I793" s="11" t="s">
        <v>1154</v>
      </c>
      <c r="J793" s="11" t="s">
        <v>31</v>
      </c>
      <c r="K793" s="11" t="s">
        <v>31</v>
      </c>
      <c r="L793" s="11" t="s">
        <v>517</v>
      </c>
      <c r="M793" s="11" t="s">
        <v>32</v>
      </c>
      <c r="N793" s="11" t="s">
        <v>652</v>
      </c>
      <c r="O793" s="11" t="s">
        <v>312</v>
      </c>
      <c r="P793" s="11" t="s">
        <v>157</v>
      </c>
      <c r="Q793" s="11" t="s">
        <v>604</v>
      </c>
      <c r="R793" s="11" t="s">
        <v>596</v>
      </c>
      <c r="S793" s="11" t="s">
        <v>35</v>
      </c>
      <c r="T793" s="158">
        <v>0.499</v>
      </c>
      <c r="U793" s="11" t="s">
        <v>2162</v>
      </c>
      <c r="V793" s="174">
        <v>1.6299999999999999E-2</v>
      </c>
      <c r="W793" s="189">
        <v>4.514E-2</v>
      </c>
      <c r="X793" s="4" t="s">
        <v>602</v>
      </c>
      <c r="Y793" s="4" t="s">
        <v>312</v>
      </c>
      <c r="Z793" s="158">
        <v>89500</v>
      </c>
      <c r="AA793" s="158">
        <v>1</v>
      </c>
      <c r="AB793" s="158">
        <v>98.62</v>
      </c>
      <c r="AD793" s="158">
        <v>88.265000000000001</v>
      </c>
      <c r="AG793" s="11" t="s">
        <v>37</v>
      </c>
      <c r="AH793" s="189">
        <v>8.5899999999999995E-4</v>
      </c>
      <c r="AI793" s="189">
        <v>6.0540771148756703E-3</v>
      </c>
      <c r="AJ793" s="189">
        <v>1.31800491028385E-3</v>
      </c>
    </row>
    <row r="794" spans="1:36">
      <c r="A794" s="11" t="s">
        <v>256</v>
      </c>
      <c r="B794" s="11">
        <v>7206</v>
      </c>
      <c r="C794" s="11" t="s">
        <v>2562</v>
      </c>
      <c r="D794" s="11" t="s">
        <v>2563</v>
      </c>
      <c r="E794" s="4" t="s">
        <v>1552</v>
      </c>
      <c r="F794" s="11" t="s">
        <v>2564</v>
      </c>
      <c r="G794" s="11" t="s">
        <v>2565</v>
      </c>
      <c r="H794" s="11" t="s">
        <v>511</v>
      </c>
      <c r="I794" s="11" t="s">
        <v>1154</v>
      </c>
      <c r="J794" s="11" t="s">
        <v>31</v>
      </c>
      <c r="K794" s="11" t="s">
        <v>31</v>
      </c>
      <c r="L794" s="11" t="s">
        <v>517</v>
      </c>
      <c r="M794" s="11" t="s">
        <v>32</v>
      </c>
      <c r="N794" s="11" t="s">
        <v>642</v>
      </c>
      <c r="O794" s="11" t="s">
        <v>312</v>
      </c>
      <c r="P794" s="11" t="s">
        <v>2169</v>
      </c>
      <c r="Q794" s="11" t="s">
        <v>358</v>
      </c>
      <c r="R794" s="11" t="s">
        <v>596</v>
      </c>
      <c r="S794" s="11" t="s">
        <v>35</v>
      </c>
      <c r="T794" s="158">
        <v>0.312</v>
      </c>
      <c r="U794" s="11" t="s">
        <v>2566</v>
      </c>
      <c r="V794" s="174">
        <v>2.3599999999999999E-2</v>
      </c>
      <c r="W794" s="189">
        <v>4.9520000000000002E-2</v>
      </c>
      <c r="X794" s="4" t="s">
        <v>602</v>
      </c>
      <c r="Y794" s="4" t="s">
        <v>312</v>
      </c>
      <c r="Z794" s="158">
        <v>82000.800000000003</v>
      </c>
      <c r="AA794" s="158">
        <v>1</v>
      </c>
      <c r="AB794" s="158">
        <v>100.24</v>
      </c>
      <c r="AD794" s="158">
        <v>82.197999999999993</v>
      </c>
      <c r="AG794" s="11" t="s">
        <v>37</v>
      </c>
      <c r="AH794" s="189">
        <v>1.302E-3</v>
      </c>
      <c r="AI794" s="189">
        <v>5.6379219902988904E-3</v>
      </c>
      <c r="AJ794" s="189">
        <v>1.2274057178348001E-3</v>
      </c>
    </row>
    <row r="795" spans="1:36">
      <c r="A795" s="11" t="s">
        <v>256</v>
      </c>
      <c r="B795" s="11">
        <v>7206</v>
      </c>
      <c r="C795" s="11" t="s">
        <v>2567</v>
      </c>
      <c r="D795" s="11" t="s">
        <v>2568</v>
      </c>
      <c r="E795" s="4" t="s">
        <v>1552</v>
      </c>
      <c r="F795" s="11" t="s">
        <v>2569</v>
      </c>
      <c r="G795" s="11" t="s">
        <v>2570</v>
      </c>
      <c r="H795" s="11" t="s">
        <v>511</v>
      </c>
      <c r="I795" s="11" t="s">
        <v>945</v>
      </c>
      <c r="J795" s="11" t="s">
        <v>31</v>
      </c>
      <c r="K795" s="11" t="s">
        <v>31</v>
      </c>
      <c r="L795" s="11" t="s">
        <v>517</v>
      </c>
      <c r="M795" s="11" t="s">
        <v>32</v>
      </c>
      <c r="N795" s="11" t="s">
        <v>666</v>
      </c>
      <c r="O795" s="11" t="s">
        <v>312</v>
      </c>
      <c r="P795" s="11" t="s">
        <v>2571</v>
      </c>
      <c r="Q795" s="11" t="s">
        <v>358</v>
      </c>
      <c r="R795" s="11" t="s">
        <v>596</v>
      </c>
      <c r="S795" s="11" t="s">
        <v>35</v>
      </c>
      <c r="T795" s="158">
        <v>5.72</v>
      </c>
      <c r="U795" s="11" t="s">
        <v>2572</v>
      </c>
      <c r="V795" s="174">
        <v>2.6499999999999999E-2</v>
      </c>
      <c r="W795" s="189">
        <v>2.7709999999999999E-2</v>
      </c>
      <c r="X795" s="4" t="s">
        <v>602</v>
      </c>
      <c r="Y795" s="4" t="s">
        <v>312</v>
      </c>
      <c r="Z795" s="158">
        <v>166191.20000000001</v>
      </c>
      <c r="AA795" s="158">
        <v>1</v>
      </c>
      <c r="AB795" s="158">
        <v>113.29</v>
      </c>
      <c r="AD795" s="158">
        <v>188.27799999999999</v>
      </c>
      <c r="AG795" s="11" t="s">
        <v>37</v>
      </c>
      <c r="AH795" s="189">
        <v>1.13E-4</v>
      </c>
      <c r="AI795" s="189">
        <v>1.2913962339291001E-2</v>
      </c>
      <c r="AJ795" s="189">
        <v>2.81143854817843E-3</v>
      </c>
    </row>
    <row r="796" spans="1:36">
      <c r="A796" s="11" t="s">
        <v>256</v>
      </c>
      <c r="B796" s="11">
        <v>7206</v>
      </c>
      <c r="C796" s="11" t="s">
        <v>2878</v>
      </c>
      <c r="D796" s="11" t="s">
        <v>2879</v>
      </c>
      <c r="E796" s="4" t="s">
        <v>1552</v>
      </c>
      <c r="F796" s="11" t="s">
        <v>2880</v>
      </c>
      <c r="G796" s="11" t="s">
        <v>2881</v>
      </c>
      <c r="H796" s="11" t="s">
        <v>511</v>
      </c>
      <c r="I796" s="11" t="s">
        <v>1154</v>
      </c>
      <c r="J796" s="11" t="s">
        <v>31</v>
      </c>
      <c r="K796" s="11" t="s">
        <v>31</v>
      </c>
      <c r="L796" s="11" t="s">
        <v>517</v>
      </c>
      <c r="M796" s="11" t="s">
        <v>32</v>
      </c>
      <c r="N796" s="11" t="s">
        <v>635</v>
      </c>
      <c r="O796" s="11" t="s">
        <v>312</v>
      </c>
      <c r="P796" s="27" t="s">
        <v>2165</v>
      </c>
      <c r="Q796" s="27" t="s">
        <v>2165</v>
      </c>
      <c r="R796" s="16" t="s">
        <v>2165</v>
      </c>
      <c r="S796" s="11" t="s">
        <v>35</v>
      </c>
      <c r="T796" s="158">
        <v>2.2120000000000002</v>
      </c>
      <c r="U796" s="11" t="s">
        <v>2882</v>
      </c>
      <c r="V796" s="174">
        <v>4.4999999999999998E-2</v>
      </c>
      <c r="W796" s="189">
        <v>8.5319999999999993E-2</v>
      </c>
      <c r="X796" s="4" t="s">
        <v>602</v>
      </c>
      <c r="Y796" s="4" t="s">
        <v>312</v>
      </c>
      <c r="Z796" s="158">
        <v>15000</v>
      </c>
      <c r="AA796" s="158">
        <v>1</v>
      </c>
      <c r="AB796" s="158">
        <v>92.31</v>
      </c>
      <c r="AD796" s="158">
        <v>13.847</v>
      </c>
      <c r="AG796" s="11" t="s">
        <v>37</v>
      </c>
      <c r="AH796" s="189">
        <v>8.2999999999999998E-5</v>
      </c>
      <c r="AI796" s="189">
        <v>9.4972949350337398E-4</v>
      </c>
      <c r="AJ796" s="189">
        <v>2.06761181287752E-4</v>
      </c>
    </row>
    <row r="797" spans="1:36">
      <c r="A797" s="11" t="s">
        <v>256</v>
      </c>
      <c r="B797" s="11">
        <v>7206</v>
      </c>
      <c r="C797" s="11" t="s">
        <v>1888</v>
      </c>
      <c r="D797" s="11" t="s">
        <v>1889</v>
      </c>
      <c r="E797" s="4" t="s">
        <v>1552</v>
      </c>
      <c r="F797" s="11" t="s">
        <v>2573</v>
      </c>
      <c r="G797" s="11" t="s">
        <v>2574</v>
      </c>
      <c r="H797" s="11" t="s">
        <v>511</v>
      </c>
      <c r="I797" s="11" t="s">
        <v>1154</v>
      </c>
      <c r="J797" s="11" t="s">
        <v>31</v>
      </c>
      <c r="K797" s="11" t="s">
        <v>489</v>
      </c>
      <c r="L797" s="11" t="s">
        <v>517</v>
      </c>
      <c r="M797" s="11" t="s">
        <v>32</v>
      </c>
      <c r="N797" s="11" t="s">
        <v>653</v>
      </c>
      <c r="O797" s="11" t="s">
        <v>312</v>
      </c>
      <c r="P797" s="11" t="s">
        <v>2571</v>
      </c>
      <c r="Q797" s="11" t="s">
        <v>604</v>
      </c>
      <c r="R797" s="11" t="s">
        <v>596</v>
      </c>
      <c r="S797" s="11" t="s">
        <v>35</v>
      </c>
      <c r="T797" s="158">
        <v>2.2549999999999999</v>
      </c>
      <c r="U797" s="11" t="s">
        <v>2333</v>
      </c>
      <c r="V797" s="174">
        <v>2.75E-2</v>
      </c>
      <c r="W797" s="189">
        <v>5.3969999999999997E-2</v>
      </c>
      <c r="X797" s="4" t="s">
        <v>602</v>
      </c>
      <c r="Y797" s="4" t="s">
        <v>312</v>
      </c>
      <c r="Z797" s="158">
        <v>3679.81</v>
      </c>
      <c r="AA797" s="158">
        <v>1</v>
      </c>
      <c r="AB797" s="158">
        <v>94.46</v>
      </c>
      <c r="AD797" s="158">
        <v>3.476</v>
      </c>
      <c r="AG797" s="11" t="s">
        <v>37</v>
      </c>
      <c r="AH797" s="189">
        <v>4.5000000000000003E-5</v>
      </c>
      <c r="AI797" s="189">
        <v>2.3841482201579999E-4</v>
      </c>
      <c r="AJ797" s="189">
        <v>5.1904179636094401E-5</v>
      </c>
    </row>
    <row r="798" spans="1:36">
      <c r="A798" s="11" t="s">
        <v>256</v>
      </c>
      <c r="B798" s="11">
        <v>7206</v>
      </c>
      <c r="C798" s="11" t="s">
        <v>2575</v>
      </c>
      <c r="D798" s="11" t="s">
        <v>2576</v>
      </c>
      <c r="E798" s="4" t="s">
        <v>1552</v>
      </c>
      <c r="F798" s="11" t="s">
        <v>2577</v>
      </c>
      <c r="G798" s="11" t="s">
        <v>2578</v>
      </c>
      <c r="H798" s="11" t="s">
        <v>511</v>
      </c>
      <c r="I798" s="11" t="s">
        <v>945</v>
      </c>
      <c r="J798" s="11" t="s">
        <v>31</v>
      </c>
      <c r="K798" s="11" t="s">
        <v>31</v>
      </c>
      <c r="L798" s="11" t="s">
        <v>517</v>
      </c>
      <c r="M798" s="11" t="s">
        <v>32</v>
      </c>
      <c r="N798" s="11" t="s">
        <v>629</v>
      </c>
      <c r="O798" s="11" t="s">
        <v>312</v>
      </c>
      <c r="P798" s="27" t="s">
        <v>2165</v>
      </c>
      <c r="Q798" s="27" t="s">
        <v>2165</v>
      </c>
      <c r="R798" s="16" t="s">
        <v>2165</v>
      </c>
      <c r="S798" s="11" t="s">
        <v>35</v>
      </c>
      <c r="T798" s="158">
        <v>2.33</v>
      </c>
      <c r="U798" s="11" t="s">
        <v>2441</v>
      </c>
      <c r="V798" s="174">
        <v>2.3E-2</v>
      </c>
      <c r="W798" s="189">
        <v>5.7480000000000003E-2</v>
      </c>
      <c r="X798" s="4" t="s">
        <v>602</v>
      </c>
      <c r="Y798" s="4" t="s">
        <v>312</v>
      </c>
      <c r="Z798" s="158">
        <v>94200</v>
      </c>
      <c r="AA798" s="158">
        <v>1</v>
      </c>
      <c r="AB798" s="158">
        <v>102.42</v>
      </c>
      <c r="AD798" s="158">
        <v>96.48</v>
      </c>
      <c r="AG798" s="11" t="s">
        <v>37</v>
      </c>
      <c r="AH798" s="189">
        <v>2.4800000000000001E-4</v>
      </c>
      <c r="AI798" s="189">
        <v>6.6175249796401898E-3</v>
      </c>
      <c r="AJ798" s="189">
        <v>1.44067051865938E-3</v>
      </c>
    </row>
    <row r="799" spans="1:36">
      <c r="A799" s="11" t="s">
        <v>256</v>
      </c>
      <c r="B799" s="11">
        <v>7206</v>
      </c>
      <c r="C799" s="11" t="s">
        <v>2575</v>
      </c>
      <c r="D799" s="11" t="s">
        <v>2576</v>
      </c>
      <c r="E799" s="4" t="s">
        <v>1552</v>
      </c>
      <c r="F799" s="11" t="s">
        <v>2579</v>
      </c>
      <c r="G799" s="11" t="s">
        <v>2578</v>
      </c>
      <c r="H799" s="11" t="s">
        <v>511</v>
      </c>
      <c r="I799" s="11" t="s">
        <v>945</v>
      </c>
      <c r="J799" s="11" t="s">
        <v>31</v>
      </c>
      <c r="K799" s="11" t="s">
        <v>489</v>
      </c>
      <c r="L799" s="16" t="s">
        <v>519</v>
      </c>
      <c r="M799" s="11" t="s">
        <v>342</v>
      </c>
      <c r="N799" s="11" t="s">
        <v>629</v>
      </c>
      <c r="O799" s="11" t="s">
        <v>312</v>
      </c>
      <c r="P799" s="27" t="s">
        <v>2165</v>
      </c>
      <c r="Q799" s="27" t="s">
        <v>2165</v>
      </c>
      <c r="R799" s="16" t="s">
        <v>2165</v>
      </c>
      <c r="S799" s="11" t="s">
        <v>35</v>
      </c>
      <c r="T799" s="158">
        <v>2.33</v>
      </c>
      <c r="U799" s="11" t="s">
        <v>2441</v>
      </c>
      <c r="V799" s="174">
        <v>2.3E-2</v>
      </c>
      <c r="W799" s="189">
        <v>5.6239999999999998E-2</v>
      </c>
      <c r="X799" s="4" t="s">
        <v>602</v>
      </c>
      <c r="Y799" s="4" t="s">
        <v>312</v>
      </c>
      <c r="Z799" s="158">
        <v>20000</v>
      </c>
      <c r="AA799" s="158">
        <v>1</v>
      </c>
      <c r="AB799" s="158">
        <v>101.483</v>
      </c>
      <c r="AD799" s="158">
        <v>20.297000000000001</v>
      </c>
      <c r="AG799" s="11" t="s">
        <v>37</v>
      </c>
      <c r="AH799" s="189">
        <v>0</v>
      </c>
      <c r="AI799" s="189">
        <v>1.3921347714440601E-3</v>
      </c>
      <c r="AJ799" s="189">
        <v>3.0307517227220598E-4</v>
      </c>
    </row>
    <row r="800" spans="1:36">
      <c r="A800" s="11" t="s">
        <v>256</v>
      </c>
      <c r="B800" s="11">
        <v>7206</v>
      </c>
      <c r="C800" s="11" t="s">
        <v>2883</v>
      </c>
      <c r="D800" s="11" t="s">
        <v>2884</v>
      </c>
      <c r="E800" s="4" t="s">
        <v>1552</v>
      </c>
      <c r="F800" s="11" t="s">
        <v>2885</v>
      </c>
      <c r="G800" s="11" t="s">
        <v>2886</v>
      </c>
      <c r="H800" s="11" t="s">
        <v>511</v>
      </c>
      <c r="I800" s="11" t="s">
        <v>945</v>
      </c>
      <c r="J800" s="11" t="s">
        <v>31</v>
      </c>
      <c r="K800" s="11" t="s">
        <v>31</v>
      </c>
      <c r="L800" s="11" t="s">
        <v>517</v>
      </c>
      <c r="M800" s="11" t="s">
        <v>32</v>
      </c>
      <c r="N800" s="11" t="s">
        <v>629</v>
      </c>
      <c r="O800" s="11" t="s">
        <v>312</v>
      </c>
      <c r="P800" s="27" t="s">
        <v>2165</v>
      </c>
      <c r="Q800" s="27" t="s">
        <v>2165</v>
      </c>
      <c r="R800" s="16" t="s">
        <v>2165</v>
      </c>
      <c r="S800" s="11" t="s">
        <v>35</v>
      </c>
      <c r="T800" s="158">
        <v>2.3460000000000001</v>
      </c>
      <c r="U800" s="11" t="s">
        <v>2441</v>
      </c>
      <c r="V800" s="174">
        <v>2.9499999999999998E-2</v>
      </c>
      <c r="W800" s="189">
        <v>4.1820000000000003E-2</v>
      </c>
      <c r="X800" s="4" t="s">
        <v>602</v>
      </c>
      <c r="Y800" s="4" t="s">
        <v>312</v>
      </c>
      <c r="Z800" s="158">
        <v>8550</v>
      </c>
      <c r="AA800" s="158">
        <v>1</v>
      </c>
      <c r="AB800" s="158">
        <v>106</v>
      </c>
      <c r="AD800" s="158">
        <v>9.0630000000000006</v>
      </c>
      <c r="AG800" s="11" t="s">
        <v>37</v>
      </c>
      <c r="AH800" s="189">
        <v>3.8000000000000002E-5</v>
      </c>
      <c r="AI800" s="189">
        <v>6.2162989922515295E-4</v>
      </c>
      <c r="AJ800" s="189">
        <v>1.3533214790820101E-4</v>
      </c>
    </row>
    <row r="801" spans="1:36">
      <c r="A801" s="11" t="s">
        <v>256</v>
      </c>
      <c r="B801" s="11">
        <v>7206</v>
      </c>
      <c r="C801" s="11" t="s">
        <v>2580</v>
      </c>
      <c r="D801" s="11" t="s">
        <v>2581</v>
      </c>
      <c r="E801" s="4" t="s">
        <v>1552</v>
      </c>
      <c r="F801" s="11" t="s">
        <v>2582</v>
      </c>
      <c r="G801" s="11" t="s">
        <v>2583</v>
      </c>
      <c r="H801" s="11" t="s">
        <v>511</v>
      </c>
      <c r="I801" s="11" t="s">
        <v>1155</v>
      </c>
      <c r="J801" s="11" t="s">
        <v>31</v>
      </c>
      <c r="K801" s="11" t="s">
        <v>31</v>
      </c>
      <c r="L801" s="11" t="s">
        <v>517</v>
      </c>
      <c r="M801" s="11" t="s">
        <v>32</v>
      </c>
      <c r="N801" s="11" t="s">
        <v>635</v>
      </c>
      <c r="O801" s="11" t="s">
        <v>312</v>
      </c>
      <c r="P801" s="27" t="s">
        <v>2165</v>
      </c>
      <c r="Q801" s="27" t="s">
        <v>2165</v>
      </c>
      <c r="R801" s="16" t="s">
        <v>2165</v>
      </c>
      <c r="S801" s="11" t="s">
        <v>35</v>
      </c>
      <c r="T801" s="158">
        <v>3.1920000000000002</v>
      </c>
      <c r="U801" s="11" t="s">
        <v>2170</v>
      </c>
      <c r="V801" s="174">
        <v>5.5E-2</v>
      </c>
      <c r="W801" s="189">
        <v>6.0490000000000002E-2</v>
      </c>
      <c r="X801" s="4" t="s">
        <v>602</v>
      </c>
      <c r="Y801" s="4" t="s">
        <v>312</v>
      </c>
      <c r="Z801" s="158">
        <v>8000</v>
      </c>
      <c r="AA801" s="158">
        <v>1</v>
      </c>
      <c r="AB801" s="158">
        <v>98.6</v>
      </c>
      <c r="AD801" s="158">
        <v>7.8879999999999999</v>
      </c>
      <c r="AG801" s="11" t="s">
        <v>37</v>
      </c>
      <c r="AH801" s="189">
        <v>1.4799999999999999E-4</v>
      </c>
      <c r="AI801" s="189">
        <v>5.4103681397859498E-4</v>
      </c>
      <c r="AJ801" s="189">
        <v>1.177866029681E-4</v>
      </c>
    </row>
    <row r="802" spans="1:36">
      <c r="A802" s="11" t="s">
        <v>256</v>
      </c>
      <c r="B802" s="11">
        <v>7206</v>
      </c>
      <c r="C802" s="11" t="s">
        <v>2584</v>
      </c>
      <c r="D802" s="11" t="s">
        <v>2585</v>
      </c>
      <c r="E802" s="4" t="s">
        <v>34</v>
      </c>
      <c r="F802" s="11" t="s">
        <v>2586</v>
      </c>
      <c r="G802" s="11" t="s">
        <v>2587</v>
      </c>
      <c r="H802" s="11" t="s">
        <v>511</v>
      </c>
      <c r="I802" s="11" t="s">
        <v>364</v>
      </c>
      <c r="J802" s="11" t="s">
        <v>31</v>
      </c>
      <c r="K802" s="11" t="s">
        <v>155</v>
      </c>
      <c r="L802" s="11" t="s">
        <v>517</v>
      </c>
      <c r="M802" s="11" t="s">
        <v>32</v>
      </c>
      <c r="N802" s="11" t="s">
        <v>631</v>
      </c>
      <c r="O802" s="11" t="s">
        <v>312</v>
      </c>
      <c r="P802" s="11" t="s">
        <v>168</v>
      </c>
      <c r="Q802" s="11" t="s">
        <v>604</v>
      </c>
      <c r="R802" s="11" t="s">
        <v>596</v>
      </c>
      <c r="S802" s="11" t="s">
        <v>35</v>
      </c>
      <c r="T802" s="158">
        <v>2</v>
      </c>
      <c r="U802" s="11" t="s">
        <v>2588</v>
      </c>
      <c r="V802" s="174">
        <v>8.9242000000000002E-2</v>
      </c>
      <c r="W802" s="189">
        <v>8.5949999999999999E-2</v>
      </c>
      <c r="X802" s="4" t="s">
        <v>602</v>
      </c>
      <c r="Y802" s="4" t="s">
        <v>312</v>
      </c>
      <c r="Z802" s="158">
        <v>22000</v>
      </c>
      <c r="AA802" s="158">
        <v>1</v>
      </c>
      <c r="AB802" s="158">
        <v>105</v>
      </c>
      <c r="AD802" s="158">
        <v>23.1</v>
      </c>
      <c r="AG802" s="11" t="s">
        <v>37</v>
      </c>
      <c r="AH802" s="189">
        <v>5.1999999999999997E-5</v>
      </c>
      <c r="AI802" s="189">
        <v>1.58442576101744E-3</v>
      </c>
      <c r="AJ802" s="189">
        <v>3.4493794733305003E-4</v>
      </c>
    </row>
    <row r="803" spans="1:36">
      <c r="A803" s="11" t="s">
        <v>256</v>
      </c>
      <c r="B803" s="11">
        <v>7206</v>
      </c>
      <c r="C803" s="11" t="s">
        <v>2589</v>
      </c>
      <c r="D803" s="11" t="s">
        <v>2590</v>
      </c>
      <c r="E803" s="4" t="s">
        <v>1552</v>
      </c>
      <c r="F803" s="11" t="s">
        <v>2591</v>
      </c>
      <c r="G803" s="11" t="s">
        <v>2592</v>
      </c>
      <c r="H803" s="11" t="s">
        <v>511</v>
      </c>
      <c r="I803" s="11" t="s">
        <v>945</v>
      </c>
      <c r="J803" s="11" t="s">
        <v>31</v>
      </c>
      <c r="K803" s="11" t="s">
        <v>31</v>
      </c>
      <c r="L803" s="11" t="s">
        <v>517</v>
      </c>
      <c r="M803" s="11" t="s">
        <v>32</v>
      </c>
      <c r="N803" s="11" t="s">
        <v>652</v>
      </c>
      <c r="O803" s="11" t="s">
        <v>312</v>
      </c>
      <c r="P803" s="11" t="s">
        <v>2418</v>
      </c>
      <c r="Q803" s="11" t="s">
        <v>604</v>
      </c>
      <c r="R803" s="11" t="s">
        <v>596</v>
      </c>
      <c r="S803" s="11" t="s">
        <v>35</v>
      </c>
      <c r="T803" s="158">
        <v>0.53400000000000003</v>
      </c>
      <c r="U803" s="11" t="s">
        <v>2593</v>
      </c>
      <c r="V803" s="174">
        <v>2.75E-2</v>
      </c>
      <c r="W803" s="189">
        <v>3.2379999999999999E-2</v>
      </c>
      <c r="X803" s="4" t="s">
        <v>602</v>
      </c>
      <c r="Y803" s="4" t="s">
        <v>312</v>
      </c>
      <c r="Z803" s="158">
        <v>67000.289999999994</v>
      </c>
      <c r="AA803" s="158">
        <v>1</v>
      </c>
      <c r="AB803" s="158">
        <v>114.52</v>
      </c>
      <c r="AD803" s="158">
        <v>76.728999999999999</v>
      </c>
      <c r="AG803" s="11" t="s">
        <v>37</v>
      </c>
      <c r="AH803" s="189">
        <v>4.8500000000000003E-4</v>
      </c>
      <c r="AI803" s="189">
        <v>5.26281297671519E-3</v>
      </c>
      <c r="AJ803" s="189">
        <v>1.14574248289182E-3</v>
      </c>
    </row>
    <row r="804" spans="1:36">
      <c r="A804" s="11" t="s">
        <v>256</v>
      </c>
      <c r="B804" s="11">
        <v>7206</v>
      </c>
      <c r="C804" s="11" t="s">
        <v>2589</v>
      </c>
      <c r="D804" s="11" t="s">
        <v>2590</v>
      </c>
      <c r="E804" s="4" t="s">
        <v>1552</v>
      </c>
      <c r="F804" s="11" t="s">
        <v>2594</v>
      </c>
      <c r="G804" s="11" t="s">
        <v>2595</v>
      </c>
      <c r="H804" s="11" t="s">
        <v>511</v>
      </c>
      <c r="I804" s="11" t="s">
        <v>945</v>
      </c>
      <c r="J804" s="11" t="s">
        <v>31</v>
      </c>
      <c r="K804" s="11" t="s">
        <v>31</v>
      </c>
      <c r="L804" s="11" t="s">
        <v>517</v>
      </c>
      <c r="M804" s="11" t="s">
        <v>32</v>
      </c>
      <c r="N804" s="11" t="s">
        <v>652</v>
      </c>
      <c r="O804" s="11" t="s">
        <v>312</v>
      </c>
      <c r="P804" s="11" t="s">
        <v>2418</v>
      </c>
      <c r="Q804" s="11" t="s">
        <v>604</v>
      </c>
      <c r="R804" s="11" t="s">
        <v>596</v>
      </c>
      <c r="S804" s="11" t="s">
        <v>35</v>
      </c>
      <c r="T804" s="158">
        <v>3.157</v>
      </c>
      <c r="U804" s="11" t="s">
        <v>2596</v>
      </c>
      <c r="V804" s="174">
        <v>1.9599999999999999E-2</v>
      </c>
      <c r="W804" s="189">
        <v>2.9319999999999999E-2</v>
      </c>
      <c r="X804" s="4" t="s">
        <v>602</v>
      </c>
      <c r="Y804" s="4" t="s">
        <v>312</v>
      </c>
      <c r="Z804" s="158">
        <v>168000.82</v>
      </c>
      <c r="AA804" s="158">
        <v>1</v>
      </c>
      <c r="AB804" s="158">
        <v>111.11</v>
      </c>
      <c r="AD804" s="158">
        <v>186.666</v>
      </c>
      <c r="AG804" s="11" t="s">
        <v>37</v>
      </c>
      <c r="AH804" s="189">
        <v>1.47E-4</v>
      </c>
      <c r="AI804" s="189">
        <v>1.28033749510237E-2</v>
      </c>
      <c r="AJ804" s="189">
        <v>2.78736308333281E-3</v>
      </c>
    </row>
    <row r="805" spans="1:36">
      <c r="A805" s="11" t="s">
        <v>256</v>
      </c>
      <c r="B805" s="11">
        <v>7206</v>
      </c>
      <c r="C805" s="11" t="s">
        <v>2589</v>
      </c>
      <c r="D805" s="11" t="s">
        <v>2590</v>
      </c>
      <c r="E805" s="4" t="s">
        <v>1552</v>
      </c>
      <c r="F805" s="11" t="s">
        <v>2597</v>
      </c>
      <c r="G805" s="11" t="s">
        <v>2598</v>
      </c>
      <c r="H805" s="11" t="s">
        <v>511</v>
      </c>
      <c r="I805" s="11" t="s">
        <v>945</v>
      </c>
      <c r="J805" s="11" t="s">
        <v>31</v>
      </c>
      <c r="K805" s="11" t="s">
        <v>31</v>
      </c>
      <c r="L805" s="11" t="s">
        <v>517</v>
      </c>
      <c r="M805" s="11" t="s">
        <v>32</v>
      </c>
      <c r="N805" s="11" t="s">
        <v>652</v>
      </c>
      <c r="O805" s="11" t="s">
        <v>312</v>
      </c>
      <c r="P805" s="11" t="s">
        <v>2418</v>
      </c>
      <c r="Q805" s="11" t="s">
        <v>604</v>
      </c>
      <c r="R805" s="11" t="s">
        <v>596</v>
      </c>
      <c r="S805" s="11" t="s">
        <v>35</v>
      </c>
      <c r="T805" s="158">
        <v>6.0330000000000004</v>
      </c>
      <c r="U805" s="11" t="s">
        <v>2599</v>
      </c>
      <c r="V805" s="174">
        <v>1.5800000000000002E-2</v>
      </c>
      <c r="W805" s="189">
        <v>3.5290000000000002E-2</v>
      </c>
      <c r="X805" s="4" t="s">
        <v>602</v>
      </c>
      <c r="Y805" s="4" t="s">
        <v>312</v>
      </c>
      <c r="Z805" s="158">
        <v>131907.51</v>
      </c>
      <c r="AA805" s="158">
        <v>1</v>
      </c>
      <c r="AB805" s="158">
        <v>101.56</v>
      </c>
      <c r="AD805" s="158">
        <v>133.965</v>
      </c>
      <c r="AG805" s="11" t="s">
        <v>37</v>
      </c>
      <c r="AH805" s="189">
        <v>1.06E-4</v>
      </c>
      <c r="AI805" s="189">
        <v>9.1886588901969497E-3</v>
      </c>
      <c r="AJ805" s="189">
        <v>2.0004200981261601E-3</v>
      </c>
    </row>
    <row r="806" spans="1:36">
      <c r="A806" s="11" t="s">
        <v>256</v>
      </c>
      <c r="B806" s="11">
        <v>7206</v>
      </c>
      <c r="C806" s="11" t="s">
        <v>2600</v>
      </c>
      <c r="D806" s="11" t="s">
        <v>2601</v>
      </c>
      <c r="E806" s="4" t="s">
        <v>1552</v>
      </c>
      <c r="F806" s="11" t="s">
        <v>2602</v>
      </c>
      <c r="G806" s="11" t="s">
        <v>2603</v>
      </c>
      <c r="H806" s="11" t="s">
        <v>511</v>
      </c>
      <c r="I806" s="11" t="s">
        <v>945</v>
      </c>
      <c r="J806" s="11" t="s">
        <v>31</v>
      </c>
      <c r="K806" s="11" t="s">
        <v>31</v>
      </c>
      <c r="L806" s="11" t="s">
        <v>517</v>
      </c>
      <c r="M806" s="11" t="s">
        <v>32</v>
      </c>
      <c r="N806" s="11" t="s">
        <v>673</v>
      </c>
      <c r="O806" s="11" t="s">
        <v>312</v>
      </c>
      <c r="P806" s="11" t="s">
        <v>2161</v>
      </c>
      <c r="Q806" s="11" t="s">
        <v>358</v>
      </c>
      <c r="R806" s="11" t="s">
        <v>596</v>
      </c>
      <c r="S806" s="11" t="s">
        <v>35</v>
      </c>
      <c r="T806" s="158">
        <v>8.0000000000000002E-3</v>
      </c>
      <c r="U806" s="11" t="s">
        <v>361</v>
      </c>
      <c r="V806" s="174">
        <v>1.9800000000000002E-2</v>
      </c>
      <c r="W806" s="189">
        <v>6.3280000000000003E-2</v>
      </c>
      <c r="X806" s="4" t="s">
        <v>602</v>
      </c>
      <c r="Y806" s="4" t="s">
        <v>312</v>
      </c>
      <c r="Z806" s="158">
        <v>1000</v>
      </c>
      <c r="AA806" s="158">
        <v>1</v>
      </c>
      <c r="AB806" s="158">
        <v>114.69</v>
      </c>
      <c r="AD806" s="158">
        <v>1.147</v>
      </c>
      <c r="AG806" s="11" t="s">
        <v>37</v>
      </c>
      <c r="AH806" s="189">
        <v>6.9999999999999999E-6</v>
      </c>
      <c r="AI806" s="189">
        <v>7.8665710186619006E-5</v>
      </c>
      <c r="AJ806" s="189">
        <v>1.7125945099405799E-5</v>
      </c>
    </row>
    <row r="807" spans="1:36">
      <c r="A807" s="11" t="s">
        <v>256</v>
      </c>
      <c r="B807" s="11">
        <v>7206</v>
      </c>
      <c r="C807" s="11" t="s">
        <v>2604</v>
      </c>
      <c r="D807" s="11" t="s">
        <v>2605</v>
      </c>
      <c r="E807" s="4" t="s">
        <v>504</v>
      </c>
      <c r="F807" s="11" t="s">
        <v>2606</v>
      </c>
      <c r="G807" s="11" t="s">
        <v>2607</v>
      </c>
      <c r="H807" s="11" t="s">
        <v>511</v>
      </c>
      <c r="I807" s="11" t="s">
        <v>1154</v>
      </c>
      <c r="J807" s="11" t="s">
        <v>154</v>
      </c>
      <c r="K807" s="11" t="s">
        <v>155</v>
      </c>
      <c r="L807" s="11" t="s">
        <v>517</v>
      </c>
      <c r="M807" s="11" t="s">
        <v>32</v>
      </c>
      <c r="N807" s="11" t="s">
        <v>653</v>
      </c>
      <c r="O807" s="11" t="s">
        <v>312</v>
      </c>
      <c r="P807" s="11" t="s">
        <v>2161</v>
      </c>
      <c r="Q807" s="11" t="s">
        <v>358</v>
      </c>
      <c r="R807" s="11" t="s">
        <v>596</v>
      </c>
      <c r="S807" s="11" t="s">
        <v>35</v>
      </c>
      <c r="T807" s="158">
        <v>0.41599999999999998</v>
      </c>
      <c r="U807" s="11" t="s">
        <v>2608</v>
      </c>
      <c r="V807" s="174">
        <v>3.9E-2</v>
      </c>
      <c r="W807" s="189">
        <v>5.9380000000000002E-2</v>
      </c>
      <c r="X807" s="4" t="s">
        <v>602</v>
      </c>
      <c r="Y807" s="4" t="s">
        <v>312</v>
      </c>
      <c r="Z807" s="158">
        <v>88167.35</v>
      </c>
      <c r="AA807" s="158">
        <v>1</v>
      </c>
      <c r="AB807" s="158">
        <v>99.53</v>
      </c>
      <c r="AD807" s="158">
        <v>87.753</v>
      </c>
      <c r="AG807" s="11" t="s">
        <v>37</v>
      </c>
      <c r="AH807" s="189">
        <v>2.2800000000000001E-4</v>
      </c>
      <c r="AI807" s="189">
        <v>6.0189634590356597E-3</v>
      </c>
      <c r="AJ807" s="189">
        <v>1.3103604799376599E-3</v>
      </c>
    </row>
    <row r="808" spans="1:36">
      <c r="A808" s="11" t="s">
        <v>256</v>
      </c>
      <c r="B808" s="11">
        <v>7206</v>
      </c>
      <c r="C808" s="11" t="s">
        <v>1895</v>
      </c>
      <c r="D808" s="11" t="s">
        <v>1896</v>
      </c>
      <c r="E808" s="4" t="s">
        <v>1552</v>
      </c>
      <c r="F808" s="11" t="s">
        <v>2609</v>
      </c>
      <c r="G808" s="11" t="s">
        <v>2610</v>
      </c>
      <c r="H808" s="11" t="s">
        <v>511</v>
      </c>
      <c r="I808" s="11" t="s">
        <v>945</v>
      </c>
      <c r="J808" s="11" t="s">
        <v>31</v>
      </c>
      <c r="K808" s="11" t="s">
        <v>31</v>
      </c>
      <c r="L808" s="11" t="s">
        <v>517</v>
      </c>
      <c r="M808" s="11" t="s">
        <v>32</v>
      </c>
      <c r="N808" s="11" t="s">
        <v>652</v>
      </c>
      <c r="O808" s="11" t="s">
        <v>312</v>
      </c>
      <c r="P808" s="11" t="s">
        <v>2571</v>
      </c>
      <c r="Q808" s="11" t="s">
        <v>604</v>
      </c>
      <c r="R808" s="11" t="s">
        <v>596</v>
      </c>
      <c r="S808" s="11" t="s">
        <v>35</v>
      </c>
      <c r="T808" s="158">
        <v>3.1429999999999998</v>
      </c>
      <c r="U808" s="11" t="s">
        <v>2611</v>
      </c>
      <c r="V808" s="174">
        <v>1.34E-2</v>
      </c>
      <c r="W808" s="189">
        <v>2.777E-2</v>
      </c>
      <c r="X808" s="4" t="s">
        <v>602</v>
      </c>
      <c r="Y808" s="4" t="s">
        <v>312</v>
      </c>
      <c r="Z808" s="158">
        <v>74769.45</v>
      </c>
      <c r="AA808" s="158">
        <v>1</v>
      </c>
      <c r="AB808" s="158">
        <v>110</v>
      </c>
      <c r="AC808" s="158">
        <v>7.79</v>
      </c>
      <c r="AD808" s="158">
        <v>90.037000000000006</v>
      </c>
      <c r="AG808" s="11" t="s">
        <v>37</v>
      </c>
      <c r="AH808" s="189">
        <v>2.5999999999999998E-5</v>
      </c>
      <c r="AI808" s="189">
        <v>6.1756111444781804E-3</v>
      </c>
      <c r="AJ808" s="189">
        <v>1.3444635173916299E-3</v>
      </c>
    </row>
    <row r="809" spans="1:36">
      <c r="A809" s="11" t="s">
        <v>256</v>
      </c>
      <c r="B809" s="11">
        <v>7206</v>
      </c>
      <c r="C809" s="11" t="s">
        <v>1895</v>
      </c>
      <c r="D809" s="11" t="s">
        <v>1896</v>
      </c>
      <c r="E809" s="4" t="s">
        <v>1552</v>
      </c>
      <c r="F809" s="11" t="s">
        <v>2612</v>
      </c>
      <c r="G809" s="11" t="s">
        <v>2613</v>
      </c>
      <c r="H809" s="11" t="s">
        <v>511</v>
      </c>
      <c r="I809" s="11" t="s">
        <v>945</v>
      </c>
      <c r="J809" s="11" t="s">
        <v>31</v>
      </c>
      <c r="K809" s="11" t="s">
        <v>31</v>
      </c>
      <c r="L809" s="11" t="s">
        <v>517</v>
      </c>
      <c r="M809" s="11" t="s">
        <v>32</v>
      </c>
      <c r="N809" s="11" t="s">
        <v>652</v>
      </c>
      <c r="O809" s="11" t="s">
        <v>312</v>
      </c>
      <c r="P809" s="11" t="s">
        <v>2571</v>
      </c>
      <c r="Q809" s="11" t="s">
        <v>604</v>
      </c>
      <c r="R809" s="11" t="s">
        <v>596</v>
      </c>
      <c r="S809" s="11" t="s">
        <v>35</v>
      </c>
      <c r="T809" s="158">
        <v>2.7959999999999998</v>
      </c>
      <c r="U809" s="11" t="s">
        <v>2166</v>
      </c>
      <c r="V809" s="174">
        <v>1.77E-2</v>
      </c>
      <c r="W809" s="189">
        <v>2.615E-2</v>
      </c>
      <c r="X809" s="4" t="s">
        <v>602</v>
      </c>
      <c r="Y809" s="4" t="s">
        <v>312</v>
      </c>
      <c r="Z809" s="158">
        <v>113000.76</v>
      </c>
      <c r="AA809" s="158">
        <v>1</v>
      </c>
      <c r="AB809" s="158">
        <v>110.8</v>
      </c>
      <c r="AD809" s="158">
        <v>125.205</v>
      </c>
      <c r="AG809" s="11" t="s">
        <v>37</v>
      </c>
      <c r="AH809" s="189">
        <v>4.1E-5</v>
      </c>
      <c r="AI809" s="189">
        <v>8.5877825625832096E-3</v>
      </c>
      <c r="AJ809" s="189">
        <v>1.86960611355991E-3</v>
      </c>
    </row>
    <row r="810" spans="1:36">
      <c r="A810" s="11" t="s">
        <v>256</v>
      </c>
      <c r="B810" s="11">
        <v>7206</v>
      </c>
      <c r="C810" s="11" t="s">
        <v>2614</v>
      </c>
      <c r="D810" s="11" t="s">
        <v>2615</v>
      </c>
      <c r="E810" s="4" t="s">
        <v>1552</v>
      </c>
      <c r="F810" s="11" t="s">
        <v>2616</v>
      </c>
      <c r="G810" s="11" t="s">
        <v>2617</v>
      </c>
      <c r="H810" s="11" t="s">
        <v>511</v>
      </c>
      <c r="I810" s="11" t="s">
        <v>1154</v>
      </c>
      <c r="J810" s="11" t="s">
        <v>31</v>
      </c>
      <c r="K810" s="11" t="s">
        <v>31</v>
      </c>
      <c r="L810" s="11" t="s">
        <v>517</v>
      </c>
      <c r="M810" s="11" t="s">
        <v>32</v>
      </c>
      <c r="N810" s="11" t="s">
        <v>652</v>
      </c>
      <c r="O810" s="11" t="s">
        <v>312</v>
      </c>
      <c r="P810" s="11" t="s">
        <v>157</v>
      </c>
      <c r="Q810" s="11" t="s">
        <v>604</v>
      </c>
      <c r="R810" s="11" t="s">
        <v>596</v>
      </c>
      <c r="S810" s="11" t="s">
        <v>35</v>
      </c>
      <c r="T810" s="158">
        <v>1.917</v>
      </c>
      <c r="U810" s="11" t="s">
        <v>2618</v>
      </c>
      <c r="V810" s="174">
        <v>1.44E-2</v>
      </c>
      <c r="W810" s="189">
        <v>4.7489999999999997E-2</v>
      </c>
      <c r="X810" s="4" t="s">
        <v>602</v>
      </c>
      <c r="Y810" s="4" t="s">
        <v>312</v>
      </c>
      <c r="Z810" s="158">
        <v>48000.03</v>
      </c>
      <c r="AA810" s="158">
        <v>1</v>
      </c>
      <c r="AB810" s="158">
        <v>94.32</v>
      </c>
      <c r="AD810" s="158">
        <v>45.274000000000001</v>
      </c>
      <c r="AG810" s="11" t="s">
        <v>37</v>
      </c>
      <c r="AH810" s="189">
        <v>1.2E-4</v>
      </c>
      <c r="AI810" s="189">
        <v>3.1053118167493699E-3</v>
      </c>
      <c r="AJ810" s="189">
        <v>6.7604296159055096E-4</v>
      </c>
    </row>
    <row r="811" spans="1:36">
      <c r="A811" s="11" t="s">
        <v>256</v>
      </c>
      <c r="B811" s="11">
        <v>7206</v>
      </c>
      <c r="C811" s="11" t="s">
        <v>1903</v>
      </c>
      <c r="D811" s="11" t="s">
        <v>1904</v>
      </c>
      <c r="E811" s="4" t="s">
        <v>1552</v>
      </c>
      <c r="F811" s="11" t="s">
        <v>2619</v>
      </c>
      <c r="G811" s="11" t="s">
        <v>2620</v>
      </c>
      <c r="H811" s="11" t="s">
        <v>511</v>
      </c>
      <c r="I811" s="11" t="s">
        <v>1154</v>
      </c>
      <c r="J811" s="11" t="s">
        <v>31</v>
      </c>
      <c r="K811" s="11" t="s">
        <v>31</v>
      </c>
      <c r="L811" s="11" t="s">
        <v>517</v>
      </c>
      <c r="M811" s="11" t="s">
        <v>32</v>
      </c>
      <c r="N811" s="11" t="s">
        <v>636</v>
      </c>
      <c r="O811" s="11" t="s">
        <v>312</v>
      </c>
      <c r="P811" s="11" t="s">
        <v>157</v>
      </c>
      <c r="Q811" s="11" t="s">
        <v>604</v>
      </c>
      <c r="R811" s="11" t="s">
        <v>596</v>
      </c>
      <c r="S811" s="11" t="s">
        <v>35</v>
      </c>
      <c r="T811" s="158">
        <v>0.89800000000000002</v>
      </c>
      <c r="U811" s="11" t="s">
        <v>2621</v>
      </c>
      <c r="V811" s="174">
        <v>3.7600000000000001E-2</v>
      </c>
      <c r="W811" s="189">
        <v>4.4880000000000003E-2</v>
      </c>
      <c r="X811" s="4" t="s">
        <v>602</v>
      </c>
      <c r="Y811" s="4" t="s">
        <v>312</v>
      </c>
      <c r="Z811" s="158">
        <v>195000</v>
      </c>
      <c r="AA811" s="158">
        <v>1</v>
      </c>
      <c r="AB811" s="158">
        <v>99.71</v>
      </c>
      <c r="AD811" s="158">
        <v>194.435</v>
      </c>
      <c r="AG811" s="11" t="s">
        <v>37</v>
      </c>
      <c r="AH811" s="189">
        <v>1.6200000000000001E-4</v>
      </c>
      <c r="AI811" s="189">
        <v>1.33362350922314E-2</v>
      </c>
      <c r="AJ811" s="189">
        <v>2.9033695809838902E-3</v>
      </c>
    </row>
    <row r="812" spans="1:36">
      <c r="A812" s="11" t="s">
        <v>256</v>
      </c>
      <c r="B812" s="11">
        <v>7206</v>
      </c>
      <c r="C812" s="11" t="s">
        <v>1903</v>
      </c>
      <c r="D812" s="11" t="s">
        <v>1904</v>
      </c>
      <c r="E812" s="4" t="s">
        <v>1552</v>
      </c>
      <c r="F812" s="11" t="s">
        <v>2622</v>
      </c>
      <c r="G812" s="11" t="s">
        <v>2623</v>
      </c>
      <c r="H812" s="11" t="s">
        <v>511</v>
      </c>
      <c r="I812" s="11" t="s">
        <v>945</v>
      </c>
      <c r="J812" s="11" t="s">
        <v>31</v>
      </c>
      <c r="K812" s="11" t="s">
        <v>31</v>
      </c>
      <c r="L812" s="11" t="s">
        <v>517</v>
      </c>
      <c r="M812" s="11" t="s">
        <v>32</v>
      </c>
      <c r="N812" s="11" t="s">
        <v>636</v>
      </c>
      <c r="O812" s="11" t="s">
        <v>312</v>
      </c>
      <c r="P812" s="11" t="s">
        <v>157</v>
      </c>
      <c r="Q812" s="11" t="s">
        <v>604</v>
      </c>
      <c r="R812" s="11" t="s">
        <v>596</v>
      </c>
      <c r="S812" s="11" t="s">
        <v>35</v>
      </c>
      <c r="T812" s="158">
        <v>3.806</v>
      </c>
      <c r="U812" s="11" t="s">
        <v>2624</v>
      </c>
      <c r="V812" s="174">
        <v>1E-3</v>
      </c>
      <c r="W812" s="189">
        <v>2.4920000000000001E-2</v>
      </c>
      <c r="X812" s="4" t="s">
        <v>602</v>
      </c>
      <c r="Y812" s="4" t="s">
        <v>312</v>
      </c>
      <c r="Z812" s="158">
        <v>103555.56</v>
      </c>
      <c r="AA812" s="158">
        <v>1</v>
      </c>
      <c r="AB812" s="158">
        <v>100.97</v>
      </c>
      <c r="AD812" s="158">
        <v>104.56</v>
      </c>
      <c r="AG812" s="11" t="s">
        <v>37</v>
      </c>
      <c r="AH812" s="189">
        <v>9.2E-5</v>
      </c>
      <c r="AI812" s="189">
        <v>7.17175909528591E-3</v>
      </c>
      <c r="AJ812" s="189">
        <v>1.5613302446600601E-3</v>
      </c>
    </row>
    <row r="813" spans="1:36">
      <c r="A813" s="11" t="s">
        <v>256</v>
      </c>
      <c r="B813" s="11">
        <v>7206</v>
      </c>
      <c r="C813" s="11" t="s">
        <v>1903</v>
      </c>
      <c r="D813" s="11" t="s">
        <v>1904</v>
      </c>
      <c r="E813" s="4" t="s">
        <v>1552</v>
      </c>
      <c r="F813" s="11" t="s">
        <v>2625</v>
      </c>
      <c r="G813" s="11" t="s">
        <v>2626</v>
      </c>
      <c r="H813" s="11" t="s">
        <v>511</v>
      </c>
      <c r="I813" s="11" t="s">
        <v>945</v>
      </c>
      <c r="J813" s="11" t="s">
        <v>31</v>
      </c>
      <c r="K813" s="11" t="s">
        <v>31</v>
      </c>
      <c r="L813" s="11" t="s">
        <v>517</v>
      </c>
      <c r="M813" s="11" t="s">
        <v>32</v>
      </c>
      <c r="N813" s="11" t="s">
        <v>636</v>
      </c>
      <c r="O813" s="11" t="s">
        <v>312</v>
      </c>
      <c r="P813" s="11" t="s">
        <v>157</v>
      </c>
      <c r="Q813" s="11" t="s">
        <v>604</v>
      </c>
      <c r="R813" s="11" t="s">
        <v>596</v>
      </c>
      <c r="S813" s="11" t="s">
        <v>35</v>
      </c>
      <c r="T813" s="158">
        <v>4.1619999999999999</v>
      </c>
      <c r="U813" s="11" t="s">
        <v>2627</v>
      </c>
      <c r="V813" s="174">
        <v>1.3899999999999999E-2</v>
      </c>
      <c r="W813" s="189">
        <v>2.504E-2</v>
      </c>
      <c r="X813" s="4" t="s">
        <v>602</v>
      </c>
      <c r="Y813" s="4" t="s">
        <v>312</v>
      </c>
      <c r="Z813" s="158">
        <v>224100</v>
      </c>
      <c r="AA813" s="158">
        <v>1</v>
      </c>
      <c r="AB813" s="158">
        <v>101.46</v>
      </c>
      <c r="AD813" s="158">
        <v>227.37200000000001</v>
      </c>
      <c r="AG813" s="11" t="s">
        <v>37</v>
      </c>
      <c r="AH813" s="189">
        <v>1.2400000000000001E-4</v>
      </c>
      <c r="AI813" s="189">
        <v>1.5595403996296499E-2</v>
      </c>
      <c r="AJ813" s="189">
        <v>3.3952027129739199E-3</v>
      </c>
    </row>
    <row r="814" spans="1:36">
      <c r="A814" s="11" t="s">
        <v>256</v>
      </c>
      <c r="B814" s="11">
        <v>7206</v>
      </c>
      <c r="C814" s="11" t="s">
        <v>1903</v>
      </c>
      <c r="D814" s="11" t="s">
        <v>1904</v>
      </c>
      <c r="E814" s="4" t="s">
        <v>1552</v>
      </c>
      <c r="F814" s="11" t="s">
        <v>2628</v>
      </c>
      <c r="G814" s="11" t="s">
        <v>2629</v>
      </c>
      <c r="H814" s="11" t="s">
        <v>511</v>
      </c>
      <c r="I814" s="11" t="s">
        <v>945</v>
      </c>
      <c r="J814" s="11" t="s">
        <v>31</v>
      </c>
      <c r="K814" s="11" t="s">
        <v>31</v>
      </c>
      <c r="L814" s="11" t="s">
        <v>517</v>
      </c>
      <c r="M814" s="11" t="s">
        <v>32</v>
      </c>
      <c r="N814" s="11" t="s">
        <v>636</v>
      </c>
      <c r="O814" s="11" t="s">
        <v>312</v>
      </c>
      <c r="P814" s="11" t="s">
        <v>157</v>
      </c>
      <c r="Q814" s="11" t="s">
        <v>604</v>
      </c>
      <c r="R814" s="11" t="s">
        <v>596</v>
      </c>
      <c r="S814" s="11" t="s">
        <v>35</v>
      </c>
      <c r="T814" s="158">
        <v>2.2930000000000001</v>
      </c>
      <c r="U814" s="11" t="s">
        <v>2630</v>
      </c>
      <c r="V814" s="174">
        <v>6.0000000000000001E-3</v>
      </c>
      <c r="W814" s="189">
        <v>2.052E-2</v>
      </c>
      <c r="X814" s="4" t="s">
        <v>602</v>
      </c>
      <c r="Y814" s="4" t="s">
        <v>312</v>
      </c>
      <c r="Z814" s="158">
        <v>117600.3</v>
      </c>
      <c r="AA814" s="158">
        <v>1</v>
      </c>
      <c r="AB814" s="158">
        <v>110.68</v>
      </c>
      <c r="AD814" s="158">
        <v>130.16</v>
      </c>
      <c r="AG814" s="11" t="s">
        <v>37</v>
      </c>
      <c r="AH814" s="189">
        <v>1.3200000000000001E-4</v>
      </c>
      <c r="AI814" s="189">
        <v>8.9276569753470106E-3</v>
      </c>
      <c r="AJ814" s="189">
        <v>1.9435985877888601E-3</v>
      </c>
    </row>
    <row r="815" spans="1:36">
      <c r="A815" s="11" t="s">
        <v>256</v>
      </c>
      <c r="B815" s="11">
        <v>7206</v>
      </c>
      <c r="C815" s="11" t="s">
        <v>1903</v>
      </c>
      <c r="D815" s="11" t="s">
        <v>1904</v>
      </c>
      <c r="E815" s="4" t="s">
        <v>1552</v>
      </c>
      <c r="F815" s="11" t="s">
        <v>2631</v>
      </c>
      <c r="G815" s="11" t="s">
        <v>2632</v>
      </c>
      <c r="H815" s="11" t="s">
        <v>511</v>
      </c>
      <c r="I815" s="11" t="s">
        <v>945</v>
      </c>
      <c r="J815" s="11" t="s">
        <v>31</v>
      </c>
      <c r="K815" s="11" t="s">
        <v>31</v>
      </c>
      <c r="L815" s="11" t="s">
        <v>517</v>
      </c>
      <c r="M815" s="11" t="s">
        <v>32</v>
      </c>
      <c r="N815" s="11" t="s">
        <v>636</v>
      </c>
      <c r="O815" s="11" t="s">
        <v>312</v>
      </c>
      <c r="P815" s="11" t="s">
        <v>157</v>
      </c>
      <c r="Q815" s="11" t="s">
        <v>604</v>
      </c>
      <c r="R815" s="11" t="s">
        <v>596</v>
      </c>
      <c r="S815" s="11" t="s">
        <v>35</v>
      </c>
      <c r="T815" s="158">
        <v>3.262</v>
      </c>
      <c r="U815" s="11" t="s">
        <v>2633</v>
      </c>
      <c r="V815" s="174">
        <v>1.7500000000000002E-2</v>
      </c>
      <c r="W815" s="189">
        <v>2.4060000000000002E-2</v>
      </c>
      <c r="X815" s="4" t="s">
        <v>602</v>
      </c>
      <c r="Y815" s="4" t="s">
        <v>312</v>
      </c>
      <c r="Z815" s="158">
        <v>416000.98</v>
      </c>
      <c r="AA815" s="158">
        <v>1</v>
      </c>
      <c r="AB815" s="158">
        <v>111.51</v>
      </c>
      <c r="AD815" s="158">
        <v>463.88299999999998</v>
      </c>
      <c r="AG815" s="11" t="s">
        <v>37</v>
      </c>
      <c r="AH815" s="189">
        <v>1.6000000000000001E-4</v>
      </c>
      <c r="AI815" s="189">
        <v>3.18176488553805E-2</v>
      </c>
      <c r="AJ815" s="189">
        <v>6.9268720284445901E-3</v>
      </c>
    </row>
    <row r="816" spans="1:36">
      <c r="A816" s="11" t="s">
        <v>256</v>
      </c>
      <c r="B816" s="11">
        <v>7206</v>
      </c>
      <c r="C816" s="11" t="s">
        <v>1907</v>
      </c>
      <c r="D816" s="11" t="s">
        <v>1908</v>
      </c>
      <c r="E816" s="4" t="s">
        <v>1552</v>
      </c>
      <c r="F816" s="11" t="s">
        <v>2634</v>
      </c>
      <c r="G816" s="11" t="s">
        <v>2635</v>
      </c>
      <c r="H816" s="11" t="s">
        <v>511</v>
      </c>
      <c r="I816" s="11" t="s">
        <v>1154</v>
      </c>
      <c r="J816" s="11" t="s">
        <v>31</v>
      </c>
      <c r="K816" s="11" t="s">
        <v>31</v>
      </c>
      <c r="L816" s="11" t="s">
        <v>517</v>
      </c>
      <c r="M816" s="11" t="s">
        <v>32</v>
      </c>
      <c r="N816" s="11" t="s">
        <v>665</v>
      </c>
      <c r="O816" s="11" t="s">
        <v>312</v>
      </c>
      <c r="P816" s="11" t="s">
        <v>2418</v>
      </c>
      <c r="Q816" s="11" t="s">
        <v>604</v>
      </c>
      <c r="R816" s="11" t="s">
        <v>596</v>
      </c>
      <c r="S816" s="11" t="s">
        <v>35</v>
      </c>
      <c r="T816" s="158">
        <v>1.5780000000000001</v>
      </c>
      <c r="U816" s="11" t="s">
        <v>2636</v>
      </c>
      <c r="V816" s="174">
        <v>2.29E-2</v>
      </c>
      <c r="W816" s="189">
        <v>4.9180000000000001E-2</v>
      </c>
      <c r="X816" s="4" t="s">
        <v>602</v>
      </c>
      <c r="Y816" s="4" t="s">
        <v>312</v>
      </c>
      <c r="Z816" s="158">
        <v>36099.1</v>
      </c>
      <c r="AA816" s="158">
        <v>1</v>
      </c>
      <c r="AB816" s="158">
        <v>96.26</v>
      </c>
      <c r="AD816" s="158">
        <v>34.749000000000002</v>
      </c>
      <c r="AG816" s="11" t="s">
        <v>37</v>
      </c>
      <c r="AH816" s="189">
        <v>8.7999999999999998E-5</v>
      </c>
      <c r="AI816" s="189">
        <v>2.38342860278509E-3</v>
      </c>
      <c r="AJ816" s="189">
        <v>5.18885131816865E-4</v>
      </c>
    </row>
    <row r="817" spans="1:36">
      <c r="A817" s="11" t="s">
        <v>256</v>
      </c>
      <c r="B817" s="11">
        <v>7206</v>
      </c>
      <c r="C817" s="11" t="s">
        <v>1907</v>
      </c>
      <c r="D817" s="11" t="s">
        <v>1908</v>
      </c>
      <c r="E817" s="4" t="s">
        <v>1552</v>
      </c>
      <c r="F817" s="11" t="s">
        <v>2637</v>
      </c>
      <c r="G817" s="11" t="s">
        <v>2638</v>
      </c>
      <c r="H817" s="11" t="s">
        <v>511</v>
      </c>
      <c r="I817" s="11" t="s">
        <v>1154</v>
      </c>
      <c r="J817" s="11" t="s">
        <v>31</v>
      </c>
      <c r="K817" s="11" t="s">
        <v>31</v>
      </c>
      <c r="L817" s="11" t="s">
        <v>517</v>
      </c>
      <c r="M817" s="11" t="s">
        <v>32</v>
      </c>
      <c r="N817" s="11" t="s">
        <v>665</v>
      </c>
      <c r="O817" s="11" t="s">
        <v>312</v>
      </c>
      <c r="P817" s="11" t="s">
        <v>2418</v>
      </c>
      <c r="Q817" s="11" t="s">
        <v>604</v>
      </c>
      <c r="R817" s="11" t="s">
        <v>596</v>
      </c>
      <c r="S817" s="11" t="s">
        <v>35</v>
      </c>
      <c r="T817" s="158">
        <v>0.03</v>
      </c>
      <c r="U817" s="11" t="s">
        <v>2639</v>
      </c>
      <c r="V817" s="174">
        <v>2.8000000000000001E-2</v>
      </c>
      <c r="W817" s="189">
        <v>0.24138999999999999</v>
      </c>
      <c r="X817" s="4" t="s">
        <v>602</v>
      </c>
      <c r="Y817" s="4" t="s">
        <v>312</v>
      </c>
      <c r="Z817" s="158">
        <v>6000</v>
      </c>
      <c r="AA817" s="158">
        <v>1</v>
      </c>
      <c r="AB817" s="158">
        <v>101.16</v>
      </c>
      <c r="AD817" s="158">
        <v>6.07</v>
      </c>
      <c r="AG817" s="11" t="s">
        <v>37</v>
      </c>
      <c r="AH817" s="189">
        <v>1.75E-4</v>
      </c>
      <c r="AI817" s="189">
        <v>4.1631301294681498E-4</v>
      </c>
      <c r="AJ817" s="189">
        <v>9.06335655901593E-5</v>
      </c>
    </row>
    <row r="818" spans="1:36">
      <c r="A818" s="11" t="s">
        <v>256</v>
      </c>
      <c r="B818" s="11">
        <v>7206</v>
      </c>
      <c r="C818" s="11" t="s">
        <v>2887</v>
      </c>
      <c r="D818" s="11" t="s">
        <v>2888</v>
      </c>
      <c r="E818" s="4" t="s">
        <v>1552</v>
      </c>
      <c r="F818" s="11" t="s">
        <v>2889</v>
      </c>
      <c r="G818" s="11" t="s">
        <v>2890</v>
      </c>
      <c r="H818" s="11" t="s">
        <v>511</v>
      </c>
      <c r="I818" s="11" t="s">
        <v>1154</v>
      </c>
      <c r="J818" s="11" t="s">
        <v>31</v>
      </c>
      <c r="K818" s="11" t="s">
        <v>31</v>
      </c>
      <c r="L818" s="11" t="s">
        <v>517</v>
      </c>
      <c r="M818" s="11" t="s">
        <v>32</v>
      </c>
      <c r="N818" s="11" t="s">
        <v>628</v>
      </c>
      <c r="O818" s="11" t="s">
        <v>312</v>
      </c>
      <c r="P818" s="27" t="s">
        <v>2165</v>
      </c>
      <c r="Q818" s="27" t="s">
        <v>2165</v>
      </c>
      <c r="R818" s="16" t="s">
        <v>2165</v>
      </c>
      <c r="S818" s="11" t="s">
        <v>35</v>
      </c>
      <c r="T818" s="158">
        <v>2.827</v>
      </c>
      <c r="U818" s="11" t="s">
        <v>2891</v>
      </c>
      <c r="V818" s="174">
        <v>7.4999999999999997E-2</v>
      </c>
      <c r="W818" s="189">
        <v>6.3880000000000006E-2</v>
      </c>
      <c r="X818" s="4" t="s">
        <v>602</v>
      </c>
      <c r="Y818" s="4" t="s">
        <v>312</v>
      </c>
      <c r="Z818" s="158">
        <v>9612.39</v>
      </c>
      <c r="AA818" s="158">
        <v>1</v>
      </c>
      <c r="AB818" s="158">
        <v>112.76</v>
      </c>
      <c r="AD818" s="158">
        <v>10.839</v>
      </c>
      <c r="AG818" s="11" t="s">
        <v>37</v>
      </c>
      <c r="AH818" s="189">
        <v>5.8E-5</v>
      </c>
      <c r="AI818" s="189">
        <v>7.43440755032518E-4</v>
      </c>
      <c r="AJ818" s="189">
        <v>1.6185102155873599E-4</v>
      </c>
    </row>
    <row r="819" spans="1:36">
      <c r="A819" s="11" t="s">
        <v>256</v>
      </c>
      <c r="B819" s="11">
        <v>7206</v>
      </c>
      <c r="C819" s="11" t="s">
        <v>2892</v>
      </c>
      <c r="D819" s="11" t="s">
        <v>2893</v>
      </c>
      <c r="E819" s="4" t="s">
        <v>504</v>
      </c>
      <c r="F819" s="11" t="s">
        <v>2894</v>
      </c>
      <c r="G819" s="11" t="s">
        <v>2895</v>
      </c>
      <c r="H819" s="11" t="s">
        <v>511</v>
      </c>
      <c r="I819" s="11" t="s">
        <v>945</v>
      </c>
      <c r="J819" s="11" t="s">
        <v>31</v>
      </c>
      <c r="K819" s="11" t="s">
        <v>31</v>
      </c>
      <c r="L819" s="11" t="s">
        <v>517</v>
      </c>
      <c r="M819" s="11" t="s">
        <v>32</v>
      </c>
      <c r="N819" s="11" t="s">
        <v>635</v>
      </c>
      <c r="O819" s="11" t="s">
        <v>312</v>
      </c>
      <c r="P819" s="27" t="s">
        <v>2165</v>
      </c>
      <c r="Q819" s="27" t="s">
        <v>2165</v>
      </c>
      <c r="R819" s="16" t="s">
        <v>2165</v>
      </c>
      <c r="S819" s="11" t="s">
        <v>35</v>
      </c>
      <c r="T819" s="158">
        <v>0.53</v>
      </c>
      <c r="U819" s="11" t="s">
        <v>2896</v>
      </c>
      <c r="V819" s="174">
        <v>4.4999999999999998E-2</v>
      </c>
      <c r="W819" s="189">
        <v>1E-4</v>
      </c>
      <c r="X819" s="4" t="s">
        <v>602</v>
      </c>
      <c r="Y819" s="4" t="s">
        <v>530</v>
      </c>
      <c r="Z819" s="158">
        <v>82762.17</v>
      </c>
      <c r="AA819" s="158">
        <v>1</v>
      </c>
      <c r="AB819" s="158">
        <v>12.55</v>
      </c>
      <c r="AD819" s="158">
        <v>10.387</v>
      </c>
      <c r="AG819" s="11" t="s">
        <v>37</v>
      </c>
      <c r="AH819" s="189">
        <v>7.0299999999999996E-4</v>
      </c>
      <c r="AI819" s="189">
        <v>7.1241902728596998E-4</v>
      </c>
      <c r="AJ819" s="189">
        <v>1.5509742580506201E-4</v>
      </c>
    </row>
    <row r="820" spans="1:36">
      <c r="A820" s="11" t="s">
        <v>256</v>
      </c>
      <c r="B820" s="11">
        <v>7206</v>
      </c>
      <c r="C820" s="11" t="s">
        <v>2892</v>
      </c>
      <c r="D820" s="11" t="s">
        <v>2893</v>
      </c>
      <c r="E820" s="4" t="s">
        <v>504</v>
      </c>
      <c r="F820" s="11" t="s">
        <v>2897</v>
      </c>
      <c r="G820" s="11" t="s">
        <v>2898</v>
      </c>
      <c r="H820" s="11" t="s">
        <v>511</v>
      </c>
      <c r="I820" s="11" t="s">
        <v>945</v>
      </c>
      <c r="J820" s="11" t="s">
        <v>31</v>
      </c>
      <c r="K820" s="11" t="s">
        <v>31</v>
      </c>
      <c r="L820" s="11" t="s">
        <v>517</v>
      </c>
      <c r="M820" s="11" t="s">
        <v>32</v>
      </c>
      <c r="N820" s="11" t="s">
        <v>635</v>
      </c>
      <c r="O820" s="11" t="s">
        <v>312</v>
      </c>
      <c r="P820" s="27" t="s">
        <v>2165</v>
      </c>
      <c r="Q820" s="27" t="s">
        <v>2165</v>
      </c>
      <c r="R820" s="16" t="s">
        <v>2165</v>
      </c>
      <c r="S820" s="11" t="s">
        <v>35</v>
      </c>
      <c r="T820" s="158">
        <v>2.3140000000000001</v>
      </c>
      <c r="U820" s="11" t="s">
        <v>2896</v>
      </c>
      <c r="V820" s="174">
        <v>5.3999999999999999E-2</v>
      </c>
      <c r="W820" s="189">
        <v>1E-4</v>
      </c>
      <c r="X820" s="4" t="s">
        <v>602</v>
      </c>
      <c r="Y820" s="4" t="s">
        <v>530</v>
      </c>
      <c r="Z820" s="158">
        <v>54939.83</v>
      </c>
      <c r="AA820" s="158">
        <v>1</v>
      </c>
      <c r="AB820" s="158">
        <v>12.89</v>
      </c>
      <c r="AD820" s="158">
        <v>7.0819999999999999</v>
      </c>
      <c r="AG820" s="11" t="s">
        <v>37</v>
      </c>
      <c r="AH820" s="189">
        <v>3.1799999999999998E-4</v>
      </c>
      <c r="AI820" s="189">
        <v>4.8573583395565898E-4</v>
      </c>
      <c r="AJ820" s="189">
        <v>1.05747284368301E-4</v>
      </c>
    </row>
    <row r="821" spans="1:36">
      <c r="A821" s="11" t="s">
        <v>256</v>
      </c>
      <c r="B821" s="11">
        <v>7206</v>
      </c>
      <c r="C821" s="11" t="s">
        <v>1943</v>
      </c>
      <c r="D821" s="11" t="s">
        <v>1944</v>
      </c>
      <c r="E821" s="4" t="s">
        <v>1552</v>
      </c>
      <c r="F821" s="11" t="s">
        <v>2899</v>
      </c>
      <c r="G821" s="11" t="s">
        <v>2900</v>
      </c>
      <c r="H821" s="11" t="s">
        <v>511</v>
      </c>
      <c r="I821" s="11" t="s">
        <v>1154</v>
      </c>
      <c r="J821" s="11" t="s">
        <v>31</v>
      </c>
      <c r="K821" s="11" t="s">
        <v>489</v>
      </c>
      <c r="L821" s="11" t="s">
        <v>517</v>
      </c>
      <c r="M821" s="11" t="s">
        <v>32</v>
      </c>
      <c r="N821" s="11" t="s">
        <v>646</v>
      </c>
      <c r="O821" s="11" t="s">
        <v>312</v>
      </c>
      <c r="P821" s="27" t="s">
        <v>2165</v>
      </c>
      <c r="Q821" s="27" t="s">
        <v>2165</v>
      </c>
      <c r="R821" s="16" t="s">
        <v>2165</v>
      </c>
      <c r="S821" s="11" t="s">
        <v>35</v>
      </c>
      <c r="T821" s="158">
        <v>1.4830000000000001</v>
      </c>
      <c r="U821" s="11" t="s">
        <v>2317</v>
      </c>
      <c r="V821" s="174">
        <v>1.9900000000000001E-2</v>
      </c>
      <c r="W821" s="189">
        <v>5.4030000000000002E-2</v>
      </c>
      <c r="X821" s="4" t="s">
        <v>602</v>
      </c>
      <c r="Y821" s="4" t="s">
        <v>312</v>
      </c>
      <c r="Z821" s="158">
        <v>1000</v>
      </c>
      <c r="AA821" s="158">
        <v>1</v>
      </c>
      <c r="AB821" s="158">
        <v>95.25</v>
      </c>
      <c r="AD821" s="158">
        <v>0.95299999999999996</v>
      </c>
      <c r="AG821" s="11" t="s">
        <v>37</v>
      </c>
      <c r="AH821" s="189">
        <v>6.9999999999999999E-6</v>
      </c>
      <c r="AI821" s="189">
        <v>6.5331841444550201E-5</v>
      </c>
      <c r="AJ821" s="189">
        <v>1.4223090685486201E-5</v>
      </c>
    </row>
    <row r="822" spans="1:36">
      <c r="A822" s="11" t="s">
        <v>256</v>
      </c>
      <c r="B822" s="11">
        <v>7206</v>
      </c>
      <c r="C822" s="11" t="s">
        <v>2901</v>
      </c>
      <c r="D822" s="11" t="s">
        <v>2902</v>
      </c>
      <c r="E822" s="4" t="s">
        <v>1552</v>
      </c>
      <c r="F822" s="11" t="s">
        <v>2903</v>
      </c>
      <c r="G822" s="11" t="s">
        <v>2904</v>
      </c>
      <c r="H822" s="11" t="s">
        <v>511</v>
      </c>
      <c r="I822" s="11" t="s">
        <v>945</v>
      </c>
      <c r="J822" s="11" t="s">
        <v>31</v>
      </c>
      <c r="K822" s="11" t="s">
        <v>31</v>
      </c>
      <c r="L822" s="11" t="s">
        <v>517</v>
      </c>
      <c r="M822" s="11" t="s">
        <v>32</v>
      </c>
      <c r="N822" s="11" t="s">
        <v>629</v>
      </c>
      <c r="O822" s="11" t="s">
        <v>312</v>
      </c>
      <c r="P822" s="27" t="s">
        <v>2165</v>
      </c>
      <c r="Q822" s="27" t="s">
        <v>2165</v>
      </c>
      <c r="R822" s="16" t="s">
        <v>2165</v>
      </c>
      <c r="S822" s="11" t="s">
        <v>35</v>
      </c>
      <c r="T822" s="158">
        <v>2.4780000000000002</v>
      </c>
      <c r="U822" s="11" t="s">
        <v>2166</v>
      </c>
      <c r="V822" s="174">
        <v>0.04</v>
      </c>
      <c r="W822" s="189">
        <v>7.7929999999999999E-2</v>
      </c>
      <c r="X822" s="4" t="s">
        <v>602</v>
      </c>
      <c r="Y822" s="4" t="s">
        <v>312</v>
      </c>
      <c r="Z822" s="158">
        <v>23400</v>
      </c>
      <c r="AA822" s="158">
        <v>1</v>
      </c>
      <c r="AB822" s="158">
        <v>101.18</v>
      </c>
      <c r="AD822" s="158">
        <v>23.675999999999998</v>
      </c>
      <c r="AG822" s="11" t="s">
        <v>37</v>
      </c>
      <c r="AH822" s="189">
        <v>4.4000000000000002E-4</v>
      </c>
      <c r="AI822" s="189">
        <v>1.6239417510363701E-3</v>
      </c>
      <c r="AJ822" s="189">
        <v>3.5354078933380801E-4</v>
      </c>
    </row>
    <row r="823" spans="1:36">
      <c r="A823" s="11" t="s">
        <v>256</v>
      </c>
      <c r="B823" s="11">
        <v>7206</v>
      </c>
      <c r="C823" s="11" t="s">
        <v>1947</v>
      </c>
      <c r="D823" s="11" t="s">
        <v>1948</v>
      </c>
      <c r="E823" s="4" t="s">
        <v>1552</v>
      </c>
      <c r="F823" s="11" t="s">
        <v>2640</v>
      </c>
      <c r="G823" s="11" t="s">
        <v>2641</v>
      </c>
      <c r="H823" s="11" t="s">
        <v>511</v>
      </c>
      <c r="I823" s="11" t="s">
        <v>1154</v>
      </c>
      <c r="J823" s="11" t="s">
        <v>31</v>
      </c>
      <c r="K823" s="11" t="s">
        <v>31</v>
      </c>
      <c r="L823" s="11" t="s">
        <v>517</v>
      </c>
      <c r="M823" s="11" t="s">
        <v>32</v>
      </c>
      <c r="N823" s="11" t="s">
        <v>635</v>
      </c>
      <c r="O823" s="11" t="s">
        <v>312</v>
      </c>
      <c r="P823" s="11" t="s">
        <v>174</v>
      </c>
      <c r="Q823" s="11" t="s">
        <v>604</v>
      </c>
      <c r="R823" s="11" t="s">
        <v>596</v>
      </c>
      <c r="S823" s="11" t="s">
        <v>35</v>
      </c>
      <c r="T823" s="158">
        <v>4.0069999999999997</v>
      </c>
      <c r="U823" s="11" t="s">
        <v>219</v>
      </c>
      <c r="V823" s="174">
        <v>5.8900000000000001E-2</v>
      </c>
      <c r="W823" s="189">
        <v>6.2829999999999997E-2</v>
      </c>
      <c r="X823" s="4" t="s">
        <v>602</v>
      </c>
      <c r="Y823" s="4" t="s">
        <v>312</v>
      </c>
      <c r="Z823" s="158">
        <v>29000</v>
      </c>
      <c r="AA823" s="158">
        <v>1</v>
      </c>
      <c r="AB823" s="158">
        <v>98.86</v>
      </c>
      <c r="AD823" s="158">
        <v>28.669</v>
      </c>
      <c r="AG823" s="11" t="s">
        <v>37</v>
      </c>
      <c r="AH823" s="189">
        <v>1.44E-4</v>
      </c>
      <c r="AI823" s="189">
        <v>1.9664301261001398E-3</v>
      </c>
      <c r="AJ823" s="189">
        <v>4.28102337111262E-4</v>
      </c>
    </row>
    <row r="824" spans="1:36">
      <c r="A824" s="11" t="s">
        <v>256</v>
      </c>
      <c r="B824" s="11">
        <v>7206</v>
      </c>
      <c r="C824" s="11" t="s">
        <v>2642</v>
      </c>
      <c r="D824" s="11" t="s">
        <v>2643</v>
      </c>
      <c r="E824" s="4" t="s">
        <v>1552</v>
      </c>
      <c r="F824" s="11" t="s">
        <v>2644</v>
      </c>
      <c r="G824" s="11" t="s">
        <v>2645</v>
      </c>
      <c r="H824" s="11" t="s">
        <v>511</v>
      </c>
      <c r="I824" s="11" t="s">
        <v>1154</v>
      </c>
      <c r="J824" s="11" t="s">
        <v>31</v>
      </c>
      <c r="K824" s="11" t="s">
        <v>31</v>
      </c>
      <c r="L824" s="11" t="s">
        <v>517</v>
      </c>
      <c r="M824" s="11" t="s">
        <v>32</v>
      </c>
      <c r="N824" s="11" t="s">
        <v>653</v>
      </c>
      <c r="O824" s="11" t="s">
        <v>312</v>
      </c>
      <c r="P824" s="11" t="s">
        <v>174</v>
      </c>
      <c r="Q824" s="11" t="s">
        <v>604</v>
      </c>
      <c r="R824" s="11" t="s">
        <v>596</v>
      </c>
      <c r="S824" s="11" t="s">
        <v>35</v>
      </c>
      <c r="T824" s="158">
        <v>1.629</v>
      </c>
      <c r="U824" s="11" t="s">
        <v>2198</v>
      </c>
      <c r="V824" s="174">
        <v>4.99E-2</v>
      </c>
      <c r="W824" s="189">
        <v>5.1920000000000001E-2</v>
      </c>
      <c r="X824" s="4" t="s">
        <v>602</v>
      </c>
      <c r="Y824" s="4" t="s">
        <v>312</v>
      </c>
      <c r="Z824" s="158">
        <v>55903.49</v>
      </c>
      <c r="AA824" s="158">
        <v>1</v>
      </c>
      <c r="AB824" s="158">
        <v>101.04</v>
      </c>
      <c r="AD824" s="158">
        <v>56.484999999999999</v>
      </c>
      <c r="AG824" s="11" t="s">
        <v>37</v>
      </c>
      <c r="AH824" s="189">
        <v>1.7699999999999999E-4</v>
      </c>
      <c r="AI824" s="189">
        <v>3.8742904309750298E-3</v>
      </c>
      <c r="AJ824" s="189">
        <v>8.4345371144082105E-4</v>
      </c>
    </row>
    <row r="825" spans="1:36">
      <c r="A825" s="11" t="s">
        <v>256</v>
      </c>
      <c r="B825" s="11">
        <v>7206</v>
      </c>
      <c r="C825" s="11" t="s">
        <v>2646</v>
      </c>
      <c r="D825" s="11" t="s">
        <v>2647</v>
      </c>
      <c r="E825" s="4" t="s">
        <v>1552</v>
      </c>
      <c r="F825" s="11" t="s">
        <v>2648</v>
      </c>
      <c r="G825" s="11" t="s">
        <v>2649</v>
      </c>
      <c r="H825" s="11" t="s">
        <v>511</v>
      </c>
      <c r="I825" s="11" t="s">
        <v>1154</v>
      </c>
      <c r="J825" s="11" t="s">
        <v>31</v>
      </c>
      <c r="K825" s="11" t="s">
        <v>31</v>
      </c>
      <c r="L825" s="11" t="s">
        <v>517</v>
      </c>
      <c r="M825" s="11" t="s">
        <v>32</v>
      </c>
      <c r="N825" s="11" t="s">
        <v>649</v>
      </c>
      <c r="O825" s="11" t="s">
        <v>312</v>
      </c>
      <c r="P825" s="11" t="s">
        <v>174</v>
      </c>
      <c r="Q825" s="11" t="s">
        <v>604</v>
      </c>
      <c r="R825" s="11" t="s">
        <v>596</v>
      </c>
      <c r="S825" s="11" t="s">
        <v>35</v>
      </c>
      <c r="T825" s="158">
        <v>1.456</v>
      </c>
      <c r="U825" s="11" t="s">
        <v>2333</v>
      </c>
      <c r="V825" s="174">
        <v>3.2500000000000001E-2</v>
      </c>
      <c r="W825" s="189">
        <v>5.3999999999999999E-2</v>
      </c>
      <c r="X825" s="4" t="s">
        <v>602</v>
      </c>
      <c r="Y825" s="4" t="s">
        <v>312</v>
      </c>
      <c r="Z825" s="158">
        <v>12503.66</v>
      </c>
      <c r="AA825" s="158">
        <v>1</v>
      </c>
      <c r="AB825" s="158">
        <v>97.08</v>
      </c>
      <c r="AD825" s="158">
        <v>12.138999999999999</v>
      </c>
      <c r="AG825" s="11" t="s">
        <v>37</v>
      </c>
      <c r="AH825" s="189">
        <v>3.8999999999999999E-5</v>
      </c>
      <c r="AI825" s="189">
        <v>8.3258165703385299E-4</v>
      </c>
      <c r="AJ825" s="189">
        <v>1.8125747184266199E-4</v>
      </c>
    </row>
    <row r="826" spans="1:36">
      <c r="A826" s="11" t="s">
        <v>256</v>
      </c>
      <c r="B826" s="11">
        <v>7206</v>
      </c>
      <c r="C826" s="11" t="s">
        <v>2837</v>
      </c>
      <c r="D826" s="11" t="s">
        <v>2838</v>
      </c>
      <c r="E826" s="4" t="s">
        <v>1552</v>
      </c>
      <c r="F826" s="11" t="s">
        <v>2905</v>
      </c>
      <c r="G826" s="11" t="s">
        <v>2906</v>
      </c>
      <c r="H826" s="11" t="s">
        <v>511</v>
      </c>
      <c r="I826" s="11" t="s">
        <v>945</v>
      </c>
      <c r="J826" s="11" t="s">
        <v>31</v>
      </c>
      <c r="K826" s="11" t="s">
        <v>31</v>
      </c>
      <c r="L826" s="11" t="s">
        <v>517</v>
      </c>
      <c r="M826" s="11" t="s">
        <v>32</v>
      </c>
      <c r="N826" s="11" t="s">
        <v>635</v>
      </c>
      <c r="O826" s="11" t="s">
        <v>312</v>
      </c>
      <c r="P826" s="27" t="s">
        <v>2165</v>
      </c>
      <c r="Q826" s="27" t="s">
        <v>2165</v>
      </c>
      <c r="R826" s="16" t="s">
        <v>2165</v>
      </c>
      <c r="S826" s="11" t="s">
        <v>35</v>
      </c>
      <c r="T826" s="158">
        <v>3.4409999999999998</v>
      </c>
      <c r="U826" s="11" t="s">
        <v>2665</v>
      </c>
      <c r="V826" s="174">
        <v>3.7900000000000003E-2</v>
      </c>
      <c r="W826" s="189">
        <v>3.0700000000000002E-2</v>
      </c>
      <c r="X826" s="4" t="s">
        <v>602</v>
      </c>
      <c r="Y826" s="4" t="s">
        <v>312</v>
      </c>
      <c r="Z826" s="158">
        <v>19000</v>
      </c>
      <c r="AA826" s="158">
        <v>1</v>
      </c>
      <c r="AB826" s="158">
        <v>109.7</v>
      </c>
      <c r="AD826" s="158">
        <v>20.843</v>
      </c>
      <c r="AG826" s="11" t="s">
        <v>37</v>
      </c>
      <c r="AH826" s="189">
        <v>1.4799999999999999E-4</v>
      </c>
      <c r="AI826" s="189">
        <v>1.4296184474842601E-3</v>
      </c>
      <c r="AJ826" s="189">
        <v>3.1123556866938397E-4</v>
      </c>
    </row>
    <row r="827" spans="1:36">
      <c r="A827" s="11" t="s">
        <v>256</v>
      </c>
      <c r="B827" s="11">
        <v>7206</v>
      </c>
      <c r="C827" s="11" t="s">
        <v>2650</v>
      </c>
      <c r="D827" s="11" t="s">
        <v>2651</v>
      </c>
      <c r="E827" s="4" t="s">
        <v>1552</v>
      </c>
      <c r="F827" s="11" t="s">
        <v>2652</v>
      </c>
      <c r="G827" s="11" t="s">
        <v>2653</v>
      </c>
      <c r="H827" s="11" t="s">
        <v>511</v>
      </c>
      <c r="I827" s="11" t="s">
        <v>1154</v>
      </c>
      <c r="J827" s="11" t="s">
        <v>31</v>
      </c>
      <c r="K827" s="18" t="s">
        <v>31</v>
      </c>
      <c r="L827" s="11" t="s">
        <v>517</v>
      </c>
      <c r="M827" s="11" t="s">
        <v>342</v>
      </c>
      <c r="N827" s="11" t="s">
        <v>635</v>
      </c>
      <c r="O827" s="11" t="s">
        <v>312</v>
      </c>
      <c r="P827" s="11" t="s">
        <v>2221</v>
      </c>
      <c r="Q827" s="11" t="s">
        <v>604</v>
      </c>
      <c r="R827" s="11" t="s">
        <v>596</v>
      </c>
      <c r="S827" s="11" t="s">
        <v>35</v>
      </c>
      <c r="T827" s="158">
        <v>0.98399999999999999</v>
      </c>
      <c r="U827" s="11" t="s">
        <v>2188</v>
      </c>
      <c r="V827" s="174">
        <v>4.3999999999999997E-2</v>
      </c>
      <c r="W827" s="189">
        <v>6.0580000000000002E-2</v>
      </c>
      <c r="X827" s="4" t="s">
        <v>602</v>
      </c>
      <c r="Y827" s="4" t="s">
        <v>312</v>
      </c>
      <c r="Z827" s="158">
        <v>4500</v>
      </c>
      <c r="AA827" s="158">
        <v>1</v>
      </c>
      <c r="AB827" s="158">
        <v>98.53</v>
      </c>
      <c r="AD827" s="158">
        <v>4.4340000000000002</v>
      </c>
      <c r="AG827" s="11" t="s">
        <v>37</v>
      </c>
      <c r="AH827" s="189">
        <v>3.4E-5</v>
      </c>
      <c r="AI827" s="189">
        <v>3.0411714980463898E-4</v>
      </c>
      <c r="AJ827" s="189">
        <v>6.6207927176737796E-5</v>
      </c>
    </row>
    <row r="828" spans="1:36">
      <c r="A828" s="11" t="s">
        <v>256</v>
      </c>
      <c r="B828" s="11">
        <v>7206</v>
      </c>
      <c r="C828" s="11" t="s">
        <v>2654</v>
      </c>
      <c r="D828" s="11" t="s">
        <v>2655</v>
      </c>
      <c r="E828" s="4" t="s">
        <v>1552</v>
      </c>
      <c r="F828" s="11" t="s">
        <v>2656</v>
      </c>
      <c r="G828" s="11" t="s">
        <v>2657</v>
      </c>
      <c r="H828" s="11" t="s">
        <v>511</v>
      </c>
      <c r="I828" s="11" t="s">
        <v>1154</v>
      </c>
      <c r="J828" s="11" t="s">
        <v>31</v>
      </c>
      <c r="K828" s="11" t="s">
        <v>31</v>
      </c>
      <c r="L828" s="11" t="s">
        <v>517</v>
      </c>
      <c r="M828" s="11" t="s">
        <v>32</v>
      </c>
      <c r="N828" s="11" t="s">
        <v>635</v>
      </c>
      <c r="O828" s="11" t="s">
        <v>312</v>
      </c>
      <c r="P828" s="11" t="s">
        <v>2327</v>
      </c>
      <c r="Q828" s="11" t="s">
        <v>358</v>
      </c>
      <c r="R828" s="11" t="s">
        <v>596</v>
      </c>
      <c r="S828" s="11" t="s">
        <v>35</v>
      </c>
      <c r="T828" s="158">
        <v>0.98</v>
      </c>
      <c r="U828" s="11" t="s">
        <v>2317</v>
      </c>
      <c r="V828" s="174">
        <v>4.9500000000000002E-2</v>
      </c>
      <c r="W828" s="189">
        <v>5.5849999999999997E-2</v>
      </c>
      <c r="X828" s="4" t="s">
        <v>602</v>
      </c>
      <c r="Y828" s="4" t="s">
        <v>312</v>
      </c>
      <c r="Z828" s="158">
        <v>9900</v>
      </c>
      <c r="AA828" s="158">
        <v>1</v>
      </c>
      <c r="AB828" s="158">
        <v>99.24</v>
      </c>
      <c r="AD828" s="158">
        <v>9.8249999999999993</v>
      </c>
      <c r="AG828" s="11" t="s">
        <v>37</v>
      </c>
      <c r="AH828" s="189">
        <v>1.12E-4</v>
      </c>
      <c r="AI828" s="189">
        <v>6.7387891081444496E-4</v>
      </c>
      <c r="AJ828" s="189">
        <v>1.4670703668570801E-4</v>
      </c>
    </row>
    <row r="829" spans="1:36">
      <c r="A829" s="11" t="s">
        <v>256</v>
      </c>
      <c r="B829" s="11">
        <v>7206</v>
      </c>
      <c r="C829" s="11" t="s">
        <v>2658</v>
      </c>
      <c r="D829" s="11" t="s">
        <v>2659</v>
      </c>
      <c r="E829" s="4" t="s">
        <v>1552</v>
      </c>
      <c r="F829" s="11" t="s">
        <v>2660</v>
      </c>
      <c r="G829" s="11" t="s">
        <v>2661</v>
      </c>
      <c r="H829" s="11" t="s">
        <v>511</v>
      </c>
      <c r="I829" s="11" t="s">
        <v>1154</v>
      </c>
      <c r="J829" s="11" t="s">
        <v>31</v>
      </c>
      <c r="K829" s="11" t="s">
        <v>31</v>
      </c>
      <c r="L829" s="11" t="s">
        <v>517</v>
      </c>
      <c r="M829" s="11" t="s">
        <v>32</v>
      </c>
      <c r="N829" s="11" t="s">
        <v>650</v>
      </c>
      <c r="O829" s="11" t="s">
        <v>312</v>
      </c>
      <c r="P829" s="11" t="s">
        <v>2394</v>
      </c>
      <c r="Q829" s="11" t="s">
        <v>358</v>
      </c>
      <c r="R829" s="11" t="s">
        <v>596</v>
      </c>
      <c r="S829" s="11" t="s">
        <v>35</v>
      </c>
      <c r="T829" s="158">
        <v>1.133</v>
      </c>
      <c r="U829" s="11" t="s">
        <v>2662</v>
      </c>
      <c r="V829" s="174">
        <v>2.75E-2</v>
      </c>
      <c r="W829" s="189">
        <v>5.092E-2</v>
      </c>
      <c r="X829" s="4" t="s">
        <v>602</v>
      </c>
      <c r="Y829" s="4" t="s">
        <v>312</v>
      </c>
      <c r="Z829" s="158">
        <v>45887.27</v>
      </c>
      <c r="AA829" s="158">
        <v>1</v>
      </c>
      <c r="AB829" s="158">
        <v>98.38</v>
      </c>
      <c r="AD829" s="158">
        <v>45.143999999999998</v>
      </c>
      <c r="AG829" s="11" t="s">
        <v>37</v>
      </c>
      <c r="AH829" s="189">
        <v>2.04E-4</v>
      </c>
      <c r="AI829" s="189">
        <v>3.09641351225854E-3</v>
      </c>
      <c r="AJ829" s="189">
        <v>6.7410575319535302E-4</v>
      </c>
    </row>
    <row r="830" spans="1:36">
      <c r="A830" s="11" t="s">
        <v>256</v>
      </c>
      <c r="B830" s="11">
        <v>7206</v>
      </c>
      <c r="C830" s="11" t="s">
        <v>2658</v>
      </c>
      <c r="D830" s="11" t="s">
        <v>2659</v>
      </c>
      <c r="E830" s="4" t="s">
        <v>1552</v>
      </c>
      <c r="F830" s="11" t="s">
        <v>2663</v>
      </c>
      <c r="G830" s="11" t="s">
        <v>2664</v>
      </c>
      <c r="H830" s="11" t="s">
        <v>511</v>
      </c>
      <c r="I830" s="11" t="s">
        <v>1154</v>
      </c>
      <c r="J830" s="11" t="s">
        <v>31</v>
      </c>
      <c r="K830" s="11" t="s">
        <v>31</v>
      </c>
      <c r="L830" s="11" t="s">
        <v>517</v>
      </c>
      <c r="M830" s="11" t="s">
        <v>32</v>
      </c>
      <c r="N830" s="11" t="s">
        <v>650</v>
      </c>
      <c r="O830" s="11" t="s">
        <v>312</v>
      </c>
      <c r="P830" s="11" t="s">
        <v>2394</v>
      </c>
      <c r="Q830" s="11" t="s">
        <v>358</v>
      </c>
      <c r="R830" s="11" t="s">
        <v>596</v>
      </c>
      <c r="S830" s="11" t="s">
        <v>35</v>
      </c>
      <c r="T830" s="158">
        <v>2.1419999999999999</v>
      </c>
      <c r="U830" s="11" t="s">
        <v>2665</v>
      </c>
      <c r="V830" s="174">
        <v>2.1499999999999998E-2</v>
      </c>
      <c r="W830" s="189">
        <v>5.5379999999999999E-2</v>
      </c>
      <c r="X830" s="4" t="s">
        <v>602</v>
      </c>
      <c r="Y830" s="4" t="s">
        <v>312</v>
      </c>
      <c r="Z830" s="158">
        <v>52894.44</v>
      </c>
      <c r="AA830" s="158">
        <v>1</v>
      </c>
      <c r="AB830" s="158">
        <v>93.09</v>
      </c>
      <c r="AC830" s="158">
        <v>3.407</v>
      </c>
      <c r="AD830" s="158">
        <v>52.646000000000001</v>
      </c>
      <c r="AG830" s="11" t="s">
        <v>37</v>
      </c>
      <c r="AH830" s="189">
        <v>5.3999999999999998E-5</v>
      </c>
      <c r="AI830" s="189">
        <v>3.61100811015427E-3</v>
      </c>
      <c r="AJ830" s="189">
        <v>7.8613574454871704E-4</v>
      </c>
    </row>
    <row r="831" spans="1:36">
      <c r="A831" s="11" t="s">
        <v>256</v>
      </c>
      <c r="B831" s="11">
        <v>7206</v>
      </c>
      <c r="C831" s="11" t="s">
        <v>2666</v>
      </c>
      <c r="D831" s="11" t="s">
        <v>2667</v>
      </c>
      <c r="E831" s="4" t="s">
        <v>1552</v>
      </c>
      <c r="F831" s="11" t="s">
        <v>2668</v>
      </c>
      <c r="G831" s="11" t="s">
        <v>2669</v>
      </c>
      <c r="H831" s="11" t="s">
        <v>511</v>
      </c>
      <c r="I831" s="11" t="s">
        <v>945</v>
      </c>
      <c r="J831" s="11" t="s">
        <v>31</v>
      </c>
      <c r="K831" s="11" t="s">
        <v>31</v>
      </c>
      <c r="L831" s="11" t="s">
        <v>517</v>
      </c>
      <c r="M831" s="11" t="s">
        <v>32</v>
      </c>
      <c r="N831" s="11" t="s">
        <v>652</v>
      </c>
      <c r="O831" s="11" t="s">
        <v>312</v>
      </c>
      <c r="P831" s="11" t="s">
        <v>2169</v>
      </c>
      <c r="Q831" s="11" t="s">
        <v>604</v>
      </c>
      <c r="R831" s="11" t="s">
        <v>596</v>
      </c>
      <c r="S831" s="11" t="s">
        <v>35</v>
      </c>
      <c r="T831" s="158">
        <v>1.4059999999999999</v>
      </c>
      <c r="U831" s="11" t="s">
        <v>2670</v>
      </c>
      <c r="V831" s="174">
        <v>1.6E-2</v>
      </c>
      <c r="W831" s="189">
        <v>2.6790000000000001E-2</v>
      </c>
      <c r="X831" s="4" t="s">
        <v>602</v>
      </c>
      <c r="Y831" s="4" t="s">
        <v>312</v>
      </c>
      <c r="Z831" s="158">
        <v>157000.09</v>
      </c>
      <c r="AA831" s="158">
        <v>1</v>
      </c>
      <c r="AB831" s="158">
        <v>113.63</v>
      </c>
      <c r="AD831" s="158">
        <v>178.399</v>
      </c>
      <c r="AG831" s="11" t="s">
        <v>37</v>
      </c>
      <c r="AH831" s="189">
        <v>4.0499999999999998E-4</v>
      </c>
      <c r="AI831" s="189">
        <v>1.22363762691253E-2</v>
      </c>
      <c r="AJ831" s="189">
        <v>2.6639244431096399E-3</v>
      </c>
    </row>
    <row r="832" spans="1:36">
      <c r="A832" s="11" t="s">
        <v>256</v>
      </c>
      <c r="B832" s="11">
        <v>7206</v>
      </c>
      <c r="C832" s="11" t="s">
        <v>2666</v>
      </c>
      <c r="D832" s="11" t="s">
        <v>2667</v>
      </c>
      <c r="E832" s="4" t="s">
        <v>1552</v>
      </c>
      <c r="F832" s="11" t="s">
        <v>2671</v>
      </c>
      <c r="G832" s="11" t="s">
        <v>2672</v>
      </c>
      <c r="H832" s="11" t="s">
        <v>511</v>
      </c>
      <c r="I832" s="11" t="s">
        <v>945</v>
      </c>
      <c r="J832" s="11" t="s">
        <v>31</v>
      </c>
      <c r="K832" s="11" t="s">
        <v>31</v>
      </c>
      <c r="L832" s="11" t="s">
        <v>517</v>
      </c>
      <c r="M832" s="11" t="s">
        <v>32</v>
      </c>
      <c r="N832" s="11" t="s">
        <v>652</v>
      </c>
      <c r="O832" s="11" t="s">
        <v>312</v>
      </c>
      <c r="P832" s="11" t="s">
        <v>2169</v>
      </c>
      <c r="Q832" s="11" t="s">
        <v>358</v>
      </c>
      <c r="R832" s="11" t="s">
        <v>596</v>
      </c>
      <c r="S832" s="11" t="s">
        <v>35</v>
      </c>
      <c r="T832" s="158">
        <v>2.484</v>
      </c>
      <c r="U832" s="11" t="s">
        <v>134</v>
      </c>
      <c r="V832" s="174">
        <v>1.4200000000000001E-2</v>
      </c>
      <c r="W832" s="189">
        <v>2.5100000000000001E-2</v>
      </c>
      <c r="X832" s="4" t="s">
        <v>602</v>
      </c>
      <c r="Y832" s="4" t="s">
        <v>312</v>
      </c>
      <c r="Z832" s="158">
        <v>134546.01999999999</v>
      </c>
      <c r="AA832" s="158">
        <v>1</v>
      </c>
      <c r="AB832" s="158">
        <v>110.8</v>
      </c>
      <c r="AD832" s="158">
        <v>149.077</v>
      </c>
      <c r="AG832" s="11" t="s">
        <v>37</v>
      </c>
      <c r="AH832" s="189">
        <v>1.1400000000000001E-4</v>
      </c>
      <c r="AI832" s="189">
        <v>1.02251698521406E-2</v>
      </c>
      <c r="AJ832" s="189">
        <v>2.2260740684146999E-3</v>
      </c>
    </row>
    <row r="833" spans="1:36">
      <c r="A833" s="11" t="s">
        <v>256</v>
      </c>
      <c r="B833" s="11">
        <v>7206</v>
      </c>
      <c r="C833" s="11" t="s">
        <v>2673</v>
      </c>
      <c r="D833" s="11" t="s">
        <v>2674</v>
      </c>
      <c r="E833" s="4" t="s">
        <v>1552</v>
      </c>
      <c r="F833" s="11" t="s">
        <v>2675</v>
      </c>
      <c r="G833" s="11" t="s">
        <v>2676</v>
      </c>
      <c r="H833" s="11" t="s">
        <v>511</v>
      </c>
      <c r="I833" s="11" t="s">
        <v>1154</v>
      </c>
      <c r="J833" s="11" t="s">
        <v>31</v>
      </c>
      <c r="K833" s="11" t="s">
        <v>31</v>
      </c>
      <c r="L833" s="11" t="s">
        <v>517</v>
      </c>
      <c r="M833" s="11" t="s">
        <v>32</v>
      </c>
      <c r="N833" s="11" t="s">
        <v>635</v>
      </c>
      <c r="O833" s="11" t="s">
        <v>312</v>
      </c>
      <c r="P833" s="11" t="s">
        <v>2206</v>
      </c>
      <c r="Q833" s="11" t="s">
        <v>604</v>
      </c>
      <c r="R833" s="11" t="s">
        <v>596</v>
      </c>
      <c r="S833" s="11" t="s">
        <v>35</v>
      </c>
      <c r="T833" s="158">
        <v>0.51100000000000001</v>
      </c>
      <c r="U833" s="11" t="s">
        <v>2677</v>
      </c>
      <c r="V833" s="174">
        <v>4.3499999999999997E-2</v>
      </c>
      <c r="W833" s="189">
        <v>7.0150000000000004E-2</v>
      </c>
      <c r="X833" s="4" t="s">
        <v>602</v>
      </c>
      <c r="Y833" s="4" t="s">
        <v>312</v>
      </c>
      <c r="Z833" s="158">
        <v>6666.67</v>
      </c>
      <c r="AA833" s="158">
        <v>1</v>
      </c>
      <c r="AB833" s="158">
        <v>100.74</v>
      </c>
      <c r="AD833" s="158">
        <v>6.7160000000000002</v>
      </c>
      <c r="AG833" s="11" t="s">
        <v>37</v>
      </c>
      <c r="AH833" s="189">
        <v>1.3899999999999999E-4</v>
      </c>
      <c r="AI833" s="189">
        <v>4.6064972863613899E-4</v>
      </c>
      <c r="AJ833" s="189">
        <v>1.00285905306943E-4</v>
      </c>
    </row>
    <row r="834" spans="1:36">
      <c r="A834" s="11" t="s">
        <v>256</v>
      </c>
      <c r="B834" s="11">
        <v>7206</v>
      </c>
      <c r="C834" s="11" t="s">
        <v>2678</v>
      </c>
      <c r="D834" s="11" t="s">
        <v>2679</v>
      </c>
      <c r="E834" s="4" t="s">
        <v>1552</v>
      </c>
      <c r="F834" s="11" t="s">
        <v>2680</v>
      </c>
      <c r="G834" s="11" t="s">
        <v>2681</v>
      </c>
      <c r="H834" s="11" t="s">
        <v>511</v>
      </c>
      <c r="I834" s="11" t="s">
        <v>945</v>
      </c>
      <c r="J834" s="11" t="s">
        <v>31</v>
      </c>
      <c r="K834" s="11" t="s">
        <v>31</v>
      </c>
      <c r="L834" s="11" t="s">
        <v>517</v>
      </c>
      <c r="M834" s="11" t="s">
        <v>32</v>
      </c>
      <c r="N834" s="11" t="s">
        <v>652</v>
      </c>
      <c r="O834" s="11" t="s">
        <v>312</v>
      </c>
      <c r="P834" s="11" t="s">
        <v>2169</v>
      </c>
      <c r="Q834" s="11" t="s">
        <v>358</v>
      </c>
      <c r="R834" s="11" t="s">
        <v>596</v>
      </c>
      <c r="S834" s="11" t="s">
        <v>35</v>
      </c>
      <c r="T834" s="158">
        <v>0.219</v>
      </c>
      <c r="U834" s="11" t="s">
        <v>2682</v>
      </c>
      <c r="V834" s="174">
        <v>0.04</v>
      </c>
      <c r="W834" s="189">
        <v>2.223E-2</v>
      </c>
      <c r="X834" s="4" t="s">
        <v>602</v>
      </c>
      <c r="Y834" s="4" t="s">
        <v>312</v>
      </c>
      <c r="Z834" s="158">
        <v>40000.120000000003</v>
      </c>
      <c r="AA834" s="158">
        <v>1</v>
      </c>
      <c r="AB834" s="158">
        <v>115.01</v>
      </c>
      <c r="AD834" s="158">
        <v>46.003999999999998</v>
      </c>
      <c r="AG834" s="11" t="s">
        <v>37</v>
      </c>
      <c r="AH834" s="189">
        <v>4.9100000000000001E-4</v>
      </c>
      <c r="AI834" s="189">
        <v>3.15541737574088E-3</v>
      </c>
      <c r="AJ834" s="189">
        <v>6.8695120929374996E-4</v>
      </c>
    </row>
    <row r="835" spans="1:36">
      <c r="A835" s="11" t="s">
        <v>256</v>
      </c>
      <c r="B835" s="11">
        <v>7206</v>
      </c>
      <c r="C835" s="11" t="s">
        <v>2678</v>
      </c>
      <c r="D835" s="11" t="s">
        <v>2679</v>
      </c>
      <c r="E835" s="4" t="s">
        <v>1552</v>
      </c>
      <c r="F835" s="11" t="s">
        <v>2683</v>
      </c>
      <c r="G835" s="11" t="s">
        <v>2684</v>
      </c>
      <c r="H835" s="11" t="s">
        <v>511</v>
      </c>
      <c r="I835" s="11" t="s">
        <v>945</v>
      </c>
      <c r="J835" s="11" t="s">
        <v>31</v>
      </c>
      <c r="K835" s="11" t="s">
        <v>31</v>
      </c>
      <c r="L835" s="11" t="s">
        <v>517</v>
      </c>
      <c r="M835" s="11" t="s">
        <v>32</v>
      </c>
      <c r="N835" s="11" t="s">
        <v>652</v>
      </c>
      <c r="O835" s="11" t="s">
        <v>312</v>
      </c>
      <c r="P835" s="11" t="s">
        <v>2169</v>
      </c>
      <c r="Q835" s="11" t="s">
        <v>358</v>
      </c>
      <c r="R835" s="11" t="s">
        <v>596</v>
      </c>
      <c r="S835" s="11" t="s">
        <v>35</v>
      </c>
      <c r="T835" s="158">
        <v>3.621</v>
      </c>
      <c r="U835" s="11" t="s">
        <v>2685</v>
      </c>
      <c r="V835" s="174">
        <v>3.5000000000000003E-2</v>
      </c>
      <c r="W835" s="189">
        <v>3.109E-2</v>
      </c>
      <c r="X835" s="4" t="s">
        <v>602</v>
      </c>
      <c r="Y835" s="4" t="s">
        <v>312</v>
      </c>
      <c r="Z835" s="158">
        <v>205000.51</v>
      </c>
      <c r="AA835" s="158">
        <v>1</v>
      </c>
      <c r="AB835" s="158">
        <v>118.06</v>
      </c>
      <c r="AD835" s="158">
        <v>242.024</v>
      </c>
      <c r="AG835" s="11" t="s">
        <v>37</v>
      </c>
      <c r="AH835" s="189">
        <v>2.3499999999999999E-4</v>
      </c>
      <c r="AI835" s="189">
        <v>1.6600364932942899E-2</v>
      </c>
      <c r="AJ835" s="189">
        <v>3.6139880743114501E-3</v>
      </c>
    </row>
    <row r="836" spans="1:36">
      <c r="A836" s="11" t="s">
        <v>256</v>
      </c>
      <c r="B836" s="11">
        <v>7206</v>
      </c>
      <c r="C836" s="11" t="s">
        <v>2678</v>
      </c>
      <c r="D836" s="11" t="s">
        <v>2679</v>
      </c>
      <c r="E836" s="4" t="s">
        <v>1552</v>
      </c>
      <c r="F836" s="11" t="s">
        <v>2686</v>
      </c>
      <c r="G836" s="11" t="s">
        <v>2687</v>
      </c>
      <c r="H836" s="11" t="s">
        <v>511</v>
      </c>
      <c r="I836" s="11" t="s">
        <v>945</v>
      </c>
      <c r="J836" s="11" t="s">
        <v>31</v>
      </c>
      <c r="K836" s="11" t="s">
        <v>31</v>
      </c>
      <c r="L836" s="11" t="s">
        <v>517</v>
      </c>
      <c r="M836" s="11" t="s">
        <v>32</v>
      </c>
      <c r="N836" s="11" t="s">
        <v>652</v>
      </c>
      <c r="O836" s="11" t="s">
        <v>312</v>
      </c>
      <c r="P836" s="11" t="s">
        <v>2169</v>
      </c>
      <c r="Q836" s="11" t="s">
        <v>358</v>
      </c>
      <c r="R836" s="11" t="s">
        <v>596</v>
      </c>
      <c r="S836" s="11" t="s">
        <v>35</v>
      </c>
      <c r="T836" s="158">
        <v>2.2850000000000001</v>
      </c>
      <c r="U836" s="11" t="s">
        <v>2688</v>
      </c>
      <c r="V836" s="174">
        <v>0.04</v>
      </c>
      <c r="W836" s="189">
        <v>2.7150000000000001E-2</v>
      </c>
      <c r="X836" s="4" t="s">
        <v>602</v>
      </c>
      <c r="Y836" s="4" t="s">
        <v>312</v>
      </c>
      <c r="Z836" s="158">
        <v>77778.720000000001</v>
      </c>
      <c r="AA836" s="158">
        <v>1</v>
      </c>
      <c r="AB836" s="158">
        <v>118.66</v>
      </c>
      <c r="AD836" s="158">
        <v>92.292000000000002</v>
      </c>
      <c r="AG836" s="11" t="s">
        <v>37</v>
      </c>
      <c r="AH836" s="189">
        <v>7.7999999999999999E-5</v>
      </c>
      <c r="AI836" s="189">
        <v>6.3303110567166001E-3</v>
      </c>
      <c r="AJ836" s="189">
        <v>1.37814251422002E-3</v>
      </c>
    </row>
    <row r="837" spans="1:36">
      <c r="A837" s="11" t="s">
        <v>256</v>
      </c>
      <c r="B837" s="11">
        <v>7206</v>
      </c>
      <c r="C837" s="11" t="s">
        <v>2689</v>
      </c>
      <c r="D837" s="11" t="s">
        <v>2690</v>
      </c>
      <c r="E837" s="4" t="s">
        <v>1552</v>
      </c>
      <c r="F837" s="11" t="s">
        <v>2691</v>
      </c>
      <c r="G837" s="11" t="s">
        <v>2692</v>
      </c>
      <c r="H837" s="11" t="s">
        <v>511</v>
      </c>
      <c r="I837" s="11" t="s">
        <v>945</v>
      </c>
      <c r="J837" s="11" t="s">
        <v>31</v>
      </c>
      <c r="K837" s="11" t="s">
        <v>31</v>
      </c>
      <c r="L837" s="11" t="s">
        <v>517</v>
      </c>
      <c r="M837" s="11" t="s">
        <v>32</v>
      </c>
      <c r="N837" s="11" t="s">
        <v>652</v>
      </c>
      <c r="O837" s="11" t="s">
        <v>312</v>
      </c>
      <c r="P837" s="27" t="s">
        <v>2165</v>
      </c>
      <c r="Q837" s="27" t="s">
        <v>2165</v>
      </c>
      <c r="R837" s="16" t="s">
        <v>2165</v>
      </c>
      <c r="S837" s="11" t="s">
        <v>35</v>
      </c>
      <c r="T837" s="158">
        <v>5.508</v>
      </c>
      <c r="U837" s="11" t="s">
        <v>2193</v>
      </c>
      <c r="V837" s="174">
        <v>6.4000000000000003E-3</v>
      </c>
      <c r="W837" s="189">
        <v>3.8469999999999997E-2</v>
      </c>
      <c r="X837" s="4" t="s">
        <v>602</v>
      </c>
      <c r="Y837" s="4" t="s">
        <v>312</v>
      </c>
      <c r="Z837" s="158">
        <v>37857.760000000002</v>
      </c>
      <c r="AA837" s="158">
        <v>1</v>
      </c>
      <c r="AB837" s="158">
        <v>94.5</v>
      </c>
      <c r="AD837" s="158">
        <v>35.776000000000003</v>
      </c>
      <c r="AG837" s="11" t="s">
        <v>37</v>
      </c>
      <c r="AH837" s="189">
        <v>1.46E-4</v>
      </c>
      <c r="AI837" s="189">
        <v>2.4538422353897198E-3</v>
      </c>
      <c r="AJ837" s="189">
        <v>5.3421455556929595E-4</v>
      </c>
    </row>
    <row r="838" spans="1:36">
      <c r="A838" s="11" t="s">
        <v>256</v>
      </c>
      <c r="B838" s="11">
        <v>7206</v>
      </c>
      <c r="C838" s="11" t="s">
        <v>2693</v>
      </c>
      <c r="D838" s="11" t="s">
        <v>2694</v>
      </c>
      <c r="E838" s="4" t="s">
        <v>1552</v>
      </c>
      <c r="F838" s="11" t="s">
        <v>2695</v>
      </c>
      <c r="G838" s="11" t="s">
        <v>2696</v>
      </c>
      <c r="H838" s="11" t="s">
        <v>511</v>
      </c>
      <c r="I838" s="11" t="s">
        <v>945</v>
      </c>
      <c r="J838" s="11" t="s">
        <v>31</v>
      </c>
      <c r="K838" s="11" t="s">
        <v>31</v>
      </c>
      <c r="L838" s="11" t="s">
        <v>517</v>
      </c>
      <c r="M838" s="11" t="s">
        <v>32</v>
      </c>
      <c r="N838" s="11" t="s">
        <v>666</v>
      </c>
      <c r="O838" s="11" t="s">
        <v>312</v>
      </c>
      <c r="P838" s="11" t="s">
        <v>2571</v>
      </c>
      <c r="Q838" s="11" t="s">
        <v>604</v>
      </c>
      <c r="R838" s="11" t="s">
        <v>596</v>
      </c>
      <c r="S838" s="11" t="s">
        <v>35</v>
      </c>
      <c r="T838" s="158">
        <v>3.8940000000000001</v>
      </c>
      <c r="U838" s="11" t="s">
        <v>2697</v>
      </c>
      <c r="V838" s="174">
        <v>7.0000000000000001E-3</v>
      </c>
      <c r="W838" s="189">
        <v>1.8870000000000001E-2</v>
      </c>
      <c r="X838" s="4" t="s">
        <v>602</v>
      </c>
      <c r="Y838" s="4" t="s">
        <v>312</v>
      </c>
      <c r="Z838" s="158">
        <v>63299.44</v>
      </c>
      <c r="AA838" s="158">
        <v>1</v>
      </c>
      <c r="AB838" s="158">
        <v>106.94</v>
      </c>
      <c r="AD838" s="158">
        <v>67.691999999999993</v>
      </c>
      <c r="AG838" s="11" t="s">
        <v>37</v>
      </c>
      <c r="AH838" s="189">
        <v>7.9100000000000004E-4</v>
      </c>
      <c r="AI838" s="189">
        <v>4.6430136741783404E-3</v>
      </c>
      <c r="AJ838" s="189">
        <v>1.0108088656561099E-3</v>
      </c>
    </row>
    <row r="839" spans="1:36">
      <c r="A839" s="11" t="s">
        <v>256</v>
      </c>
      <c r="B839" s="11">
        <v>7206</v>
      </c>
      <c r="C839" s="11" t="s">
        <v>2698</v>
      </c>
      <c r="D839" s="11" t="s">
        <v>2699</v>
      </c>
      <c r="E839" s="4" t="s">
        <v>1552</v>
      </c>
      <c r="F839" s="11" t="s">
        <v>2700</v>
      </c>
      <c r="G839" s="11" t="s">
        <v>2701</v>
      </c>
      <c r="H839" s="11" t="s">
        <v>511</v>
      </c>
      <c r="I839" s="11" t="s">
        <v>945</v>
      </c>
      <c r="J839" s="11" t="s">
        <v>31</v>
      </c>
      <c r="K839" s="11" t="s">
        <v>31</v>
      </c>
      <c r="L839" s="11" t="s">
        <v>517</v>
      </c>
      <c r="M839" s="11" t="s">
        <v>32</v>
      </c>
      <c r="N839" s="11" t="s">
        <v>652</v>
      </c>
      <c r="O839" s="11" t="s">
        <v>312</v>
      </c>
      <c r="P839" s="27" t="s">
        <v>2165</v>
      </c>
      <c r="Q839" s="27" t="s">
        <v>2165</v>
      </c>
      <c r="R839" s="16" t="s">
        <v>2165</v>
      </c>
      <c r="S839" s="11" t="s">
        <v>35</v>
      </c>
      <c r="T839" s="158">
        <v>2.8450000000000002</v>
      </c>
      <c r="U839" s="11" t="s">
        <v>2180</v>
      </c>
      <c r="V839" s="174">
        <v>4.2000000000000003E-2</v>
      </c>
      <c r="W839" s="189">
        <v>4.052E-2</v>
      </c>
      <c r="X839" s="4" t="s">
        <v>602</v>
      </c>
      <c r="Y839" s="4" t="s">
        <v>312</v>
      </c>
      <c r="Z839" s="158">
        <v>24000</v>
      </c>
      <c r="AA839" s="158">
        <v>1</v>
      </c>
      <c r="AB839" s="158">
        <v>103.05</v>
      </c>
      <c r="AD839" s="158">
        <v>24.731999999999999</v>
      </c>
      <c r="AG839" s="11" t="s">
        <v>37</v>
      </c>
      <c r="AH839" s="189">
        <v>2.4000000000000001E-4</v>
      </c>
      <c r="AI839" s="189">
        <v>1.69636441218542E-3</v>
      </c>
      <c r="AJ839" s="189">
        <v>3.6930758932644998E-4</v>
      </c>
    </row>
    <row r="840" spans="1:36">
      <c r="A840" s="11" t="s">
        <v>256</v>
      </c>
      <c r="B840" s="11">
        <v>7206</v>
      </c>
      <c r="C840" s="11" t="s">
        <v>2702</v>
      </c>
      <c r="D840" s="11" t="s">
        <v>2703</v>
      </c>
      <c r="E840" s="4" t="s">
        <v>1552</v>
      </c>
      <c r="F840" s="11" t="s">
        <v>2704</v>
      </c>
      <c r="G840" s="11" t="s">
        <v>2705</v>
      </c>
      <c r="H840" s="11" t="s">
        <v>511</v>
      </c>
      <c r="I840" s="11" t="s">
        <v>945</v>
      </c>
      <c r="J840" s="11" t="s">
        <v>31</v>
      </c>
      <c r="K840" s="11" t="s">
        <v>31</v>
      </c>
      <c r="L840" s="11" t="s">
        <v>517</v>
      </c>
      <c r="M840" s="11" t="s">
        <v>32</v>
      </c>
      <c r="N840" s="11" t="s">
        <v>652</v>
      </c>
      <c r="O840" s="11" t="s">
        <v>312</v>
      </c>
      <c r="P840" s="11" t="s">
        <v>2327</v>
      </c>
      <c r="Q840" s="11" t="s">
        <v>358</v>
      </c>
      <c r="R840" s="11" t="s">
        <v>596</v>
      </c>
      <c r="S840" s="11" t="s">
        <v>35</v>
      </c>
      <c r="T840" s="158">
        <v>3.24</v>
      </c>
      <c r="U840" s="11" t="s">
        <v>2706</v>
      </c>
      <c r="V840" s="174">
        <v>1.0800000000000001E-2</v>
      </c>
      <c r="W840" s="189">
        <v>3.6830000000000002E-2</v>
      </c>
      <c r="X840" s="4" t="s">
        <v>602</v>
      </c>
      <c r="Y840" s="4" t="s">
        <v>312</v>
      </c>
      <c r="Z840" s="158">
        <v>6000.57</v>
      </c>
      <c r="AA840" s="158">
        <v>1</v>
      </c>
      <c r="AB840" s="158">
        <v>104.74</v>
      </c>
      <c r="AD840" s="158">
        <v>6.2850000000000001</v>
      </c>
      <c r="AG840" s="11" t="s">
        <v>37</v>
      </c>
      <c r="AH840" s="189">
        <v>2.0000000000000002E-5</v>
      </c>
      <c r="AI840" s="189">
        <v>4.3108706420939298E-4</v>
      </c>
      <c r="AJ840" s="189">
        <v>9.3849955427846799E-5</v>
      </c>
    </row>
    <row r="841" spans="1:36">
      <c r="A841" s="11" t="s">
        <v>256</v>
      </c>
      <c r="B841" s="11">
        <v>7206</v>
      </c>
      <c r="C841" s="11" t="s">
        <v>2911</v>
      </c>
      <c r="D841" s="11" t="s">
        <v>2912</v>
      </c>
      <c r="E841" s="4" t="s">
        <v>1552</v>
      </c>
      <c r="F841" s="11" t="s">
        <v>2913</v>
      </c>
      <c r="G841" s="11" t="s">
        <v>2914</v>
      </c>
      <c r="H841" s="11" t="s">
        <v>511</v>
      </c>
      <c r="I841" s="11" t="s">
        <v>364</v>
      </c>
      <c r="J841" s="11" t="s">
        <v>31</v>
      </c>
      <c r="K841" s="11" t="s">
        <v>31</v>
      </c>
      <c r="L841" s="11" t="s">
        <v>517</v>
      </c>
      <c r="M841" s="11" t="s">
        <v>32</v>
      </c>
      <c r="N841" s="11" t="s">
        <v>642</v>
      </c>
      <c r="O841" s="11" t="s">
        <v>312</v>
      </c>
      <c r="P841" s="27" t="s">
        <v>2165</v>
      </c>
      <c r="Q841" s="27" t="s">
        <v>2165</v>
      </c>
      <c r="R841" s="16" t="s">
        <v>2165</v>
      </c>
      <c r="S841" s="11" t="s">
        <v>35</v>
      </c>
      <c r="T841" s="158">
        <v>2.78</v>
      </c>
      <c r="U841" s="11" t="s">
        <v>2915</v>
      </c>
      <c r="V841" s="174">
        <v>5.7000000000000002E-2</v>
      </c>
      <c r="W841" s="189">
        <v>7.9780000000000004E-2</v>
      </c>
      <c r="X841" s="4" t="s">
        <v>602</v>
      </c>
      <c r="Y841" s="4" t="s">
        <v>312</v>
      </c>
      <c r="Z841" s="158">
        <v>2640</v>
      </c>
      <c r="AA841" s="158">
        <v>1</v>
      </c>
      <c r="AB841" s="158">
        <v>110</v>
      </c>
      <c r="AD841" s="158">
        <v>2.9039999999999999</v>
      </c>
      <c r="AG841" s="11" t="s">
        <v>37</v>
      </c>
      <c r="AH841" s="189">
        <v>1.0000000000000001E-5</v>
      </c>
      <c r="AI841" s="189">
        <v>1.9918495281362101E-4</v>
      </c>
      <c r="AJ841" s="189">
        <v>4.3363627664726303E-5</v>
      </c>
    </row>
    <row r="842" spans="1:36">
      <c r="A842" s="11" t="s">
        <v>256</v>
      </c>
      <c r="B842" s="11">
        <v>7206</v>
      </c>
      <c r="C842" s="11" t="s">
        <v>1979</v>
      </c>
      <c r="D842" s="11" t="s">
        <v>1980</v>
      </c>
      <c r="E842" s="4" t="s">
        <v>1552</v>
      </c>
      <c r="F842" s="11" t="s">
        <v>2707</v>
      </c>
      <c r="G842" s="11" t="s">
        <v>2708</v>
      </c>
      <c r="H842" s="11" t="s">
        <v>511</v>
      </c>
      <c r="I842" s="11" t="s">
        <v>1154</v>
      </c>
      <c r="J842" s="11" t="s">
        <v>31</v>
      </c>
      <c r="K842" s="11" t="s">
        <v>31</v>
      </c>
      <c r="L842" s="11" t="s">
        <v>517</v>
      </c>
      <c r="M842" s="11" t="s">
        <v>32</v>
      </c>
      <c r="N842" s="11" t="s">
        <v>647</v>
      </c>
      <c r="O842" s="11" t="s">
        <v>312</v>
      </c>
      <c r="P842" s="11" t="s">
        <v>2571</v>
      </c>
      <c r="Q842" s="11" t="s">
        <v>604</v>
      </c>
      <c r="R842" s="11" t="s">
        <v>596</v>
      </c>
      <c r="S842" s="11" t="s">
        <v>35</v>
      </c>
      <c r="T842" s="158">
        <v>1.9339999999999999</v>
      </c>
      <c r="U842" s="11" t="s">
        <v>2180</v>
      </c>
      <c r="V842" s="174">
        <v>2.6100000000000002E-2</v>
      </c>
      <c r="W842" s="189">
        <v>4.793E-2</v>
      </c>
      <c r="X842" s="4" t="s">
        <v>602</v>
      </c>
      <c r="Y842" s="4" t="s">
        <v>312</v>
      </c>
      <c r="Z842" s="158">
        <v>91500.31</v>
      </c>
      <c r="AA842" s="158">
        <v>1</v>
      </c>
      <c r="AB842" s="158">
        <v>95.99</v>
      </c>
      <c r="AD842" s="158">
        <v>87.831000000000003</v>
      </c>
      <c r="AG842" s="11" t="s">
        <v>37</v>
      </c>
      <c r="AH842" s="189">
        <v>1.9000000000000001E-4</v>
      </c>
      <c r="AI842" s="189">
        <v>6.0243260964522802E-3</v>
      </c>
      <c r="AJ842" s="189">
        <v>1.3115279547340701E-3</v>
      </c>
    </row>
    <row r="843" spans="1:36">
      <c r="A843" s="11" t="s">
        <v>256</v>
      </c>
      <c r="B843" s="11">
        <v>7206</v>
      </c>
      <c r="C843" s="11" t="s">
        <v>2709</v>
      </c>
      <c r="D843" s="11" t="s">
        <v>2710</v>
      </c>
      <c r="E843" s="4" t="s">
        <v>1552</v>
      </c>
      <c r="F843" s="11" t="s">
        <v>2711</v>
      </c>
      <c r="G843" s="11" t="s">
        <v>2712</v>
      </c>
      <c r="H843" s="11" t="s">
        <v>511</v>
      </c>
      <c r="I843" s="11" t="s">
        <v>1154</v>
      </c>
      <c r="J843" s="11" t="s">
        <v>31</v>
      </c>
      <c r="K843" s="11" t="s">
        <v>31</v>
      </c>
      <c r="L843" s="11" t="s">
        <v>517</v>
      </c>
      <c r="M843" s="11" t="s">
        <v>32</v>
      </c>
      <c r="N843" s="11" t="s">
        <v>666</v>
      </c>
      <c r="O843" s="11" t="s">
        <v>312</v>
      </c>
      <c r="P843" s="11" t="s">
        <v>2169</v>
      </c>
      <c r="Q843" s="11" t="s">
        <v>358</v>
      </c>
      <c r="R843" s="11" t="s">
        <v>596</v>
      </c>
      <c r="S843" s="11" t="s">
        <v>35</v>
      </c>
      <c r="T843" s="158">
        <v>1.069</v>
      </c>
      <c r="U843" s="11" t="s">
        <v>2713</v>
      </c>
      <c r="V843" s="174">
        <v>2.7E-2</v>
      </c>
      <c r="W843" s="189">
        <v>4.9639999999999997E-2</v>
      </c>
      <c r="X843" s="4" t="s">
        <v>602</v>
      </c>
      <c r="Y843" s="4" t="s">
        <v>312</v>
      </c>
      <c r="Z843" s="158">
        <v>24244.400000000001</v>
      </c>
      <c r="AA843" s="158">
        <v>1</v>
      </c>
      <c r="AB843" s="158">
        <v>97.8</v>
      </c>
      <c r="AD843" s="158">
        <v>23.710999999999999</v>
      </c>
      <c r="AG843" s="11" t="s">
        <v>37</v>
      </c>
      <c r="AH843" s="189">
        <v>1.94E-4</v>
      </c>
      <c r="AI843" s="189">
        <v>1.6263357566303901E-3</v>
      </c>
      <c r="AJ843" s="189">
        <v>3.5406197713308801E-4</v>
      </c>
    </row>
    <row r="844" spans="1:36">
      <c r="A844" s="11" t="s">
        <v>256</v>
      </c>
      <c r="B844" s="11">
        <v>7206</v>
      </c>
      <c r="C844" s="11" t="s">
        <v>2709</v>
      </c>
      <c r="D844" s="11" t="s">
        <v>2710</v>
      </c>
      <c r="E844" s="4" t="s">
        <v>1552</v>
      </c>
      <c r="F844" s="11" t="s">
        <v>2714</v>
      </c>
      <c r="G844" s="11" t="s">
        <v>2715</v>
      </c>
      <c r="H844" s="11" t="s">
        <v>511</v>
      </c>
      <c r="I844" s="11" t="s">
        <v>945</v>
      </c>
      <c r="J844" s="11" t="s">
        <v>31</v>
      </c>
      <c r="K844" s="11" t="s">
        <v>31</v>
      </c>
      <c r="L844" s="11" t="s">
        <v>517</v>
      </c>
      <c r="M844" s="11" t="s">
        <v>32</v>
      </c>
      <c r="N844" s="11" t="s">
        <v>666</v>
      </c>
      <c r="O844" s="11" t="s">
        <v>312</v>
      </c>
      <c r="P844" s="11" t="s">
        <v>2169</v>
      </c>
      <c r="Q844" s="11" t="s">
        <v>358</v>
      </c>
      <c r="R844" s="11" t="s">
        <v>596</v>
      </c>
      <c r="S844" s="11" t="s">
        <v>35</v>
      </c>
      <c r="T844" s="158">
        <v>1.0780000000000001</v>
      </c>
      <c r="U844" s="11" t="s">
        <v>2713</v>
      </c>
      <c r="V844" s="174">
        <v>1.7999999999999999E-2</v>
      </c>
      <c r="W844" s="189">
        <v>3.0530000000000002E-2</v>
      </c>
      <c r="X844" s="4" t="s">
        <v>602</v>
      </c>
      <c r="Y844" s="4" t="s">
        <v>312</v>
      </c>
      <c r="Z844" s="158">
        <v>31613.22</v>
      </c>
      <c r="AA844" s="158">
        <v>1</v>
      </c>
      <c r="AB844" s="158">
        <v>112.65</v>
      </c>
      <c r="AD844" s="158">
        <v>35.612000000000002</v>
      </c>
      <c r="AG844" s="11" t="s">
        <v>37</v>
      </c>
      <c r="AH844" s="189">
        <v>4.8999999999999998E-5</v>
      </c>
      <c r="AI844" s="189">
        <v>2.4426421375123701E-3</v>
      </c>
      <c r="AJ844" s="189">
        <v>5.3177623446470695E-4</v>
      </c>
    </row>
    <row r="845" spans="1:36">
      <c r="A845" s="11" t="s">
        <v>256</v>
      </c>
      <c r="B845" s="11">
        <v>7206</v>
      </c>
      <c r="C845" s="11" t="s">
        <v>2716</v>
      </c>
      <c r="D845" s="11" t="s">
        <v>2717</v>
      </c>
      <c r="E845" s="4" t="s">
        <v>1552</v>
      </c>
      <c r="F845" s="11" t="s">
        <v>2718</v>
      </c>
      <c r="G845" s="11" t="s">
        <v>2719</v>
      </c>
      <c r="H845" s="11" t="s">
        <v>511</v>
      </c>
      <c r="I845" s="11" t="s">
        <v>364</v>
      </c>
      <c r="J845" s="11" t="s">
        <v>31</v>
      </c>
      <c r="K845" s="11" t="s">
        <v>31</v>
      </c>
      <c r="L845" s="11" t="s">
        <v>517</v>
      </c>
      <c r="M845" s="11" t="s">
        <v>32</v>
      </c>
      <c r="N845" s="11" t="s">
        <v>642</v>
      </c>
      <c r="O845" s="11" t="s">
        <v>312</v>
      </c>
      <c r="P845" s="11" t="s">
        <v>2418</v>
      </c>
      <c r="Q845" s="11" t="s">
        <v>604</v>
      </c>
      <c r="R845" s="11" t="s">
        <v>596</v>
      </c>
      <c r="S845" s="11" t="s">
        <v>35</v>
      </c>
      <c r="T845" s="158">
        <v>2.8</v>
      </c>
      <c r="U845" s="11" t="s">
        <v>2720</v>
      </c>
      <c r="V845" s="174">
        <v>5.4800000000000001E-2</v>
      </c>
      <c r="W845" s="189">
        <v>6.6320000000000004E-2</v>
      </c>
      <c r="X845" s="4" t="s">
        <v>602</v>
      </c>
      <c r="Y845" s="4" t="s">
        <v>312</v>
      </c>
      <c r="Z845" s="158">
        <v>60000</v>
      </c>
      <c r="AA845" s="158">
        <v>1</v>
      </c>
      <c r="AB845" s="158">
        <v>104.51</v>
      </c>
      <c r="AD845" s="158">
        <v>62.706000000000003</v>
      </c>
      <c r="AG845" s="11" t="s">
        <v>37</v>
      </c>
      <c r="AH845" s="189">
        <v>2.1100000000000001E-4</v>
      </c>
      <c r="AI845" s="189">
        <v>4.3009957476346098E-3</v>
      </c>
      <c r="AJ845" s="189">
        <v>9.3634973703317001E-4</v>
      </c>
    </row>
    <row r="846" spans="1:36">
      <c r="A846" s="11" t="s">
        <v>256</v>
      </c>
      <c r="B846" s="11">
        <v>7206</v>
      </c>
      <c r="C846" s="11" t="s">
        <v>2721</v>
      </c>
      <c r="D846" s="11" t="s">
        <v>2722</v>
      </c>
      <c r="E846" s="4" t="s">
        <v>1552</v>
      </c>
      <c r="F846" s="11" t="s">
        <v>2723</v>
      </c>
      <c r="G846" s="11" t="s">
        <v>2724</v>
      </c>
      <c r="H846" s="11" t="s">
        <v>511</v>
      </c>
      <c r="I846" s="11" t="s">
        <v>364</v>
      </c>
      <c r="J846" s="11" t="s">
        <v>31</v>
      </c>
      <c r="K846" s="11" t="s">
        <v>31</v>
      </c>
      <c r="L846" s="11" t="s">
        <v>517</v>
      </c>
      <c r="M846" s="11" t="s">
        <v>32</v>
      </c>
      <c r="N846" s="11" t="s">
        <v>642</v>
      </c>
      <c r="O846" s="11" t="s">
        <v>312</v>
      </c>
      <c r="P846" s="11" t="s">
        <v>168</v>
      </c>
      <c r="Q846" s="11" t="s">
        <v>604</v>
      </c>
      <c r="R846" s="11" t="s">
        <v>596</v>
      </c>
      <c r="S846" s="11" t="s">
        <v>35</v>
      </c>
      <c r="T846" s="158">
        <v>3.05</v>
      </c>
      <c r="U846" s="11" t="s">
        <v>2720</v>
      </c>
      <c r="V846" s="174">
        <v>4.6899999999999997E-2</v>
      </c>
      <c r="W846" s="189">
        <v>7.7439999999999995E-2</v>
      </c>
      <c r="X846" s="4" t="s">
        <v>602</v>
      </c>
      <c r="Y846" s="4" t="s">
        <v>312</v>
      </c>
      <c r="Z846" s="158">
        <v>84055.18</v>
      </c>
      <c r="AA846" s="158">
        <v>1</v>
      </c>
      <c r="AB846" s="158">
        <v>99.55</v>
      </c>
      <c r="AD846" s="158">
        <v>83.677000000000007</v>
      </c>
      <c r="AG846" s="11" t="s">
        <v>37</v>
      </c>
      <c r="AH846" s="189">
        <v>6.0000000000000002E-5</v>
      </c>
      <c r="AI846" s="189">
        <v>5.7393890117979404E-3</v>
      </c>
      <c r="AJ846" s="189">
        <v>1.24949563014184E-3</v>
      </c>
    </row>
    <row r="847" spans="1:36">
      <c r="A847" s="11" t="s">
        <v>256</v>
      </c>
      <c r="B847" s="11">
        <v>7206</v>
      </c>
      <c r="C847" s="11" t="s">
        <v>2725</v>
      </c>
      <c r="D847" s="11" t="s">
        <v>2726</v>
      </c>
      <c r="E847" s="4" t="s">
        <v>1552</v>
      </c>
      <c r="F847" s="11" t="s">
        <v>2727</v>
      </c>
      <c r="G847" s="11" t="s">
        <v>2728</v>
      </c>
      <c r="H847" s="11" t="s">
        <v>511</v>
      </c>
      <c r="I847" s="11" t="s">
        <v>1154</v>
      </c>
      <c r="J847" s="11" t="s">
        <v>31</v>
      </c>
      <c r="K847" s="11" t="s">
        <v>31</v>
      </c>
      <c r="L847" s="11" t="s">
        <v>517</v>
      </c>
      <c r="M847" s="11" t="s">
        <v>32</v>
      </c>
      <c r="N847" s="11" t="s">
        <v>634</v>
      </c>
      <c r="O847" s="11" t="s">
        <v>312</v>
      </c>
      <c r="P847" s="11" t="s">
        <v>357</v>
      </c>
      <c r="Q847" s="11" t="s">
        <v>358</v>
      </c>
      <c r="R847" s="11" t="s">
        <v>596</v>
      </c>
      <c r="S847" s="11" t="s">
        <v>35</v>
      </c>
      <c r="T847" s="158">
        <v>0.41599999999999998</v>
      </c>
      <c r="U847" s="11" t="s">
        <v>2608</v>
      </c>
      <c r="V847" s="174">
        <v>5.45E-2</v>
      </c>
      <c r="W847" s="189">
        <v>4.7469999999999998E-2</v>
      </c>
      <c r="X847" s="4" t="s">
        <v>602</v>
      </c>
      <c r="Y847" s="4" t="s">
        <v>312</v>
      </c>
      <c r="Z847" s="158">
        <v>43667.34</v>
      </c>
      <c r="AA847" s="158">
        <v>1</v>
      </c>
      <c r="AB847" s="158">
        <v>100.76</v>
      </c>
      <c r="AD847" s="158">
        <v>43.999000000000002</v>
      </c>
      <c r="AG847" s="11" t="s">
        <v>37</v>
      </c>
      <c r="AH847" s="189">
        <v>2.8299999999999999E-4</v>
      </c>
      <c r="AI847" s="189">
        <v>3.0178997668844801E-3</v>
      </c>
      <c r="AJ847" s="189">
        <v>6.5701289164697403E-4</v>
      </c>
    </row>
    <row r="848" spans="1:36">
      <c r="A848" s="11" t="s">
        <v>256</v>
      </c>
      <c r="B848" s="11">
        <v>7206</v>
      </c>
      <c r="C848" s="11" t="s">
        <v>2729</v>
      </c>
      <c r="D848" s="11" t="s">
        <v>2730</v>
      </c>
      <c r="E848" s="4" t="s">
        <v>505</v>
      </c>
      <c r="F848" s="11" t="s">
        <v>2731</v>
      </c>
      <c r="G848" s="11" t="s">
        <v>2732</v>
      </c>
      <c r="H848" s="11" t="s">
        <v>511</v>
      </c>
      <c r="I848" s="11" t="s">
        <v>364</v>
      </c>
      <c r="J848" s="11" t="s">
        <v>154</v>
      </c>
      <c r="K848" s="11" t="s">
        <v>155</v>
      </c>
      <c r="L848" s="11" t="s">
        <v>517</v>
      </c>
      <c r="M848" s="11" t="s">
        <v>342</v>
      </c>
      <c r="N848" s="11" t="s">
        <v>2733</v>
      </c>
      <c r="O848" s="11" t="s">
        <v>312</v>
      </c>
      <c r="P848" s="11" t="s">
        <v>2734</v>
      </c>
      <c r="Q848" s="11" t="s">
        <v>621</v>
      </c>
      <c r="R848" s="11" t="s">
        <v>596</v>
      </c>
      <c r="S848" s="11" t="s">
        <v>159</v>
      </c>
      <c r="T848" s="158">
        <v>3.25</v>
      </c>
      <c r="U848" s="11" t="s">
        <v>2735</v>
      </c>
      <c r="V848" s="174">
        <v>7.9500000000000001E-2</v>
      </c>
      <c r="W848" s="189">
        <v>6.8110000000000004E-2</v>
      </c>
      <c r="X848" s="4" t="s">
        <v>602</v>
      </c>
      <c r="Y848" s="4" t="s">
        <v>312</v>
      </c>
      <c r="Z848" s="158">
        <v>8000</v>
      </c>
      <c r="AA848" s="158">
        <v>3.7589999999999999</v>
      </c>
      <c r="AB848" s="158">
        <v>103.755</v>
      </c>
      <c r="AD848" s="158">
        <v>31.201000000000001</v>
      </c>
      <c r="AG848" s="11" t="s">
        <v>37</v>
      </c>
      <c r="AH848" s="189">
        <v>0</v>
      </c>
      <c r="AI848" s="189">
        <v>2.1400947657406601E-3</v>
      </c>
      <c r="AJ848" s="189">
        <v>4.6591005634669499E-4</v>
      </c>
    </row>
    <row r="849" spans="1:36">
      <c r="A849" s="11" t="s">
        <v>256</v>
      </c>
      <c r="B849" s="11">
        <v>7206</v>
      </c>
      <c r="C849" s="11" t="s">
        <v>2729</v>
      </c>
      <c r="D849" s="11" t="s">
        <v>2730</v>
      </c>
      <c r="E849" s="4" t="s">
        <v>505</v>
      </c>
      <c r="F849" s="11" t="s">
        <v>2736</v>
      </c>
      <c r="G849" s="11" t="s">
        <v>2737</v>
      </c>
      <c r="H849" s="11" t="s">
        <v>511</v>
      </c>
      <c r="I849" s="11" t="s">
        <v>364</v>
      </c>
      <c r="J849" s="11" t="s">
        <v>154</v>
      </c>
      <c r="K849" s="11" t="s">
        <v>155</v>
      </c>
      <c r="L849" s="11" t="s">
        <v>517</v>
      </c>
      <c r="M849" s="11" t="s">
        <v>342</v>
      </c>
      <c r="N849" s="11" t="s">
        <v>2733</v>
      </c>
      <c r="O849" s="11" t="s">
        <v>312</v>
      </c>
      <c r="P849" s="11" t="s">
        <v>2734</v>
      </c>
      <c r="Q849" s="11" t="s">
        <v>621</v>
      </c>
      <c r="R849" s="11" t="s">
        <v>596</v>
      </c>
      <c r="S849" s="11" t="s">
        <v>159</v>
      </c>
      <c r="T849" s="158">
        <v>5.26</v>
      </c>
      <c r="U849" s="11" t="s">
        <v>2738</v>
      </c>
      <c r="V849" s="174">
        <v>6.6500000000000004E-2</v>
      </c>
      <c r="W849" s="189">
        <v>6.8970000000000004E-2</v>
      </c>
      <c r="X849" s="4" t="s">
        <v>602</v>
      </c>
      <c r="Y849" s="4" t="s">
        <v>312</v>
      </c>
      <c r="Z849" s="158">
        <v>5000</v>
      </c>
      <c r="AA849" s="158">
        <v>3.7589999999999999</v>
      </c>
      <c r="AB849" s="158">
        <v>98.322999999999993</v>
      </c>
      <c r="AD849" s="158">
        <v>18.48</v>
      </c>
      <c r="AG849" s="11" t="s">
        <v>37</v>
      </c>
      <c r="AH849" s="189">
        <v>0</v>
      </c>
      <c r="AI849" s="189">
        <v>1.2675259854284099E-3</v>
      </c>
      <c r="AJ849" s="189">
        <v>2.7594717427733401E-4</v>
      </c>
    </row>
    <row r="850" spans="1:36">
      <c r="A850" s="11" t="s">
        <v>256</v>
      </c>
      <c r="B850" s="11">
        <v>7206</v>
      </c>
      <c r="C850" s="11" t="s">
        <v>2739</v>
      </c>
      <c r="D850" s="11" t="s">
        <v>2740</v>
      </c>
      <c r="E850" s="4" t="s">
        <v>505</v>
      </c>
      <c r="F850" s="11" t="s">
        <v>2741</v>
      </c>
      <c r="G850" s="11" t="s">
        <v>2742</v>
      </c>
      <c r="H850" s="11" t="s">
        <v>511</v>
      </c>
      <c r="I850" s="11" t="s">
        <v>364</v>
      </c>
      <c r="J850" s="11" t="s">
        <v>154</v>
      </c>
      <c r="K850" s="11" t="s">
        <v>486</v>
      </c>
      <c r="L850" s="11" t="s">
        <v>517</v>
      </c>
      <c r="M850" s="11" t="s">
        <v>156</v>
      </c>
      <c r="N850" s="11" t="s">
        <v>678</v>
      </c>
      <c r="O850" s="11" t="s">
        <v>312</v>
      </c>
      <c r="P850" s="11" t="s">
        <v>2743</v>
      </c>
      <c r="Q850" s="11" t="s">
        <v>158</v>
      </c>
      <c r="R850" s="11" t="s">
        <v>596</v>
      </c>
      <c r="S850" s="11" t="s">
        <v>159</v>
      </c>
      <c r="T850" s="158">
        <v>6.17</v>
      </c>
      <c r="U850" s="11" t="s">
        <v>2744</v>
      </c>
      <c r="V850" s="174">
        <v>7.3779999999999998E-2</v>
      </c>
      <c r="W850" s="189">
        <v>6.1440000000000002E-2</v>
      </c>
      <c r="X850" s="4" t="s">
        <v>602</v>
      </c>
      <c r="Y850" s="4" t="s">
        <v>312</v>
      </c>
      <c r="Z850" s="158">
        <v>10000</v>
      </c>
      <c r="AA850" s="158">
        <v>3.7589999999999999</v>
      </c>
      <c r="AB850" s="158">
        <v>110.13800000000001</v>
      </c>
      <c r="AD850" s="158">
        <v>41.401000000000003</v>
      </c>
      <c r="AG850" s="11" t="s">
        <v>37</v>
      </c>
      <c r="AH850" s="189">
        <v>1.7E-5</v>
      </c>
      <c r="AI850" s="189">
        <v>2.8396735558959899E-3</v>
      </c>
      <c r="AJ850" s="189">
        <v>6.1821209397511603E-4</v>
      </c>
    </row>
    <row r="851" spans="1:36">
      <c r="A851" s="11" t="s">
        <v>256</v>
      </c>
      <c r="B851" s="11">
        <v>7206</v>
      </c>
      <c r="C851" s="11" t="s">
        <v>2745</v>
      </c>
      <c r="D851" s="11" t="s">
        <v>2746</v>
      </c>
      <c r="E851" s="4" t="s">
        <v>505</v>
      </c>
      <c r="F851" s="11" t="s">
        <v>2747</v>
      </c>
      <c r="G851" s="11" t="s">
        <v>2748</v>
      </c>
      <c r="H851" s="11" t="s">
        <v>511</v>
      </c>
      <c r="I851" s="11" t="s">
        <v>364</v>
      </c>
      <c r="J851" s="11" t="s">
        <v>154</v>
      </c>
      <c r="K851" s="11" t="s">
        <v>486</v>
      </c>
      <c r="L851" s="11" t="s">
        <v>517</v>
      </c>
      <c r="M851" s="11" t="s">
        <v>342</v>
      </c>
      <c r="N851" s="11" t="s">
        <v>757</v>
      </c>
      <c r="O851" s="11" t="s">
        <v>312</v>
      </c>
      <c r="P851" s="11" t="s">
        <v>2749</v>
      </c>
      <c r="Q851" s="11" t="s">
        <v>158</v>
      </c>
      <c r="R851" s="11" t="s">
        <v>596</v>
      </c>
      <c r="S851" s="11" t="s">
        <v>169</v>
      </c>
      <c r="T851" s="158">
        <v>1.1399999999999999</v>
      </c>
      <c r="U851" s="11" t="s">
        <v>2750</v>
      </c>
      <c r="V851" s="174">
        <v>4.2500000000000003E-2</v>
      </c>
      <c r="W851" s="189">
        <v>7.918E-2</v>
      </c>
      <c r="X851" s="4" t="s">
        <v>602</v>
      </c>
      <c r="Y851" s="4" t="s">
        <v>312</v>
      </c>
      <c r="Z851" s="158">
        <v>5000</v>
      </c>
      <c r="AA851" s="158">
        <v>4.0199999999999996</v>
      </c>
      <c r="AB851" s="158">
        <v>99.793000000000006</v>
      </c>
      <c r="AD851" s="158">
        <v>20.059000000000001</v>
      </c>
      <c r="AG851" s="11" t="s">
        <v>37</v>
      </c>
      <c r="AH851" s="189">
        <v>0</v>
      </c>
      <c r="AI851" s="189">
        <v>1.37586664749844E-3</v>
      </c>
      <c r="AJ851" s="189">
        <v>2.9953351483465E-4</v>
      </c>
    </row>
    <row r="852" spans="1:36">
      <c r="A852" s="11" t="s">
        <v>256</v>
      </c>
      <c r="B852" s="11">
        <v>7206</v>
      </c>
      <c r="C852" s="11" t="s">
        <v>2751</v>
      </c>
      <c r="D852" s="11" t="s">
        <v>2752</v>
      </c>
      <c r="E852" s="4" t="s">
        <v>505</v>
      </c>
      <c r="F852" s="11" t="s">
        <v>2753</v>
      </c>
      <c r="G852" s="11" t="s">
        <v>2754</v>
      </c>
      <c r="H852" s="11" t="s">
        <v>511</v>
      </c>
      <c r="I852" s="11" t="s">
        <v>364</v>
      </c>
      <c r="J852" s="11" t="s">
        <v>154</v>
      </c>
      <c r="K852" s="11" t="s">
        <v>155</v>
      </c>
      <c r="L852" s="11" t="s">
        <v>517</v>
      </c>
      <c r="M852" s="11" t="s">
        <v>342</v>
      </c>
      <c r="N852" s="11" t="s">
        <v>738</v>
      </c>
      <c r="O852" s="11" t="s">
        <v>312</v>
      </c>
      <c r="P852" s="11" t="s">
        <v>2418</v>
      </c>
      <c r="Q852" s="11" t="s">
        <v>158</v>
      </c>
      <c r="R852" s="11" t="s">
        <v>596</v>
      </c>
      <c r="S852" s="11" t="s">
        <v>159</v>
      </c>
      <c r="T852" s="158">
        <v>3.56</v>
      </c>
      <c r="U852" s="11" t="s">
        <v>2175</v>
      </c>
      <c r="V852" s="174">
        <v>4.5999999999999999E-2</v>
      </c>
      <c r="W852" s="189">
        <v>4.9149999999999999E-2</v>
      </c>
      <c r="X852" s="4" t="s">
        <v>602</v>
      </c>
      <c r="Y852" s="4" t="s">
        <v>312</v>
      </c>
      <c r="Z852" s="158">
        <v>5000</v>
      </c>
      <c r="AA852" s="158">
        <v>3.7589999999999999</v>
      </c>
      <c r="AB852" s="158">
        <v>100.154</v>
      </c>
      <c r="AD852" s="158">
        <v>18.824000000000002</v>
      </c>
      <c r="AG852" s="11" t="s">
        <v>37</v>
      </c>
      <c r="AH852" s="189">
        <v>3.0000000000000001E-6</v>
      </c>
      <c r="AI852" s="189">
        <v>1.2911288382195199E-3</v>
      </c>
      <c r="AJ852" s="189">
        <v>2.8108564134425601E-4</v>
      </c>
    </row>
    <row r="853" spans="1:36">
      <c r="A853" s="11" t="s">
        <v>256</v>
      </c>
      <c r="B853" s="11">
        <v>7206</v>
      </c>
      <c r="C853" s="11" t="s">
        <v>2755</v>
      </c>
      <c r="D853" s="11" t="s">
        <v>2756</v>
      </c>
      <c r="E853" s="4" t="s">
        <v>505</v>
      </c>
      <c r="F853" s="11" t="s">
        <v>2757</v>
      </c>
      <c r="G853" s="11" t="s">
        <v>2758</v>
      </c>
      <c r="H853" s="11" t="s">
        <v>511</v>
      </c>
      <c r="I853" s="11" t="s">
        <v>364</v>
      </c>
      <c r="J853" s="11" t="s">
        <v>154</v>
      </c>
      <c r="K853" s="11" t="s">
        <v>155</v>
      </c>
      <c r="L853" s="11" t="s">
        <v>517</v>
      </c>
      <c r="M853" s="11" t="s">
        <v>342</v>
      </c>
      <c r="N853" s="11" t="s">
        <v>738</v>
      </c>
      <c r="O853" s="11" t="s">
        <v>312</v>
      </c>
      <c r="P853" s="11" t="s">
        <v>2327</v>
      </c>
      <c r="Q853" s="11" t="s">
        <v>621</v>
      </c>
      <c r="R853" s="11" t="s">
        <v>596</v>
      </c>
      <c r="S853" s="11" t="s">
        <v>159</v>
      </c>
      <c r="T853" s="158">
        <v>0.78</v>
      </c>
      <c r="U853" s="11" t="s">
        <v>2759</v>
      </c>
      <c r="V853" s="174">
        <v>3.3500000000000002E-2</v>
      </c>
      <c r="W853" s="189">
        <v>5.5079999999999997E-2</v>
      </c>
      <c r="X853" s="4" t="s">
        <v>602</v>
      </c>
      <c r="Y853" s="4" t="s">
        <v>312</v>
      </c>
      <c r="Z853" s="158">
        <v>5000</v>
      </c>
      <c r="AA853" s="158">
        <v>3.7589999999999999</v>
      </c>
      <c r="AB853" s="158">
        <v>99.387</v>
      </c>
      <c r="AD853" s="158">
        <v>18.68</v>
      </c>
      <c r="AG853" s="11" t="s">
        <v>37</v>
      </c>
      <c r="AH853" s="189">
        <v>0</v>
      </c>
      <c r="AI853" s="189">
        <v>1.2812482528732499E-3</v>
      </c>
      <c r="AJ853" s="189">
        <v>2.7893458516248601E-4</v>
      </c>
    </row>
    <row r="854" spans="1:36">
      <c r="A854" s="11" t="s">
        <v>256</v>
      </c>
      <c r="B854" s="11">
        <v>7206</v>
      </c>
      <c r="C854" s="11" t="s">
        <v>2760</v>
      </c>
      <c r="D854" s="11" t="s">
        <v>2761</v>
      </c>
      <c r="E854" s="4" t="s">
        <v>505</v>
      </c>
      <c r="F854" s="11" t="s">
        <v>2762</v>
      </c>
      <c r="G854" s="11" t="s">
        <v>2763</v>
      </c>
      <c r="H854" s="11" t="s">
        <v>511</v>
      </c>
      <c r="I854" s="11" t="s">
        <v>364</v>
      </c>
      <c r="J854" s="11" t="s">
        <v>154</v>
      </c>
      <c r="K854" s="11" t="s">
        <v>155</v>
      </c>
      <c r="L854" s="11" t="s">
        <v>517</v>
      </c>
      <c r="M854" s="11" t="s">
        <v>342</v>
      </c>
      <c r="N854" s="11" t="s">
        <v>704</v>
      </c>
      <c r="O854" s="11" t="s">
        <v>312</v>
      </c>
      <c r="P854" s="11" t="s">
        <v>168</v>
      </c>
      <c r="Q854" s="11" t="s">
        <v>158</v>
      </c>
      <c r="R854" s="11" t="s">
        <v>596</v>
      </c>
      <c r="S854" s="11" t="s">
        <v>159</v>
      </c>
      <c r="T854" s="158">
        <v>3.12</v>
      </c>
      <c r="U854" s="11" t="s">
        <v>2764</v>
      </c>
      <c r="V854" s="174">
        <v>4.5499999999999999E-2</v>
      </c>
      <c r="W854" s="189">
        <v>4.9110000000000001E-2</v>
      </c>
      <c r="X854" s="4" t="s">
        <v>602</v>
      </c>
      <c r="Y854" s="4" t="s">
        <v>312</v>
      </c>
      <c r="Z854" s="158">
        <v>10000</v>
      </c>
      <c r="AA854" s="158">
        <v>3.7589999999999999</v>
      </c>
      <c r="AB854" s="158">
        <v>99.274000000000001</v>
      </c>
      <c r="AD854" s="158">
        <v>37.317</v>
      </c>
      <c r="AG854" s="11" t="s">
        <v>37</v>
      </c>
      <c r="AH854" s="189">
        <v>0</v>
      </c>
      <c r="AI854" s="189">
        <v>2.5595744233513499E-3</v>
      </c>
      <c r="AJ854" s="189">
        <v>5.5723301738671595E-4</v>
      </c>
    </row>
    <row r="855" spans="1:36">
      <c r="A855" s="11" t="s">
        <v>256</v>
      </c>
      <c r="B855" s="11">
        <v>7206</v>
      </c>
      <c r="C855" s="11" t="s">
        <v>2765</v>
      </c>
      <c r="D855" s="11" t="s">
        <v>2766</v>
      </c>
      <c r="E855" s="4" t="s">
        <v>505</v>
      </c>
      <c r="F855" s="11" t="s">
        <v>2767</v>
      </c>
      <c r="G855" s="11" t="s">
        <v>2768</v>
      </c>
      <c r="H855" s="11" t="s">
        <v>511</v>
      </c>
      <c r="I855" s="11" t="s">
        <v>364</v>
      </c>
      <c r="J855" s="11" t="s">
        <v>154</v>
      </c>
      <c r="K855" s="11" t="s">
        <v>155</v>
      </c>
      <c r="L855" s="11" t="s">
        <v>517</v>
      </c>
      <c r="M855" s="11" t="s">
        <v>342</v>
      </c>
      <c r="N855" s="11" t="s">
        <v>726</v>
      </c>
      <c r="O855" s="11" t="s">
        <v>312</v>
      </c>
      <c r="P855" s="11" t="s">
        <v>2769</v>
      </c>
      <c r="Q855" s="11" t="s">
        <v>158</v>
      </c>
      <c r="R855" s="11" t="s">
        <v>596</v>
      </c>
      <c r="S855" s="11" t="s">
        <v>159</v>
      </c>
      <c r="T855" s="158">
        <v>3.97</v>
      </c>
      <c r="U855" s="11" t="s">
        <v>2596</v>
      </c>
      <c r="V855" s="174">
        <v>6.9000000000000006E-2</v>
      </c>
      <c r="W855" s="189">
        <v>6.7960000000000007E-2</v>
      </c>
      <c r="X855" s="4" t="s">
        <v>602</v>
      </c>
      <c r="Y855" s="4" t="s">
        <v>312</v>
      </c>
      <c r="Z855" s="158">
        <v>20000</v>
      </c>
      <c r="AA855" s="158">
        <v>3.7589999999999999</v>
      </c>
      <c r="AB855" s="158">
        <v>102.36</v>
      </c>
      <c r="AD855" s="158">
        <v>76.953999999999994</v>
      </c>
      <c r="AG855" s="11" t="s">
        <v>37</v>
      </c>
      <c r="AH855" s="189">
        <v>3.1000000000000001E-5</v>
      </c>
      <c r="AI855" s="189">
        <v>5.2782552971983102E-3</v>
      </c>
      <c r="AJ855" s="189">
        <v>1.1491043585066701E-3</v>
      </c>
    </row>
    <row r="856" spans="1:36">
      <c r="A856" s="11" t="s">
        <v>256</v>
      </c>
      <c r="B856" s="11">
        <v>7206</v>
      </c>
      <c r="C856" s="11" t="s">
        <v>2770</v>
      </c>
      <c r="D856" s="11" t="s">
        <v>2771</v>
      </c>
      <c r="E856" s="4" t="s">
        <v>505</v>
      </c>
      <c r="F856" s="11" t="s">
        <v>2772</v>
      </c>
      <c r="G856" s="11" t="s">
        <v>2773</v>
      </c>
      <c r="H856" s="11" t="s">
        <v>511</v>
      </c>
      <c r="I856" s="11" t="s">
        <v>364</v>
      </c>
      <c r="J856" s="11" t="s">
        <v>154</v>
      </c>
      <c r="K856" s="11" t="s">
        <v>155</v>
      </c>
      <c r="L856" s="11" t="s">
        <v>517</v>
      </c>
      <c r="M856" s="11" t="s">
        <v>342</v>
      </c>
      <c r="N856" s="11" t="s">
        <v>2774</v>
      </c>
      <c r="O856" s="11" t="s">
        <v>312</v>
      </c>
      <c r="P856" s="11" t="s">
        <v>2734</v>
      </c>
      <c r="Q856" s="11" t="s">
        <v>621</v>
      </c>
      <c r="R856" s="11" t="s">
        <v>596</v>
      </c>
      <c r="S856" s="11" t="s">
        <v>159</v>
      </c>
      <c r="T856" s="158">
        <v>7.3</v>
      </c>
      <c r="U856" s="11" t="s">
        <v>2775</v>
      </c>
      <c r="V856" s="174">
        <v>5.8749999999999997E-2</v>
      </c>
      <c r="W856" s="189">
        <v>6.2039999999999998E-2</v>
      </c>
      <c r="X856" s="4" t="s">
        <v>602</v>
      </c>
      <c r="Y856" s="4" t="s">
        <v>312</v>
      </c>
      <c r="Z856" s="158">
        <v>20000</v>
      </c>
      <c r="AA856" s="158">
        <v>3.7589999999999999</v>
      </c>
      <c r="AB856" s="158">
        <v>100.241</v>
      </c>
      <c r="AD856" s="158">
        <v>75.361000000000004</v>
      </c>
      <c r="AG856" s="11" t="s">
        <v>37</v>
      </c>
      <c r="AH856" s="189">
        <v>4.0000000000000003E-5</v>
      </c>
      <c r="AI856" s="189">
        <v>5.16899010899796E-3</v>
      </c>
      <c r="AJ856" s="189">
        <v>1.1253167436747901E-3</v>
      </c>
    </row>
    <row r="857" spans="1:36">
      <c r="A857" s="11" t="s">
        <v>256</v>
      </c>
      <c r="B857" s="11">
        <v>7206</v>
      </c>
      <c r="C857" s="11" t="s">
        <v>2745</v>
      </c>
      <c r="D857" s="11" t="s">
        <v>2746</v>
      </c>
      <c r="E857" s="4" t="s">
        <v>505</v>
      </c>
      <c r="F857" s="11" t="s">
        <v>2923</v>
      </c>
      <c r="G857" s="11" t="s">
        <v>2924</v>
      </c>
      <c r="H857" s="11" t="s">
        <v>511</v>
      </c>
      <c r="I857" s="11" t="s">
        <v>364</v>
      </c>
      <c r="J857" s="11" t="s">
        <v>154</v>
      </c>
      <c r="K857" s="11" t="s">
        <v>468</v>
      </c>
      <c r="L857" s="11" t="s">
        <v>517</v>
      </c>
      <c r="M857" s="11" t="s">
        <v>156</v>
      </c>
      <c r="N857" s="11" t="s">
        <v>757</v>
      </c>
      <c r="O857" s="11" t="s">
        <v>312</v>
      </c>
      <c r="P857" s="11" t="s">
        <v>2749</v>
      </c>
      <c r="Q857" s="11" t="s">
        <v>158</v>
      </c>
      <c r="R857" s="11" t="s">
        <v>596</v>
      </c>
      <c r="S857" s="11" t="s">
        <v>169</v>
      </c>
      <c r="T857" s="158">
        <v>2.86</v>
      </c>
      <c r="U857" s="11" t="s">
        <v>2925</v>
      </c>
      <c r="V857" s="174">
        <v>2.6249999999999999E-2</v>
      </c>
      <c r="W857" s="189">
        <v>7.9949999999999993E-2</v>
      </c>
      <c r="X857" s="4" t="s">
        <v>602</v>
      </c>
      <c r="Y857" s="4" t="s">
        <v>312</v>
      </c>
      <c r="Z857" s="158">
        <v>5000</v>
      </c>
      <c r="AA857" s="158">
        <v>4.0199999999999996</v>
      </c>
      <c r="AB857" s="158">
        <v>86.938999999999993</v>
      </c>
      <c r="AD857" s="158">
        <v>17.475999999999999</v>
      </c>
      <c r="AG857" s="11" t="s">
        <v>37</v>
      </c>
      <c r="AH857" s="189">
        <v>1.4E-5</v>
      </c>
      <c r="AI857" s="189">
        <v>1.1986462477505599E-3</v>
      </c>
      <c r="AJ857" s="189">
        <v>2.6095168763984197E-4</v>
      </c>
    </row>
    <row r="858" spans="1:36">
      <c r="A858" s="11" t="s">
        <v>256</v>
      </c>
      <c r="B858" s="11">
        <v>7206</v>
      </c>
      <c r="C858" s="11" t="s">
        <v>2926</v>
      </c>
      <c r="D858" s="11" t="s">
        <v>2927</v>
      </c>
      <c r="E858" s="4" t="s">
        <v>505</v>
      </c>
      <c r="F858" s="11" t="s">
        <v>2928</v>
      </c>
      <c r="G858" s="11" t="s">
        <v>2929</v>
      </c>
      <c r="H858" s="11" t="s">
        <v>511</v>
      </c>
      <c r="I858" s="11" t="s">
        <v>364</v>
      </c>
      <c r="J858" s="11" t="s">
        <v>154</v>
      </c>
      <c r="K858" s="11" t="s">
        <v>155</v>
      </c>
      <c r="L858" s="11" t="s">
        <v>517</v>
      </c>
      <c r="M858" s="11" t="s">
        <v>342</v>
      </c>
      <c r="N858" s="11" t="s">
        <v>737</v>
      </c>
      <c r="O858" s="11" t="s">
        <v>312</v>
      </c>
      <c r="P858" s="11" t="s">
        <v>2769</v>
      </c>
      <c r="Q858" s="11" t="s">
        <v>621</v>
      </c>
      <c r="R858" s="11" t="s">
        <v>596</v>
      </c>
      <c r="S858" s="11" t="s">
        <v>159</v>
      </c>
      <c r="T858" s="158">
        <v>5.95</v>
      </c>
      <c r="U858" s="11" t="s">
        <v>194</v>
      </c>
      <c r="V858" s="174">
        <v>2.4500000000000001E-2</v>
      </c>
      <c r="W858" s="189">
        <v>5.5120000000000002E-2</v>
      </c>
      <c r="X858" s="4" t="s">
        <v>602</v>
      </c>
      <c r="Y858" s="4" t="s">
        <v>312</v>
      </c>
      <c r="Z858" s="158">
        <v>2000</v>
      </c>
      <c r="AA858" s="158">
        <v>3.7589999999999999</v>
      </c>
      <c r="AB858" s="158">
        <v>85.105000000000004</v>
      </c>
      <c r="AD858" s="158">
        <v>6.3979999999999997</v>
      </c>
      <c r="AG858" s="11" t="s">
        <v>37</v>
      </c>
      <c r="AH858" s="189">
        <v>9.9999999999999995E-7</v>
      </c>
      <c r="AI858" s="189">
        <v>4.3884892779317501E-4</v>
      </c>
      <c r="AJ858" s="189">
        <v>9.5539754570186995E-5</v>
      </c>
    </row>
    <row r="859" spans="1:36">
      <c r="A859" s="11" t="s">
        <v>256</v>
      </c>
      <c r="B859" s="11">
        <v>7206</v>
      </c>
      <c r="C859" s="11" t="s">
        <v>362</v>
      </c>
      <c r="D859" s="11" t="s">
        <v>1802</v>
      </c>
      <c r="E859" s="4" t="s">
        <v>1552</v>
      </c>
      <c r="F859" s="11" t="s">
        <v>2930</v>
      </c>
      <c r="G859" s="11" t="s">
        <v>2931</v>
      </c>
      <c r="H859" s="11" t="s">
        <v>511</v>
      </c>
      <c r="I859" s="11" t="s">
        <v>364</v>
      </c>
      <c r="J859" s="11" t="s">
        <v>154</v>
      </c>
      <c r="K859" s="11" t="s">
        <v>2114</v>
      </c>
      <c r="L859" s="11" t="s">
        <v>517</v>
      </c>
      <c r="M859" s="11" t="s">
        <v>342</v>
      </c>
      <c r="N859" s="11" t="s">
        <v>725</v>
      </c>
      <c r="O859" s="11" t="s">
        <v>312</v>
      </c>
      <c r="P859" s="11" t="s">
        <v>2327</v>
      </c>
      <c r="Q859" s="11" t="s">
        <v>621</v>
      </c>
      <c r="R859" s="11" t="s">
        <v>596</v>
      </c>
      <c r="S859" s="11" t="s">
        <v>159</v>
      </c>
      <c r="T859" s="158">
        <v>2.82</v>
      </c>
      <c r="U859" s="11" t="s">
        <v>2932</v>
      </c>
      <c r="V859" s="174">
        <v>5.1249999999999997E-2</v>
      </c>
      <c r="W859" s="189">
        <v>6.0760000000000002E-2</v>
      </c>
      <c r="X859" s="4" t="s">
        <v>602</v>
      </c>
      <c r="Y859" s="4" t="s">
        <v>312</v>
      </c>
      <c r="Z859" s="158">
        <v>30000</v>
      </c>
      <c r="AA859" s="158">
        <v>3.7589999999999999</v>
      </c>
      <c r="AB859" s="158">
        <v>99.316000000000003</v>
      </c>
      <c r="AD859" s="158">
        <v>111.999</v>
      </c>
      <c r="AG859" s="11" t="s">
        <v>37</v>
      </c>
      <c r="AH859" s="189">
        <v>0</v>
      </c>
      <c r="AI859" s="189">
        <v>7.6820046633379003E-3</v>
      </c>
      <c r="AJ859" s="189">
        <v>1.6724134289972099E-3</v>
      </c>
    </row>
    <row r="860" spans="1:36">
      <c r="A860" s="11" t="s">
        <v>256</v>
      </c>
      <c r="B860" s="11">
        <v>7206</v>
      </c>
      <c r="C860" s="11" t="s">
        <v>2776</v>
      </c>
      <c r="D860" s="11" t="s">
        <v>2777</v>
      </c>
      <c r="E860" s="4" t="s">
        <v>505</v>
      </c>
      <c r="F860" s="11" t="s">
        <v>2778</v>
      </c>
      <c r="G860" s="11" t="s">
        <v>2779</v>
      </c>
      <c r="H860" s="11" t="s">
        <v>511</v>
      </c>
      <c r="I860" s="11" t="s">
        <v>364</v>
      </c>
      <c r="J860" s="11" t="s">
        <v>154</v>
      </c>
      <c r="K860" s="11" t="s">
        <v>431</v>
      </c>
      <c r="L860" s="11" t="s">
        <v>517</v>
      </c>
      <c r="M860" s="11" t="s">
        <v>342</v>
      </c>
      <c r="N860" s="11" t="s">
        <v>723</v>
      </c>
      <c r="O860" s="11" t="s">
        <v>312</v>
      </c>
      <c r="P860" s="11" t="s">
        <v>2743</v>
      </c>
      <c r="Q860" s="11" t="s">
        <v>158</v>
      </c>
      <c r="R860" s="11" t="s">
        <v>596</v>
      </c>
      <c r="S860" s="11" t="s">
        <v>159</v>
      </c>
      <c r="T860" s="158">
        <v>3.95</v>
      </c>
      <c r="U860" s="11" t="s">
        <v>2780</v>
      </c>
      <c r="V860" s="174">
        <v>4.3749999999999997E-2</v>
      </c>
      <c r="W860" s="189">
        <v>5.9139999999999998E-2</v>
      </c>
      <c r="X860" s="4" t="s">
        <v>602</v>
      </c>
      <c r="Y860" s="4" t="s">
        <v>312</v>
      </c>
      <c r="Z860" s="158">
        <v>15000</v>
      </c>
      <c r="AA860" s="158">
        <v>3.7589999999999999</v>
      </c>
      <c r="AB860" s="158">
        <v>94.977999999999994</v>
      </c>
      <c r="AD860" s="158">
        <v>53.554000000000002</v>
      </c>
      <c r="AG860" s="11" t="s">
        <v>37</v>
      </c>
      <c r="AH860" s="189">
        <v>3.9999999999999998E-6</v>
      </c>
      <c r="AI860" s="189">
        <v>3.6732277380300401E-3</v>
      </c>
      <c r="AJ860" s="189">
        <v>7.9968128972434803E-4</v>
      </c>
    </row>
    <row r="861" spans="1:36">
      <c r="A861" s="11" t="s">
        <v>256</v>
      </c>
      <c r="B861" s="11">
        <v>7206</v>
      </c>
      <c r="C861" s="11" t="s">
        <v>2933</v>
      </c>
      <c r="D861" s="11" t="s">
        <v>2934</v>
      </c>
      <c r="E861" s="4" t="s">
        <v>505</v>
      </c>
      <c r="F861" s="11" t="s">
        <v>2935</v>
      </c>
      <c r="G861" s="11" t="s">
        <v>2936</v>
      </c>
      <c r="H861" s="11" t="s">
        <v>511</v>
      </c>
      <c r="I861" s="11" t="s">
        <v>364</v>
      </c>
      <c r="J861" s="11" t="s">
        <v>154</v>
      </c>
      <c r="K861" s="11" t="s">
        <v>470</v>
      </c>
      <c r="L861" s="11" t="s">
        <v>517</v>
      </c>
      <c r="M861" s="11" t="s">
        <v>553</v>
      </c>
      <c r="N861" s="11" t="s">
        <v>757</v>
      </c>
      <c r="O861" s="11" t="s">
        <v>312</v>
      </c>
      <c r="P861" s="11" t="s">
        <v>2937</v>
      </c>
      <c r="Q861" s="11" t="s">
        <v>158</v>
      </c>
      <c r="R861" s="11" t="s">
        <v>596</v>
      </c>
      <c r="S861" s="11" t="s">
        <v>169</v>
      </c>
      <c r="T861" s="158">
        <v>3.46</v>
      </c>
      <c r="U861" s="11" t="s">
        <v>2938</v>
      </c>
      <c r="V861" s="174">
        <v>1.6250000000000001E-2</v>
      </c>
      <c r="W861" s="189">
        <v>6.0409999999999998E-2</v>
      </c>
      <c r="X861" s="4" t="s">
        <v>602</v>
      </c>
      <c r="Y861" s="4" t="s">
        <v>312</v>
      </c>
      <c r="Z861" s="158">
        <v>5000</v>
      </c>
      <c r="AA861" s="158">
        <v>4.0199999999999996</v>
      </c>
      <c r="AB861" s="158">
        <v>86.126000000000005</v>
      </c>
      <c r="AD861" s="158">
        <v>17.312000000000001</v>
      </c>
      <c r="AG861" s="11" t="s">
        <v>37</v>
      </c>
      <c r="AH861" s="189">
        <v>1.4E-5</v>
      </c>
      <c r="AI861" s="189">
        <v>1.18744584617514E-3</v>
      </c>
      <c r="AJ861" s="189">
        <v>2.5851330041856203E-4</v>
      </c>
    </row>
    <row r="862" spans="1:36">
      <c r="A862" s="11" t="s">
        <v>256</v>
      </c>
      <c r="B862" s="11">
        <v>7206</v>
      </c>
      <c r="C862" s="11" t="s">
        <v>2781</v>
      </c>
      <c r="D862" s="11" t="s">
        <v>2782</v>
      </c>
      <c r="E862" s="4" t="s">
        <v>505</v>
      </c>
      <c r="F862" s="11" t="s">
        <v>2783</v>
      </c>
      <c r="G862" s="11" t="s">
        <v>2784</v>
      </c>
      <c r="H862" s="11" t="s">
        <v>511</v>
      </c>
      <c r="I862" s="11" t="s">
        <v>364</v>
      </c>
      <c r="J862" s="11" t="s">
        <v>154</v>
      </c>
      <c r="K862" s="11" t="s">
        <v>155</v>
      </c>
      <c r="L862" s="11" t="s">
        <v>517</v>
      </c>
      <c r="M862" s="11" t="s">
        <v>156</v>
      </c>
      <c r="N862" s="11" t="s">
        <v>1999</v>
      </c>
      <c r="O862" s="11" t="s">
        <v>312</v>
      </c>
      <c r="P862" s="11" t="s">
        <v>2354</v>
      </c>
      <c r="Q862" s="11" t="s">
        <v>621</v>
      </c>
      <c r="R862" s="11" t="s">
        <v>596</v>
      </c>
      <c r="S862" s="11" t="s">
        <v>159</v>
      </c>
      <c r="T862" s="158">
        <v>3.57</v>
      </c>
      <c r="U862" s="11" t="s">
        <v>2785</v>
      </c>
      <c r="V862" s="174">
        <v>5.1999999999999998E-2</v>
      </c>
      <c r="W862" s="189">
        <v>5.423E-2</v>
      </c>
      <c r="X862" s="4" t="s">
        <v>602</v>
      </c>
      <c r="Y862" s="4" t="s">
        <v>312</v>
      </c>
      <c r="Z862" s="158">
        <v>10000</v>
      </c>
      <c r="AA862" s="158">
        <v>3.7589999999999999</v>
      </c>
      <c r="AB862" s="158">
        <v>102.297</v>
      </c>
      <c r="AD862" s="158">
        <v>38.453000000000003</v>
      </c>
      <c r="AG862" s="11" t="s">
        <v>37</v>
      </c>
      <c r="AH862" s="189">
        <v>2.0000000000000002E-5</v>
      </c>
      <c r="AI862" s="189">
        <v>2.63751049177077E-3</v>
      </c>
      <c r="AJ862" s="189">
        <v>5.7420011557788599E-4</v>
      </c>
    </row>
    <row r="863" spans="1:36">
      <c r="A863" s="11" t="s">
        <v>256</v>
      </c>
      <c r="B863" s="11">
        <v>7206</v>
      </c>
      <c r="C863" s="11" t="s">
        <v>2781</v>
      </c>
      <c r="D863" s="11" t="s">
        <v>2782</v>
      </c>
      <c r="E863" s="4" t="s">
        <v>505</v>
      </c>
      <c r="F863" s="11" t="s">
        <v>2786</v>
      </c>
      <c r="G863" s="11" t="s">
        <v>2787</v>
      </c>
      <c r="H863" s="11" t="s">
        <v>511</v>
      </c>
      <c r="I863" s="11" t="s">
        <v>364</v>
      </c>
      <c r="J863" s="11" t="s">
        <v>154</v>
      </c>
      <c r="K863" s="11" t="s">
        <v>155</v>
      </c>
      <c r="L863" s="11" t="s">
        <v>517</v>
      </c>
      <c r="M863" s="11" t="s">
        <v>156</v>
      </c>
      <c r="N863" s="11" t="s">
        <v>1999</v>
      </c>
      <c r="O863" s="11" t="s">
        <v>312</v>
      </c>
      <c r="P863" s="11" t="s">
        <v>2354</v>
      </c>
      <c r="Q863" s="11" t="s">
        <v>621</v>
      </c>
      <c r="R863" s="11" t="s">
        <v>596</v>
      </c>
      <c r="S863" s="11" t="s">
        <v>159</v>
      </c>
      <c r="T863" s="158">
        <v>6.91</v>
      </c>
      <c r="U863" s="11" t="s">
        <v>2788</v>
      </c>
      <c r="V863" s="174">
        <v>5.45E-2</v>
      </c>
      <c r="W863" s="189">
        <v>5.7049999999999997E-2</v>
      </c>
      <c r="X863" s="4" t="s">
        <v>602</v>
      </c>
      <c r="Y863" s="4" t="s">
        <v>312</v>
      </c>
      <c r="Z863" s="158">
        <v>10000</v>
      </c>
      <c r="AA863" s="158">
        <v>3.7589999999999999</v>
      </c>
      <c r="AB863" s="158">
        <v>102.005</v>
      </c>
      <c r="AD863" s="158">
        <v>38.344000000000001</v>
      </c>
      <c r="AG863" s="11" t="s">
        <v>37</v>
      </c>
      <c r="AH863" s="189">
        <v>1.0000000000000001E-5</v>
      </c>
      <c r="AI863" s="189">
        <v>2.6299954900953701E-3</v>
      </c>
      <c r="AJ863" s="189">
        <v>5.7256405959098299E-4</v>
      </c>
    </row>
    <row r="864" spans="1:36">
      <c r="A864" s="11" t="s">
        <v>256</v>
      </c>
      <c r="B864" s="11">
        <v>7206</v>
      </c>
      <c r="C864" s="11" t="s">
        <v>2944</v>
      </c>
      <c r="D864" s="11" t="s">
        <v>2945</v>
      </c>
      <c r="E864" s="4" t="s">
        <v>34</v>
      </c>
      <c r="F864" s="11" t="s">
        <v>2946</v>
      </c>
      <c r="G864" s="11" t="s">
        <v>2947</v>
      </c>
      <c r="H864" s="11" t="s">
        <v>511</v>
      </c>
      <c r="I864" s="11" t="s">
        <v>364</v>
      </c>
      <c r="J864" s="11" t="s">
        <v>154</v>
      </c>
      <c r="K864" s="11" t="s">
        <v>155</v>
      </c>
      <c r="L864" s="11" t="s">
        <v>517</v>
      </c>
      <c r="M864" s="11" t="s">
        <v>342</v>
      </c>
      <c r="N864" s="11" t="s">
        <v>675</v>
      </c>
      <c r="O864" s="11" t="s">
        <v>312</v>
      </c>
      <c r="P864" s="11" t="s">
        <v>2769</v>
      </c>
      <c r="Q864" s="11" t="s">
        <v>158</v>
      </c>
      <c r="R864" s="11" t="s">
        <v>596</v>
      </c>
      <c r="S864" s="11" t="s">
        <v>159</v>
      </c>
      <c r="T864" s="158">
        <v>5.34</v>
      </c>
      <c r="U864" s="11" t="s">
        <v>2948</v>
      </c>
      <c r="V864" s="174">
        <v>4.4999999999999998E-2</v>
      </c>
      <c r="W864" s="189">
        <v>5.9499999999999997E-2</v>
      </c>
      <c r="X864" s="4" t="s">
        <v>602</v>
      </c>
      <c r="Y864" s="4" t="s">
        <v>312</v>
      </c>
      <c r="Z864" s="158">
        <v>2000</v>
      </c>
      <c r="AA864" s="158">
        <v>3.7589999999999999</v>
      </c>
      <c r="AB864" s="158">
        <v>95.087000000000003</v>
      </c>
      <c r="AD864" s="158">
        <v>7.149</v>
      </c>
      <c r="AG864" s="11" t="s">
        <v>37</v>
      </c>
      <c r="AH864" s="189">
        <v>0</v>
      </c>
      <c r="AI864" s="189">
        <v>4.90324260517779E-4</v>
      </c>
      <c r="AJ864" s="189">
        <v>1.06746209328224E-4</v>
      </c>
    </row>
    <row r="865" spans="1:36">
      <c r="A865" s="11" t="s">
        <v>256</v>
      </c>
      <c r="B865" s="11">
        <v>7206</v>
      </c>
      <c r="C865" s="11" t="s">
        <v>2949</v>
      </c>
      <c r="D865" s="11" t="s">
        <v>2950</v>
      </c>
      <c r="E865" s="4" t="s">
        <v>505</v>
      </c>
      <c r="F865" s="11" t="s">
        <v>2951</v>
      </c>
      <c r="G865" s="11" t="s">
        <v>2952</v>
      </c>
      <c r="H865" s="11" t="s">
        <v>511</v>
      </c>
      <c r="I865" s="11" t="s">
        <v>364</v>
      </c>
      <c r="J865" s="11" t="s">
        <v>154</v>
      </c>
      <c r="K865" s="11" t="s">
        <v>155</v>
      </c>
      <c r="L865" s="11" t="s">
        <v>517</v>
      </c>
      <c r="M865" s="11" t="s">
        <v>156</v>
      </c>
      <c r="N865" s="11" t="s">
        <v>704</v>
      </c>
      <c r="O865" s="11" t="s">
        <v>312</v>
      </c>
      <c r="P865" s="11" t="s">
        <v>2769</v>
      </c>
      <c r="Q865" s="11" t="s">
        <v>158</v>
      </c>
      <c r="R865" s="11" t="s">
        <v>596</v>
      </c>
      <c r="S865" s="11" t="s">
        <v>159</v>
      </c>
      <c r="T865" s="158">
        <v>6.46</v>
      </c>
      <c r="U865" s="11" t="s">
        <v>2953</v>
      </c>
      <c r="V865" s="174">
        <v>3.15E-2</v>
      </c>
      <c r="W865" s="189">
        <v>5.8680000000000003E-2</v>
      </c>
      <c r="X865" s="4" t="s">
        <v>602</v>
      </c>
      <c r="Y865" s="4" t="s">
        <v>312</v>
      </c>
      <c r="Z865" s="158">
        <v>5000</v>
      </c>
      <c r="AA865" s="158">
        <v>3.7589999999999999</v>
      </c>
      <c r="AB865" s="158">
        <v>86.38</v>
      </c>
      <c r="AD865" s="158">
        <v>16.234999999999999</v>
      </c>
      <c r="AG865" s="11" t="s">
        <v>37</v>
      </c>
      <c r="AH865" s="189">
        <v>0</v>
      </c>
      <c r="AI865" s="189">
        <v>1.11356145010518E-3</v>
      </c>
      <c r="AJ865" s="189">
        <v>2.4242827292951901E-4</v>
      </c>
    </row>
    <row r="866" spans="1:36">
      <c r="A866" s="11" t="s">
        <v>256</v>
      </c>
      <c r="B866" s="11">
        <v>7206</v>
      </c>
      <c r="C866" s="11" t="s">
        <v>2954</v>
      </c>
      <c r="D866" s="11" t="s">
        <v>2955</v>
      </c>
      <c r="E866" s="4" t="s">
        <v>505</v>
      </c>
      <c r="F866" s="11" t="s">
        <v>2956</v>
      </c>
      <c r="G866" s="11" t="s">
        <v>2957</v>
      </c>
      <c r="H866" s="11" t="s">
        <v>511</v>
      </c>
      <c r="I866" s="11" t="s">
        <v>364</v>
      </c>
      <c r="J866" s="11" t="s">
        <v>154</v>
      </c>
      <c r="K866" s="11" t="s">
        <v>155</v>
      </c>
      <c r="L866" s="11" t="s">
        <v>517</v>
      </c>
      <c r="M866" s="11" t="s">
        <v>156</v>
      </c>
      <c r="N866" s="11" t="s">
        <v>704</v>
      </c>
      <c r="O866" s="11" t="s">
        <v>312</v>
      </c>
      <c r="P866" s="11" t="s">
        <v>2221</v>
      </c>
      <c r="Q866" s="11" t="s">
        <v>158</v>
      </c>
      <c r="R866" s="11" t="s">
        <v>596</v>
      </c>
      <c r="S866" s="11" t="s">
        <v>159</v>
      </c>
      <c r="T866" s="158">
        <v>5.18</v>
      </c>
      <c r="U866" s="11" t="s">
        <v>2958</v>
      </c>
      <c r="V866" s="174">
        <v>2.7E-2</v>
      </c>
      <c r="W866" s="189">
        <v>5.2929999999999998E-2</v>
      </c>
      <c r="X866" s="4" t="s">
        <v>602</v>
      </c>
      <c r="Y866" s="4" t="s">
        <v>312</v>
      </c>
      <c r="Z866" s="158">
        <v>5000</v>
      </c>
      <c r="AA866" s="158">
        <v>3.7589999999999999</v>
      </c>
      <c r="AB866" s="158">
        <v>88.885999999999996</v>
      </c>
      <c r="AD866" s="158">
        <v>16.706</v>
      </c>
      <c r="AG866" s="11" t="s">
        <v>37</v>
      </c>
      <c r="AH866" s="189">
        <v>5.0000000000000004E-6</v>
      </c>
      <c r="AI866" s="189">
        <v>1.1458687741855501E-3</v>
      </c>
      <c r="AJ866" s="189">
        <v>2.4946174986879301E-4</v>
      </c>
    </row>
    <row r="867" spans="1:36">
      <c r="A867" s="11" t="s">
        <v>256</v>
      </c>
      <c r="B867" s="11">
        <v>7206</v>
      </c>
      <c r="C867" s="11" t="s">
        <v>2789</v>
      </c>
      <c r="D867" s="11" t="s">
        <v>2790</v>
      </c>
      <c r="E867" s="4" t="s">
        <v>505</v>
      </c>
      <c r="F867" s="11" t="s">
        <v>2791</v>
      </c>
      <c r="G867" s="11" t="s">
        <v>2792</v>
      </c>
      <c r="H867" s="11" t="s">
        <v>511</v>
      </c>
      <c r="I867" s="11" t="s">
        <v>364</v>
      </c>
      <c r="J867" s="11" t="s">
        <v>154</v>
      </c>
      <c r="K867" s="11" t="s">
        <v>474</v>
      </c>
      <c r="L867" s="11" t="s">
        <v>517</v>
      </c>
      <c r="M867" s="11" t="s">
        <v>342</v>
      </c>
      <c r="N867" s="11" t="s">
        <v>746</v>
      </c>
      <c r="O867" s="11" t="s">
        <v>312</v>
      </c>
      <c r="P867" s="11" t="s">
        <v>2354</v>
      </c>
      <c r="Q867" s="11" t="s">
        <v>621</v>
      </c>
      <c r="R867" s="11" t="s">
        <v>596</v>
      </c>
      <c r="S867" s="11" t="s">
        <v>159</v>
      </c>
      <c r="T867" s="158">
        <v>3.45</v>
      </c>
      <c r="U867" s="11" t="s">
        <v>2793</v>
      </c>
      <c r="V867" s="174">
        <v>5.7000000000000002E-2</v>
      </c>
      <c r="W867" s="189">
        <v>5.4559999999999997E-2</v>
      </c>
      <c r="X867" s="4" t="s">
        <v>602</v>
      </c>
      <c r="Y867" s="4" t="s">
        <v>312</v>
      </c>
      <c r="Z867" s="158">
        <v>10000</v>
      </c>
      <c r="AA867" s="158">
        <v>3.7589999999999999</v>
      </c>
      <c r="AB867" s="158">
        <v>101.672</v>
      </c>
      <c r="AD867" s="158">
        <v>38.218000000000004</v>
      </c>
      <c r="AG867" s="11" t="s">
        <v>37</v>
      </c>
      <c r="AH867" s="189">
        <v>1.0000000000000001E-5</v>
      </c>
      <c r="AI867" s="189">
        <v>2.6213975796487501E-3</v>
      </c>
      <c r="AJ867" s="189">
        <v>5.7069224858299504E-4</v>
      </c>
    </row>
    <row r="868" spans="1:36">
      <c r="A868" s="11" t="s">
        <v>256</v>
      </c>
      <c r="B868" s="11">
        <v>7206</v>
      </c>
      <c r="C868" s="11" t="s">
        <v>2789</v>
      </c>
      <c r="D868" s="11" t="s">
        <v>2790</v>
      </c>
      <c r="E868" s="4" t="s">
        <v>505</v>
      </c>
      <c r="F868" s="11" t="s">
        <v>2794</v>
      </c>
      <c r="G868" s="11" t="s">
        <v>2795</v>
      </c>
      <c r="H868" s="11" t="s">
        <v>511</v>
      </c>
      <c r="I868" s="11" t="s">
        <v>364</v>
      </c>
      <c r="J868" s="11" t="s">
        <v>154</v>
      </c>
      <c r="K868" s="11" t="s">
        <v>155</v>
      </c>
      <c r="L868" s="11" t="s">
        <v>517</v>
      </c>
      <c r="M868" s="11" t="s">
        <v>342</v>
      </c>
      <c r="N868" s="11" t="s">
        <v>746</v>
      </c>
      <c r="O868" s="11" t="s">
        <v>312</v>
      </c>
      <c r="P868" s="11" t="s">
        <v>2354</v>
      </c>
      <c r="Q868" s="11" t="s">
        <v>621</v>
      </c>
      <c r="R868" s="11" t="s">
        <v>596</v>
      </c>
      <c r="S868" s="11" t="s">
        <v>159</v>
      </c>
      <c r="T868" s="158">
        <v>3.45</v>
      </c>
      <c r="U868" s="11" t="s">
        <v>2793</v>
      </c>
      <c r="V868" s="174">
        <v>5.7000000000000002E-2</v>
      </c>
      <c r="W868" s="189">
        <v>5.4649999999999997E-2</v>
      </c>
      <c r="X868" s="4" t="s">
        <v>602</v>
      </c>
      <c r="Y868" s="4" t="s">
        <v>312</v>
      </c>
      <c r="Z868" s="158">
        <v>10000</v>
      </c>
      <c r="AA868" s="158">
        <v>3.7589999999999999</v>
      </c>
      <c r="AB868" s="158">
        <v>101.532</v>
      </c>
      <c r="AD868" s="158">
        <v>38.165999999999997</v>
      </c>
      <c r="AG868" s="11" t="s">
        <v>37</v>
      </c>
      <c r="AH868" s="189">
        <v>1.0000000000000001E-5</v>
      </c>
      <c r="AI868" s="189">
        <v>2.6177879696877402E-3</v>
      </c>
      <c r="AJ868" s="189">
        <v>5.6990641722298003E-4</v>
      </c>
    </row>
    <row r="869" spans="1:36">
      <c r="A869" s="11" t="s">
        <v>256</v>
      </c>
      <c r="B869" s="11">
        <v>7206</v>
      </c>
      <c r="C869" s="11" t="s">
        <v>2962</v>
      </c>
      <c r="D869" s="11" t="s">
        <v>2963</v>
      </c>
      <c r="E869" s="4" t="s">
        <v>505</v>
      </c>
      <c r="F869" s="11" t="s">
        <v>2964</v>
      </c>
      <c r="G869" s="11" t="s">
        <v>2965</v>
      </c>
      <c r="H869" s="11" t="s">
        <v>511</v>
      </c>
      <c r="I869" s="11" t="s">
        <v>364</v>
      </c>
      <c r="J869" s="11" t="s">
        <v>154</v>
      </c>
      <c r="K869" s="11" t="s">
        <v>155</v>
      </c>
      <c r="L869" s="11" t="s">
        <v>517</v>
      </c>
      <c r="M869" s="11" t="s">
        <v>156</v>
      </c>
      <c r="N869" s="11" t="s">
        <v>698</v>
      </c>
      <c r="O869" s="11" t="s">
        <v>312</v>
      </c>
      <c r="P869" s="11" t="s">
        <v>2743</v>
      </c>
      <c r="Q869" s="11" t="s">
        <v>158</v>
      </c>
      <c r="R869" s="11" t="s">
        <v>596</v>
      </c>
      <c r="S869" s="11" t="s">
        <v>159</v>
      </c>
      <c r="T869" s="158">
        <v>5.16</v>
      </c>
      <c r="U869" s="11" t="s">
        <v>2966</v>
      </c>
      <c r="V869" s="174">
        <v>4.2500000000000003E-2</v>
      </c>
      <c r="W869" s="189">
        <v>5.1999999999999998E-2</v>
      </c>
      <c r="X869" s="4" t="s">
        <v>602</v>
      </c>
      <c r="Y869" s="4" t="s">
        <v>312</v>
      </c>
      <c r="Z869" s="158">
        <v>5000</v>
      </c>
      <c r="AA869" s="158">
        <v>3.7589999999999999</v>
      </c>
      <c r="AB869" s="158">
        <v>96.417000000000002</v>
      </c>
      <c r="AD869" s="158">
        <v>18.122</v>
      </c>
      <c r="AG869" s="11" t="s">
        <v>37</v>
      </c>
      <c r="AH869" s="189">
        <v>6.9999999999999999E-6</v>
      </c>
      <c r="AI869" s="189">
        <v>1.24295828389472E-3</v>
      </c>
      <c r="AJ869" s="189">
        <v>2.7059865448788E-4</v>
      </c>
    </row>
    <row r="870" spans="1:36">
      <c r="A870" s="11" t="s">
        <v>256</v>
      </c>
      <c r="B870" s="11">
        <v>7206</v>
      </c>
      <c r="C870" s="11" t="s">
        <v>2967</v>
      </c>
      <c r="D870" s="11" t="s">
        <v>2968</v>
      </c>
      <c r="E870" s="4" t="s">
        <v>505</v>
      </c>
      <c r="F870" s="11" t="s">
        <v>2969</v>
      </c>
      <c r="G870" s="11" t="s">
        <v>2970</v>
      </c>
      <c r="H870" s="11" t="s">
        <v>511</v>
      </c>
      <c r="I870" s="11" t="s">
        <v>364</v>
      </c>
      <c r="J870" s="11" t="s">
        <v>154</v>
      </c>
      <c r="K870" s="11" t="s">
        <v>155</v>
      </c>
      <c r="L870" s="11" t="s">
        <v>517</v>
      </c>
      <c r="M870" s="11" t="s">
        <v>156</v>
      </c>
      <c r="N870" s="11" t="s">
        <v>2971</v>
      </c>
      <c r="O870" s="11" t="s">
        <v>312</v>
      </c>
      <c r="P870" s="11" t="s">
        <v>2769</v>
      </c>
      <c r="Q870" s="11" t="s">
        <v>158</v>
      </c>
      <c r="R870" s="11" t="s">
        <v>596</v>
      </c>
      <c r="S870" s="11" t="s">
        <v>159</v>
      </c>
      <c r="T870" s="158">
        <v>3.94</v>
      </c>
      <c r="U870" s="11" t="s">
        <v>2972</v>
      </c>
      <c r="V870" s="174">
        <v>3.125E-2</v>
      </c>
      <c r="W870" s="189">
        <v>6.7650000000000002E-2</v>
      </c>
      <c r="X870" s="4" t="s">
        <v>602</v>
      </c>
      <c r="Y870" s="4" t="s">
        <v>312</v>
      </c>
      <c r="Z870" s="158">
        <v>5000</v>
      </c>
      <c r="AA870" s="158">
        <v>3.7589999999999999</v>
      </c>
      <c r="AB870" s="158">
        <v>87.599000000000004</v>
      </c>
      <c r="AD870" s="158">
        <v>16.463999999999999</v>
      </c>
      <c r="AG870" s="11" t="s">
        <v>37</v>
      </c>
      <c r="AH870" s="189">
        <v>6.9999999999999999E-6</v>
      </c>
      <c r="AI870" s="189">
        <v>1.1292732056458899E-3</v>
      </c>
      <c r="AJ870" s="189">
        <v>2.4584880599490602E-4</v>
      </c>
    </row>
    <row r="871" spans="1:36">
      <c r="A871" s="11" t="s">
        <v>256</v>
      </c>
      <c r="B871" s="11">
        <v>7206</v>
      </c>
      <c r="C871" s="11" t="s">
        <v>2115</v>
      </c>
      <c r="D871" s="11" t="s">
        <v>2116</v>
      </c>
      <c r="E871" s="4" t="s">
        <v>505</v>
      </c>
      <c r="F871" s="11" t="s">
        <v>2796</v>
      </c>
      <c r="G871" s="11" t="s">
        <v>2797</v>
      </c>
      <c r="H871" s="11" t="s">
        <v>511</v>
      </c>
      <c r="I871" s="11" t="s">
        <v>364</v>
      </c>
      <c r="J871" s="11" t="s">
        <v>154</v>
      </c>
      <c r="K871" s="11" t="s">
        <v>446</v>
      </c>
      <c r="L871" s="11" t="s">
        <v>517</v>
      </c>
      <c r="M871" s="11" t="s">
        <v>553</v>
      </c>
      <c r="N871" s="11" t="s">
        <v>757</v>
      </c>
      <c r="O871" s="11" t="s">
        <v>312</v>
      </c>
      <c r="P871" s="11" t="s">
        <v>2221</v>
      </c>
      <c r="Q871" s="11" t="s">
        <v>158</v>
      </c>
      <c r="R871" s="11" t="s">
        <v>596</v>
      </c>
      <c r="S871" s="11" t="s">
        <v>169</v>
      </c>
      <c r="T871" s="158">
        <v>3.43</v>
      </c>
      <c r="U871" s="11" t="s">
        <v>2798</v>
      </c>
      <c r="V871" s="174">
        <v>1.25E-3</v>
      </c>
      <c r="W871" s="189">
        <v>4.9979999999999997E-2</v>
      </c>
      <c r="X871" s="4" t="s">
        <v>602</v>
      </c>
      <c r="Y871" s="4" t="s">
        <v>312</v>
      </c>
      <c r="Z871" s="158">
        <v>15000</v>
      </c>
      <c r="AA871" s="158">
        <v>4.0199999999999996</v>
      </c>
      <c r="AB871" s="158">
        <v>85.742999999999995</v>
      </c>
      <c r="AD871" s="158">
        <v>51.706000000000003</v>
      </c>
      <c r="AG871" s="11" t="s">
        <v>37</v>
      </c>
      <c r="AH871" s="189">
        <v>1.5E-5</v>
      </c>
      <c r="AI871" s="189">
        <v>3.5464965423905098E-3</v>
      </c>
      <c r="AJ871" s="189">
        <v>7.7209123182293404E-4</v>
      </c>
    </row>
    <row r="872" spans="1:36">
      <c r="A872" s="11" t="s">
        <v>256</v>
      </c>
      <c r="B872" s="11">
        <v>7206</v>
      </c>
      <c r="C872" s="11" t="s">
        <v>2973</v>
      </c>
      <c r="D872" s="11" t="s">
        <v>2974</v>
      </c>
      <c r="E872" s="4" t="s">
        <v>505</v>
      </c>
      <c r="F872" s="11" t="s">
        <v>2975</v>
      </c>
      <c r="G872" s="11" t="s">
        <v>2976</v>
      </c>
      <c r="H872" s="11" t="s">
        <v>511</v>
      </c>
      <c r="I872" s="11" t="s">
        <v>364</v>
      </c>
      <c r="J872" s="11" t="s">
        <v>154</v>
      </c>
      <c r="K872" s="11" t="s">
        <v>426</v>
      </c>
      <c r="L872" s="11" t="s">
        <v>517</v>
      </c>
      <c r="M872" s="11" t="s">
        <v>342</v>
      </c>
      <c r="N872" s="11" t="s">
        <v>675</v>
      </c>
      <c r="O872" s="11" t="s">
        <v>312</v>
      </c>
      <c r="P872" s="11" t="s">
        <v>2977</v>
      </c>
      <c r="Q872" s="11" t="s">
        <v>158</v>
      </c>
      <c r="R872" s="11" t="s">
        <v>596</v>
      </c>
      <c r="S872" s="11" t="s">
        <v>159</v>
      </c>
      <c r="T872" s="158">
        <v>1.02</v>
      </c>
      <c r="U872" s="11" t="s">
        <v>2235</v>
      </c>
      <c r="V872" s="174">
        <v>0.09</v>
      </c>
      <c r="W872" s="189">
        <v>8.2320000000000004E-2</v>
      </c>
      <c r="X872" s="4" t="s">
        <v>602</v>
      </c>
      <c r="Y872" s="4" t="s">
        <v>312</v>
      </c>
      <c r="Z872" s="158">
        <v>5000</v>
      </c>
      <c r="AA872" s="158">
        <v>3.7589999999999999</v>
      </c>
      <c r="AB872" s="158">
        <v>105.29900000000001</v>
      </c>
      <c r="AD872" s="158">
        <v>19.791</v>
      </c>
      <c r="AG872" s="11" t="s">
        <v>37</v>
      </c>
      <c r="AH872" s="189">
        <v>0</v>
      </c>
      <c r="AI872" s="189">
        <v>1.3574582831581E-3</v>
      </c>
      <c r="AJ872" s="189">
        <v>2.9552591563653999E-4</v>
      </c>
    </row>
    <row r="873" spans="1:36">
      <c r="A873" s="11" t="s">
        <v>256</v>
      </c>
      <c r="B873" s="11">
        <v>7206</v>
      </c>
      <c r="C873" s="11" t="s">
        <v>1742</v>
      </c>
      <c r="D873" s="11" t="s">
        <v>1743</v>
      </c>
      <c r="E873" s="4" t="s">
        <v>1552</v>
      </c>
      <c r="F873" s="11" t="s">
        <v>2799</v>
      </c>
      <c r="G873" s="11" t="s">
        <v>2800</v>
      </c>
      <c r="H873" s="11" t="s">
        <v>511</v>
      </c>
      <c r="I873" s="11" t="s">
        <v>364</v>
      </c>
      <c r="J873" s="11" t="s">
        <v>31</v>
      </c>
      <c r="K873" s="11" t="s">
        <v>31</v>
      </c>
      <c r="L873" s="11" t="s">
        <v>517</v>
      </c>
      <c r="M873" s="11" t="s">
        <v>342</v>
      </c>
      <c r="N873" s="11" t="s">
        <v>725</v>
      </c>
      <c r="O873" s="11" t="s">
        <v>312</v>
      </c>
      <c r="P873" s="11" t="s">
        <v>2801</v>
      </c>
      <c r="Q873" s="11" t="s">
        <v>158</v>
      </c>
      <c r="R873" s="11" t="s">
        <v>596</v>
      </c>
      <c r="S873" s="11" t="s">
        <v>159</v>
      </c>
      <c r="T873" s="158">
        <v>3.2</v>
      </c>
      <c r="U873" s="11" t="s">
        <v>2802</v>
      </c>
      <c r="V873" s="174">
        <v>5.3749999999999999E-2</v>
      </c>
      <c r="W873" s="189">
        <v>6.182E-2</v>
      </c>
      <c r="X873" s="4" t="s">
        <v>602</v>
      </c>
      <c r="Y873" s="4" t="s">
        <v>312</v>
      </c>
      <c r="Z873" s="158">
        <v>20000</v>
      </c>
      <c r="AA873" s="158">
        <v>3.7589999999999999</v>
      </c>
      <c r="AB873" s="158">
        <v>99.41</v>
      </c>
      <c r="AD873" s="158">
        <v>74.736999999999995</v>
      </c>
      <c r="AG873" s="11" t="s">
        <v>37</v>
      </c>
      <c r="AH873" s="189">
        <v>2.5000000000000001E-5</v>
      </c>
      <c r="AI873" s="189">
        <v>5.1261775565675698E-3</v>
      </c>
      <c r="AJ873" s="189">
        <v>1.1159962224369E-3</v>
      </c>
    </row>
    <row r="874" spans="1:36">
      <c r="A874" s="11" t="s">
        <v>256</v>
      </c>
      <c r="B874" s="11">
        <v>7206</v>
      </c>
      <c r="C874" s="11" t="s">
        <v>2803</v>
      </c>
      <c r="D874" s="11" t="s">
        <v>2804</v>
      </c>
      <c r="E874" s="4" t="s">
        <v>505</v>
      </c>
      <c r="F874" s="11" t="s">
        <v>2805</v>
      </c>
      <c r="G874" s="11" t="s">
        <v>2806</v>
      </c>
      <c r="H874" s="11" t="s">
        <v>511</v>
      </c>
      <c r="I874" s="11" t="s">
        <v>364</v>
      </c>
      <c r="J874" s="11" t="s">
        <v>154</v>
      </c>
      <c r="K874" s="11" t="s">
        <v>155</v>
      </c>
      <c r="L874" s="11" t="s">
        <v>517</v>
      </c>
      <c r="M874" s="11" t="s">
        <v>342</v>
      </c>
      <c r="N874" s="11" t="s">
        <v>737</v>
      </c>
      <c r="O874" s="11" t="s">
        <v>312</v>
      </c>
      <c r="P874" s="11" t="s">
        <v>2206</v>
      </c>
      <c r="Q874" s="11" t="s">
        <v>158</v>
      </c>
      <c r="R874" s="11" t="s">
        <v>596</v>
      </c>
      <c r="S874" s="11" t="s">
        <v>159</v>
      </c>
      <c r="T874" s="158">
        <v>1.58</v>
      </c>
      <c r="U874" s="11" t="s">
        <v>2807</v>
      </c>
      <c r="V874" s="174">
        <v>4.8750000000000002E-2</v>
      </c>
      <c r="W874" s="189">
        <v>5.2900000000000003E-2</v>
      </c>
      <c r="X874" s="4" t="s">
        <v>602</v>
      </c>
      <c r="Y874" s="4" t="s">
        <v>312</v>
      </c>
      <c r="Z874" s="158">
        <v>5000</v>
      </c>
      <c r="AA874" s="158">
        <v>3.7589999999999999</v>
      </c>
      <c r="AB874" s="158">
        <v>101.283</v>
      </c>
      <c r="AD874" s="158">
        <v>19.036000000000001</v>
      </c>
      <c r="AG874" s="11" t="s">
        <v>37</v>
      </c>
      <c r="AH874" s="189">
        <v>0</v>
      </c>
      <c r="AI874" s="189">
        <v>1.3056840231628699E-3</v>
      </c>
      <c r="AJ874" s="189">
        <v>2.8425438281573197E-4</v>
      </c>
    </row>
    <row r="875" spans="1:36">
      <c r="A875" s="11" t="s">
        <v>256</v>
      </c>
      <c r="B875" s="11">
        <v>7206</v>
      </c>
      <c r="C875" s="11" t="s">
        <v>2808</v>
      </c>
      <c r="D875" s="11" t="s">
        <v>2809</v>
      </c>
      <c r="E875" s="4" t="s">
        <v>505</v>
      </c>
      <c r="F875" s="11" t="s">
        <v>2810</v>
      </c>
      <c r="G875" s="11" t="s">
        <v>2811</v>
      </c>
      <c r="H875" s="11" t="s">
        <v>511</v>
      </c>
      <c r="I875" s="11" t="s">
        <v>364</v>
      </c>
      <c r="J875" s="11" t="s">
        <v>154</v>
      </c>
      <c r="K875" s="11" t="s">
        <v>155</v>
      </c>
      <c r="L875" s="11" t="s">
        <v>517</v>
      </c>
      <c r="M875" s="11" t="s">
        <v>342</v>
      </c>
      <c r="N875" s="11" t="s">
        <v>719</v>
      </c>
      <c r="O875" s="11" t="s">
        <v>312</v>
      </c>
      <c r="P875" s="11" t="s">
        <v>2769</v>
      </c>
      <c r="Q875" s="11" t="s">
        <v>158</v>
      </c>
      <c r="R875" s="11" t="s">
        <v>596</v>
      </c>
      <c r="S875" s="11" t="s">
        <v>159</v>
      </c>
      <c r="T875" s="158">
        <v>3.42</v>
      </c>
      <c r="U875" s="11" t="s">
        <v>2175</v>
      </c>
      <c r="V875" s="174">
        <v>5.7000000000000002E-2</v>
      </c>
      <c r="W875" s="189">
        <v>5.6270000000000001E-2</v>
      </c>
      <c r="X875" s="4" t="s">
        <v>602</v>
      </c>
      <c r="Y875" s="4" t="s">
        <v>312</v>
      </c>
      <c r="Z875" s="158">
        <v>5000</v>
      </c>
      <c r="AA875" s="158">
        <v>3.7589999999999999</v>
      </c>
      <c r="AB875" s="158">
        <v>101.53100000000001</v>
      </c>
      <c r="AD875" s="158">
        <v>19.082999999999998</v>
      </c>
      <c r="AG875" s="11" t="s">
        <v>37</v>
      </c>
      <c r="AH875" s="189">
        <v>0</v>
      </c>
      <c r="AI875" s="189">
        <v>1.30888969198631E-3</v>
      </c>
      <c r="AJ875" s="189">
        <v>2.8495227403347998E-4</v>
      </c>
    </row>
    <row r="876" spans="1:36">
      <c r="A876" s="11" t="s">
        <v>256</v>
      </c>
      <c r="B876" s="11">
        <v>7206</v>
      </c>
      <c r="C876" s="11" t="s">
        <v>2983</v>
      </c>
      <c r="D876" s="11" t="s">
        <v>2984</v>
      </c>
      <c r="E876" s="4" t="s">
        <v>505</v>
      </c>
      <c r="F876" s="11" t="s">
        <v>2985</v>
      </c>
      <c r="G876" s="11" t="s">
        <v>2986</v>
      </c>
      <c r="H876" s="11" t="s">
        <v>511</v>
      </c>
      <c r="I876" s="11" t="s">
        <v>364</v>
      </c>
      <c r="J876" s="11" t="s">
        <v>154</v>
      </c>
      <c r="K876" s="11" t="s">
        <v>155</v>
      </c>
      <c r="L876" s="11" t="s">
        <v>517</v>
      </c>
      <c r="M876" s="11" t="s">
        <v>342</v>
      </c>
      <c r="N876" s="11" t="s">
        <v>714</v>
      </c>
      <c r="O876" s="11" t="s">
        <v>312</v>
      </c>
      <c r="P876" s="11" t="s">
        <v>2743</v>
      </c>
      <c r="Q876" s="11" t="s">
        <v>158</v>
      </c>
      <c r="R876" s="11" t="s">
        <v>596</v>
      </c>
      <c r="S876" s="11" t="s">
        <v>159</v>
      </c>
      <c r="T876" s="158">
        <v>5.0999999999999996</v>
      </c>
      <c r="U876" s="11" t="s">
        <v>2987</v>
      </c>
      <c r="V876" s="174">
        <v>3.7499999999999999E-2</v>
      </c>
      <c r="W876" s="189">
        <v>5.2540000000000003E-2</v>
      </c>
      <c r="X876" s="4" t="s">
        <v>602</v>
      </c>
      <c r="Y876" s="4" t="s">
        <v>312</v>
      </c>
      <c r="Z876" s="158">
        <v>5000</v>
      </c>
      <c r="AA876" s="158">
        <v>3.7589999999999999</v>
      </c>
      <c r="AB876" s="158">
        <v>94.272999999999996</v>
      </c>
      <c r="AD876" s="158">
        <v>17.719000000000001</v>
      </c>
      <c r="AG876" s="11" t="s">
        <v>37</v>
      </c>
      <c r="AH876" s="189">
        <v>5.0000000000000004E-6</v>
      </c>
      <c r="AI876" s="189">
        <v>1.2153180823622201E-3</v>
      </c>
      <c r="AJ876" s="189">
        <v>2.6458123504478198E-4</v>
      </c>
    </row>
    <row r="877" spans="1:36">
      <c r="A877" s="11" t="s">
        <v>256</v>
      </c>
      <c r="B877" s="11">
        <v>7206</v>
      </c>
      <c r="C877" s="11" t="s">
        <v>2988</v>
      </c>
      <c r="D877" s="11" t="s">
        <v>2989</v>
      </c>
      <c r="E877" s="4" t="s">
        <v>505</v>
      </c>
      <c r="F877" s="11" t="s">
        <v>2990</v>
      </c>
      <c r="G877" s="11" t="s">
        <v>2991</v>
      </c>
      <c r="H877" s="11" t="s">
        <v>511</v>
      </c>
      <c r="I877" s="11" t="s">
        <v>364</v>
      </c>
      <c r="J877" s="11" t="s">
        <v>154</v>
      </c>
      <c r="K877" s="11" t="s">
        <v>155</v>
      </c>
      <c r="L877" s="11" t="s">
        <v>517</v>
      </c>
      <c r="M877" s="11" t="s">
        <v>156</v>
      </c>
      <c r="N877" s="11" t="s">
        <v>706</v>
      </c>
      <c r="O877" s="11" t="s">
        <v>312</v>
      </c>
      <c r="P877" s="11" t="s">
        <v>2221</v>
      </c>
      <c r="Q877" s="11" t="s">
        <v>158</v>
      </c>
      <c r="R877" s="11" t="s">
        <v>596</v>
      </c>
      <c r="S877" s="11" t="s">
        <v>159</v>
      </c>
      <c r="T877" s="158">
        <v>5.26</v>
      </c>
      <c r="U877" s="11" t="s">
        <v>2992</v>
      </c>
      <c r="V877" s="174">
        <v>3.5999999999999997E-2</v>
      </c>
      <c r="W877" s="189">
        <v>5.2380000000000003E-2</v>
      </c>
      <c r="X877" s="4" t="s">
        <v>602</v>
      </c>
      <c r="Y877" s="4" t="s">
        <v>312</v>
      </c>
      <c r="Z877" s="158">
        <v>5000</v>
      </c>
      <c r="AA877" s="158">
        <v>3.7589999999999999</v>
      </c>
      <c r="AB877" s="158">
        <v>92.516000000000005</v>
      </c>
      <c r="AC877" s="158">
        <v>0.09</v>
      </c>
      <c r="AD877" s="158">
        <v>17.727</v>
      </c>
      <c r="AG877" s="11" t="s">
        <v>37</v>
      </c>
      <c r="AH877" s="189">
        <v>1.4E-5</v>
      </c>
      <c r="AI877" s="189">
        <v>1.2158713324375301E-3</v>
      </c>
      <c r="AJ877" s="189">
        <v>2.6470168053994802E-4</v>
      </c>
    </row>
    <row r="878" spans="1:36">
      <c r="A878" s="11" t="s">
        <v>256</v>
      </c>
      <c r="B878" s="11">
        <v>7206</v>
      </c>
      <c r="C878" s="11" t="s">
        <v>2993</v>
      </c>
      <c r="D878" s="11" t="s">
        <v>2994</v>
      </c>
      <c r="E878" s="4" t="s">
        <v>505</v>
      </c>
      <c r="F878" s="11" t="s">
        <v>2995</v>
      </c>
      <c r="G878" s="11" t="s">
        <v>2996</v>
      </c>
      <c r="H878" s="11" t="s">
        <v>511</v>
      </c>
      <c r="I878" s="11" t="s">
        <v>364</v>
      </c>
      <c r="J878" s="11" t="s">
        <v>154</v>
      </c>
      <c r="K878" s="11" t="s">
        <v>155</v>
      </c>
      <c r="L878" s="11" t="s">
        <v>517</v>
      </c>
      <c r="M878" s="11" t="s">
        <v>156</v>
      </c>
      <c r="N878" s="11" t="s">
        <v>735</v>
      </c>
      <c r="O878" s="11" t="s">
        <v>312</v>
      </c>
      <c r="P878" s="11" t="s">
        <v>2354</v>
      </c>
      <c r="Q878" s="11" t="s">
        <v>621</v>
      </c>
      <c r="R878" s="11" t="s">
        <v>596</v>
      </c>
      <c r="S878" s="11" t="s">
        <v>159</v>
      </c>
      <c r="T878" s="158">
        <v>4.37</v>
      </c>
      <c r="U878" s="11" t="s">
        <v>2997</v>
      </c>
      <c r="V878" s="174">
        <v>4.5999999999999999E-2</v>
      </c>
      <c r="W878" s="189">
        <v>5.3769999999999998E-2</v>
      </c>
      <c r="X878" s="4" t="s">
        <v>602</v>
      </c>
      <c r="Y878" s="4" t="s">
        <v>312</v>
      </c>
      <c r="Z878" s="158">
        <v>5000</v>
      </c>
      <c r="AA878" s="158">
        <v>3.7589999999999999</v>
      </c>
      <c r="AB878" s="158">
        <v>97.816000000000003</v>
      </c>
      <c r="AD878" s="158">
        <v>18.384</v>
      </c>
      <c r="AG878" s="11" t="s">
        <v>37</v>
      </c>
      <c r="AH878" s="189">
        <v>6.0000000000000002E-6</v>
      </c>
      <c r="AI878" s="189">
        <v>1.26098573314006E-3</v>
      </c>
      <c r="AJ878" s="189">
        <v>2.7452332643612302E-4</v>
      </c>
    </row>
    <row r="879" spans="1:36">
      <c r="A879" s="11" t="s">
        <v>256</v>
      </c>
      <c r="B879" s="11">
        <v>7206</v>
      </c>
      <c r="C879" s="11" t="s">
        <v>2998</v>
      </c>
      <c r="D879" s="11" t="s">
        <v>2999</v>
      </c>
      <c r="E879" s="4" t="s">
        <v>505</v>
      </c>
      <c r="F879" s="11" t="s">
        <v>3000</v>
      </c>
      <c r="G879" s="11" t="s">
        <v>3001</v>
      </c>
      <c r="H879" s="11" t="s">
        <v>511</v>
      </c>
      <c r="I879" s="11" t="s">
        <v>364</v>
      </c>
      <c r="J879" s="11" t="s">
        <v>154</v>
      </c>
      <c r="K879" s="11" t="s">
        <v>155</v>
      </c>
      <c r="L879" s="11" t="s">
        <v>517</v>
      </c>
      <c r="M879" s="11" t="s">
        <v>156</v>
      </c>
      <c r="N879" s="11" t="s">
        <v>733</v>
      </c>
      <c r="O879" s="11" t="s">
        <v>312</v>
      </c>
      <c r="P879" s="11" t="s">
        <v>2743</v>
      </c>
      <c r="Q879" s="11" t="s">
        <v>158</v>
      </c>
      <c r="R879" s="11" t="s">
        <v>596</v>
      </c>
      <c r="S879" s="11" t="s">
        <v>159</v>
      </c>
      <c r="T879" s="158">
        <v>3.2</v>
      </c>
      <c r="U879" s="11" t="s">
        <v>2328</v>
      </c>
      <c r="V879" s="174">
        <v>3.2500000000000001E-2</v>
      </c>
      <c r="W879" s="189">
        <v>5.3019999999999998E-2</v>
      </c>
      <c r="X879" s="4" t="s">
        <v>602</v>
      </c>
      <c r="Y879" s="4" t="s">
        <v>312</v>
      </c>
      <c r="Z879" s="158">
        <v>5000</v>
      </c>
      <c r="AA879" s="158">
        <v>3.7589999999999999</v>
      </c>
      <c r="AB879" s="158">
        <v>94.647000000000006</v>
      </c>
      <c r="AD879" s="158">
        <v>17.789000000000001</v>
      </c>
      <c r="AG879" s="11" t="s">
        <v>37</v>
      </c>
      <c r="AH879" s="189">
        <v>1.9999999999999999E-6</v>
      </c>
      <c r="AI879" s="189">
        <v>1.2201429190824599E-3</v>
      </c>
      <c r="AJ879" s="189">
        <v>2.6563162775830801E-4</v>
      </c>
    </row>
    <row r="880" spans="1:36">
      <c r="A880" s="11" t="s">
        <v>256</v>
      </c>
      <c r="B880" s="11">
        <v>7206</v>
      </c>
      <c r="C880" s="11" t="s">
        <v>3002</v>
      </c>
      <c r="D880" s="11" t="s">
        <v>3003</v>
      </c>
      <c r="E880" s="4" t="s">
        <v>505</v>
      </c>
      <c r="F880" s="11" t="s">
        <v>3004</v>
      </c>
      <c r="G880" s="11" t="s">
        <v>3005</v>
      </c>
      <c r="H880" s="11" t="s">
        <v>511</v>
      </c>
      <c r="I880" s="11" t="s">
        <v>364</v>
      </c>
      <c r="J880" s="11" t="s">
        <v>154</v>
      </c>
      <c r="K880" s="11" t="s">
        <v>155</v>
      </c>
      <c r="L880" s="11" t="s">
        <v>517</v>
      </c>
      <c r="M880" s="11" t="s">
        <v>156</v>
      </c>
      <c r="N880" s="11" t="s">
        <v>723</v>
      </c>
      <c r="O880" s="11" t="s">
        <v>312</v>
      </c>
      <c r="P880" s="11" t="s">
        <v>2961</v>
      </c>
      <c r="Q880" s="11" t="s">
        <v>621</v>
      </c>
      <c r="R880" s="11" t="s">
        <v>596</v>
      </c>
      <c r="S880" s="11" t="s">
        <v>159</v>
      </c>
      <c r="T880" s="158">
        <v>1.67</v>
      </c>
      <c r="U880" s="11" t="s">
        <v>3006</v>
      </c>
      <c r="V880" s="174">
        <v>4.3749999999999997E-2</v>
      </c>
      <c r="W880" s="189">
        <v>6.3939999999999997E-2</v>
      </c>
      <c r="X880" s="4" t="s">
        <v>602</v>
      </c>
      <c r="Y880" s="4" t="s">
        <v>312</v>
      </c>
      <c r="Z880" s="158">
        <v>5000</v>
      </c>
      <c r="AA880" s="158">
        <v>3.7589999999999999</v>
      </c>
      <c r="AB880" s="158">
        <v>98.013999999999996</v>
      </c>
      <c r="AD880" s="158">
        <v>18.422000000000001</v>
      </c>
      <c r="AG880" s="11" t="s">
        <v>37</v>
      </c>
      <c r="AH880" s="189">
        <v>0</v>
      </c>
      <c r="AI880" s="189">
        <v>1.2635445082926299E-3</v>
      </c>
      <c r="AJ880" s="189">
        <v>2.7508038544799403E-4</v>
      </c>
    </row>
    <row r="881" spans="1:36">
      <c r="A881" s="11" t="s">
        <v>256</v>
      </c>
      <c r="B881" s="11">
        <v>7206</v>
      </c>
      <c r="C881" s="11" t="s">
        <v>1786</v>
      </c>
      <c r="D881" s="11" t="s">
        <v>1787</v>
      </c>
      <c r="E881" s="4" t="s">
        <v>1552</v>
      </c>
      <c r="F881" s="11" t="s">
        <v>3007</v>
      </c>
      <c r="G881" s="11" t="s">
        <v>3008</v>
      </c>
      <c r="H881" s="11" t="s">
        <v>511</v>
      </c>
      <c r="I881" s="11" t="s">
        <v>364</v>
      </c>
      <c r="J881" s="11" t="s">
        <v>31</v>
      </c>
      <c r="K881" s="11" t="s">
        <v>155</v>
      </c>
      <c r="L881" s="11" t="s">
        <v>517</v>
      </c>
      <c r="M881" s="11" t="s">
        <v>342</v>
      </c>
      <c r="N881" s="11" t="s">
        <v>723</v>
      </c>
      <c r="O881" s="11" t="s">
        <v>312</v>
      </c>
      <c r="P881" s="11" t="s">
        <v>2814</v>
      </c>
      <c r="Q881" s="11" t="s">
        <v>158</v>
      </c>
      <c r="R881" s="11" t="s">
        <v>596</v>
      </c>
      <c r="S881" s="11" t="s">
        <v>169</v>
      </c>
      <c r="T881" s="158">
        <v>2.73</v>
      </c>
      <c r="U881" s="11" t="s">
        <v>3009</v>
      </c>
      <c r="V881" s="174">
        <v>3.7499999999999999E-2</v>
      </c>
      <c r="W881" s="189">
        <v>4.6969999999999998E-2</v>
      </c>
      <c r="X881" s="4" t="s">
        <v>602</v>
      </c>
      <c r="Y881" s="4" t="s">
        <v>312</v>
      </c>
      <c r="Z881" s="158">
        <v>8000</v>
      </c>
      <c r="AA881" s="158">
        <v>4.0199999999999996</v>
      </c>
      <c r="AB881" s="158">
        <v>98.337999999999994</v>
      </c>
      <c r="AD881" s="158">
        <v>31.626999999999999</v>
      </c>
      <c r="AG881" s="11" t="s">
        <v>37</v>
      </c>
      <c r="AH881" s="189">
        <v>6.9999999999999999E-6</v>
      </c>
      <c r="AI881" s="189">
        <v>2.1693021002136001E-3</v>
      </c>
      <c r="AJ881" s="189">
        <v>4.7226864899776099E-4</v>
      </c>
    </row>
    <row r="882" spans="1:36">
      <c r="A882" s="11" t="s">
        <v>256</v>
      </c>
      <c r="B882" s="11">
        <v>7206</v>
      </c>
      <c r="C882" s="11" t="s">
        <v>1786</v>
      </c>
      <c r="D882" s="11" t="s">
        <v>1787</v>
      </c>
      <c r="E882" s="4" t="s">
        <v>1552</v>
      </c>
      <c r="F882" s="11" t="s">
        <v>3010</v>
      </c>
      <c r="G882" s="11" t="s">
        <v>3011</v>
      </c>
      <c r="H882" s="11" t="s">
        <v>511</v>
      </c>
      <c r="I882" s="11" t="s">
        <v>364</v>
      </c>
      <c r="J882" s="11" t="s">
        <v>31</v>
      </c>
      <c r="K882" s="11" t="s">
        <v>155</v>
      </c>
      <c r="L882" s="11" t="s">
        <v>517</v>
      </c>
      <c r="M882" s="11" t="s">
        <v>156</v>
      </c>
      <c r="N882" s="11" t="s">
        <v>723</v>
      </c>
      <c r="O882" s="11" t="s">
        <v>312</v>
      </c>
      <c r="P882" s="11" t="s">
        <v>2814</v>
      </c>
      <c r="Q882" s="11" t="s">
        <v>158</v>
      </c>
      <c r="R882" s="11" t="s">
        <v>596</v>
      </c>
      <c r="S882" s="11" t="s">
        <v>169</v>
      </c>
      <c r="T882" s="158">
        <v>5.13</v>
      </c>
      <c r="U882" s="11" t="s">
        <v>3012</v>
      </c>
      <c r="V882" s="174">
        <v>4.3749999999999997E-2</v>
      </c>
      <c r="W882" s="189">
        <v>5.033E-2</v>
      </c>
      <c r="X882" s="4" t="s">
        <v>602</v>
      </c>
      <c r="Y882" s="4" t="s">
        <v>312</v>
      </c>
      <c r="Z882" s="158">
        <v>5000</v>
      </c>
      <c r="AA882" s="158">
        <v>4.0199999999999996</v>
      </c>
      <c r="AB882" s="158">
        <v>97.528999999999996</v>
      </c>
      <c r="AD882" s="158">
        <v>19.603999999999999</v>
      </c>
      <c r="AG882" s="11" t="s">
        <v>37</v>
      </c>
      <c r="AH882" s="189">
        <v>6.9999999999999999E-6</v>
      </c>
      <c r="AI882" s="189">
        <v>1.34465074692489E-3</v>
      </c>
      <c r="AJ882" s="189">
        <v>2.9273764661985998E-4</v>
      </c>
    </row>
    <row r="883" spans="1:36">
      <c r="A883" s="11" t="s">
        <v>256</v>
      </c>
      <c r="B883" s="11">
        <v>7206</v>
      </c>
      <c r="C883" s="11" t="s">
        <v>1786</v>
      </c>
      <c r="D883" s="11" t="s">
        <v>1787</v>
      </c>
      <c r="E883" s="4" t="s">
        <v>1552</v>
      </c>
      <c r="F883" s="11" t="s">
        <v>2812</v>
      </c>
      <c r="G883" s="11" t="s">
        <v>2813</v>
      </c>
      <c r="H883" s="11" t="s">
        <v>511</v>
      </c>
      <c r="I883" s="11" t="s">
        <v>364</v>
      </c>
      <c r="J883" s="11" t="s">
        <v>31</v>
      </c>
      <c r="K883" s="11" t="s">
        <v>155</v>
      </c>
      <c r="L883" s="11" t="s">
        <v>517</v>
      </c>
      <c r="M883" s="11" t="s">
        <v>342</v>
      </c>
      <c r="N883" s="11" t="s">
        <v>723</v>
      </c>
      <c r="O883" s="11" t="s">
        <v>312</v>
      </c>
      <c r="P883" s="11" t="s">
        <v>2814</v>
      </c>
      <c r="Q883" s="11" t="s">
        <v>158</v>
      </c>
      <c r="R883" s="11" t="s">
        <v>596</v>
      </c>
      <c r="S883" s="11" t="s">
        <v>169</v>
      </c>
      <c r="T883" s="158">
        <v>4.17</v>
      </c>
      <c r="U883" s="11" t="s">
        <v>2815</v>
      </c>
      <c r="V883" s="174">
        <v>7.3749999999999996E-2</v>
      </c>
      <c r="W883" s="189">
        <v>5.0279999999999998E-2</v>
      </c>
      <c r="X883" s="4" t="s">
        <v>602</v>
      </c>
      <c r="Y883" s="4" t="s">
        <v>312</v>
      </c>
      <c r="Z883" s="158">
        <v>2000</v>
      </c>
      <c r="AA883" s="158">
        <v>4.0199999999999996</v>
      </c>
      <c r="AB883" s="158">
        <v>113.035</v>
      </c>
      <c r="AD883" s="158">
        <v>9.0879999999999992</v>
      </c>
      <c r="AG883" s="11" t="s">
        <v>37</v>
      </c>
      <c r="AH883" s="189">
        <v>3.0000000000000001E-6</v>
      </c>
      <c r="AI883" s="189">
        <v>6.2337683879296404E-4</v>
      </c>
      <c r="AJ883" s="189">
        <v>1.3571246597892501E-4</v>
      </c>
    </row>
    <row r="884" spans="1:36">
      <c r="A884" s="11" t="s">
        <v>256</v>
      </c>
      <c r="B884" s="11">
        <v>7206</v>
      </c>
      <c r="C884" s="11" t="s">
        <v>1786</v>
      </c>
      <c r="D884" s="11" t="s">
        <v>1787</v>
      </c>
      <c r="E884" s="4" t="s">
        <v>1552</v>
      </c>
      <c r="F884" s="11" t="s">
        <v>2816</v>
      </c>
      <c r="G884" s="11" t="s">
        <v>2817</v>
      </c>
      <c r="H884" s="11" t="s">
        <v>511</v>
      </c>
      <c r="I884" s="11" t="s">
        <v>364</v>
      </c>
      <c r="J884" s="11" t="s">
        <v>31</v>
      </c>
      <c r="K884" s="11" t="s">
        <v>155</v>
      </c>
      <c r="L884" s="11" t="s">
        <v>517</v>
      </c>
      <c r="M884" s="11" t="s">
        <v>342</v>
      </c>
      <c r="N884" s="11" t="s">
        <v>723</v>
      </c>
      <c r="O884" s="11" t="s">
        <v>312</v>
      </c>
      <c r="P884" s="11" t="s">
        <v>2814</v>
      </c>
      <c r="Q884" s="11" t="s">
        <v>158</v>
      </c>
      <c r="R884" s="11" t="s">
        <v>596</v>
      </c>
      <c r="S884" s="11" t="s">
        <v>169</v>
      </c>
      <c r="T884" s="158">
        <v>5.43</v>
      </c>
      <c r="U884" s="11" t="s">
        <v>2818</v>
      </c>
      <c r="V884" s="174">
        <v>7.8750000000000001E-2</v>
      </c>
      <c r="W884" s="189">
        <v>5.2429999999999997E-2</v>
      </c>
      <c r="X884" s="4" t="s">
        <v>602</v>
      </c>
      <c r="Y884" s="4" t="s">
        <v>312</v>
      </c>
      <c r="Z884" s="158">
        <v>2000</v>
      </c>
      <c r="AA884" s="158">
        <v>4.0199999999999996</v>
      </c>
      <c r="AB884" s="158">
        <v>117.645</v>
      </c>
      <c r="AD884" s="158">
        <v>9.4589999999999996</v>
      </c>
      <c r="AG884" s="11" t="s">
        <v>37</v>
      </c>
      <c r="AH884" s="189">
        <v>3.9999999999999998E-6</v>
      </c>
      <c r="AI884" s="189">
        <v>6.4879961362152298E-4</v>
      </c>
      <c r="AJ884" s="189">
        <v>1.4124713978985899E-4</v>
      </c>
    </row>
    <row r="885" spans="1:36">
      <c r="A885" s="11" t="s">
        <v>256</v>
      </c>
      <c r="B885" s="11">
        <v>7206</v>
      </c>
      <c r="C885" s="11" t="s">
        <v>3016</v>
      </c>
      <c r="D885" s="11" t="s">
        <v>3017</v>
      </c>
      <c r="E885" s="4" t="s">
        <v>505</v>
      </c>
      <c r="F885" s="11" t="s">
        <v>3018</v>
      </c>
      <c r="G885" s="11" t="s">
        <v>3019</v>
      </c>
      <c r="H885" s="11" t="s">
        <v>511</v>
      </c>
      <c r="I885" s="11" t="s">
        <v>364</v>
      </c>
      <c r="J885" s="11" t="s">
        <v>154</v>
      </c>
      <c r="K885" s="11" t="s">
        <v>155</v>
      </c>
      <c r="L885" s="11" t="s">
        <v>517</v>
      </c>
      <c r="M885" s="11" t="s">
        <v>156</v>
      </c>
      <c r="N885" s="11" t="s">
        <v>739</v>
      </c>
      <c r="O885" s="11" t="s">
        <v>312</v>
      </c>
      <c r="P885" s="11" t="s">
        <v>2221</v>
      </c>
      <c r="Q885" s="11" t="s">
        <v>158</v>
      </c>
      <c r="R885" s="11" t="s">
        <v>596</v>
      </c>
      <c r="S885" s="11" t="s">
        <v>159</v>
      </c>
      <c r="T885" s="158">
        <v>4.74</v>
      </c>
      <c r="U885" s="11" t="s">
        <v>3020</v>
      </c>
      <c r="V885" s="174">
        <v>4.0160000000000001E-2</v>
      </c>
      <c r="W885" s="189">
        <v>5.3199999999999997E-2</v>
      </c>
      <c r="X885" s="4" t="s">
        <v>602</v>
      </c>
      <c r="Y885" s="4" t="s">
        <v>312</v>
      </c>
      <c r="Z885" s="158">
        <v>5000</v>
      </c>
      <c r="AA885" s="158">
        <v>3.7589999999999999</v>
      </c>
      <c r="AB885" s="158">
        <v>94.822999999999993</v>
      </c>
      <c r="AD885" s="158">
        <v>17.821999999999999</v>
      </c>
      <c r="AG885" s="11" t="s">
        <v>37</v>
      </c>
      <c r="AH885" s="189">
        <v>9.9999999999999995E-7</v>
      </c>
      <c r="AI885" s="189">
        <v>1.22240988305261E-3</v>
      </c>
      <c r="AJ885" s="189">
        <v>2.6612515791780397E-4</v>
      </c>
    </row>
    <row r="886" spans="1:36">
      <c r="A886" s="11" t="s">
        <v>256</v>
      </c>
      <c r="B886" s="11">
        <v>7206</v>
      </c>
      <c r="C886" s="11" t="s">
        <v>3021</v>
      </c>
      <c r="D886" s="11" t="s">
        <v>3022</v>
      </c>
      <c r="E886" s="4" t="s">
        <v>505</v>
      </c>
      <c r="F886" s="11" t="s">
        <v>3023</v>
      </c>
      <c r="G886" s="11" t="s">
        <v>3024</v>
      </c>
      <c r="H886" s="11" t="s">
        <v>511</v>
      </c>
      <c r="I886" s="11" t="s">
        <v>364</v>
      </c>
      <c r="J886" s="11" t="s">
        <v>154</v>
      </c>
      <c r="K886" s="11" t="s">
        <v>155</v>
      </c>
      <c r="L886" s="11" t="s">
        <v>517</v>
      </c>
      <c r="M886" s="11" t="s">
        <v>535</v>
      </c>
      <c r="N886" s="11" t="s">
        <v>723</v>
      </c>
      <c r="O886" s="11" t="s">
        <v>312</v>
      </c>
      <c r="P886" s="11" t="s">
        <v>2769</v>
      </c>
      <c r="Q886" s="11" t="s">
        <v>158</v>
      </c>
      <c r="R886" s="11" t="s">
        <v>596</v>
      </c>
      <c r="S886" s="11" t="s">
        <v>159</v>
      </c>
      <c r="T886" s="158">
        <v>2.85</v>
      </c>
      <c r="U886" s="11" t="s">
        <v>3025</v>
      </c>
      <c r="V886" s="174">
        <v>2.3E-2</v>
      </c>
      <c r="W886" s="189">
        <v>5.7570000000000003E-2</v>
      </c>
      <c r="X886" s="4" t="s">
        <v>602</v>
      </c>
      <c r="Y886" s="4" t="s">
        <v>312</v>
      </c>
      <c r="Z886" s="158">
        <v>5000</v>
      </c>
      <c r="AA886" s="158">
        <v>3.7589999999999999</v>
      </c>
      <c r="AB886" s="158">
        <v>91.283000000000001</v>
      </c>
      <c r="AD886" s="158">
        <v>17.157</v>
      </c>
      <c r="AG886" s="11" t="s">
        <v>37</v>
      </c>
      <c r="AH886" s="189">
        <v>0</v>
      </c>
      <c r="AI886" s="189">
        <v>1.1767729655253001E-3</v>
      </c>
      <c r="AJ886" s="189">
        <v>2.5618975731918499E-4</v>
      </c>
    </row>
    <row r="887" spans="1:36">
      <c r="A887" s="11" t="s">
        <v>256</v>
      </c>
      <c r="B887" s="11">
        <v>7206</v>
      </c>
      <c r="C887" s="11" t="s">
        <v>1674</v>
      </c>
      <c r="D887" s="11" t="s">
        <v>1675</v>
      </c>
      <c r="E887" s="4" t="s">
        <v>1552</v>
      </c>
      <c r="F887" s="11" t="s">
        <v>2819</v>
      </c>
      <c r="G887" s="11" t="s">
        <v>2820</v>
      </c>
      <c r="H887" s="11" t="s">
        <v>511</v>
      </c>
      <c r="I887" s="11" t="s">
        <v>1154</v>
      </c>
      <c r="J887" s="11" t="s">
        <v>31</v>
      </c>
      <c r="K887" s="11" t="s">
        <v>155</v>
      </c>
      <c r="L887" s="11" t="s">
        <v>517</v>
      </c>
      <c r="M887" s="11" t="s">
        <v>32</v>
      </c>
      <c r="N887" s="11" t="s">
        <v>629</v>
      </c>
      <c r="O887" s="11" t="s">
        <v>312</v>
      </c>
      <c r="P887" s="27" t="s">
        <v>2165</v>
      </c>
      <c r="Q887" s="27" t="s">
        <v>2165</v>
      </c>
      <c r="R887" s="16" t="s">
        <v>2165</v>
      </c>
      <c r="S887" s="11" t="s">
        <v>35</v>
      </c>
      <c r="T887" s="158">
        <v>0.627</v>
      </c>
      <c r="U887" s="11" t="s">
        <v>2821</v>
      </c>
      <c r="V887" s="174">
        <v>4.2500000000000003E-2</v>
      </c>
      <c r="W887" s="189">
        <v>5.5780000000000003E-2</v>
      </c>
      <c r="X887" s="4" t="s">
        <v>602</v>
      </c>
      <c r="Y887" s="4" t="s">
        <v>312</v>
      </c>
      <c r="Z887" s="158">
        <v>71000.210000000006</v>
      </c>
      <c r="AA887" s="158">
        <v>1</v>
      </c>
      <c r="AB887" s="158">
        <v>100.64</v>
      </c>
      <c r="AD887" s="158">
        <v>71.454999999999998</v>
      </c>
      <c r="AG887" s="11" t="s">
        <v>37</v>
      </c>
      <c r="AH887" s="189">
        <v>8.5499999999999997E-4</v>
      </c>
      <c r="AI887" s="189">
        <v>4.9010617730269402E-3</v>
      </c>
      <c r="AJ887" s="189">
        <v>1.0669873144796599E-3</v>
      </c>
    </row>
    <row r="888" spans="1:36">
      <c r="A888" s="11" t="s">
        <v>256</v>
      </c>
      <c r="B888" s="11">
        <v>7206</v>
      </c>
      <c r="C888" s="11" t="s">
        <v>2323</v>
      </c>
      <c r="D888" s="11" t="s">
        <v>2324</v>
      </c>
      <c r="E888" s="4" t="s">
        <v>504</v>
      </c>
      <c r="F888" s="11" t="s">
        <v>2822</v>
      </c>
      <c r="G888" s="11" t="s">
        <v>2823</v>
      </c>
      <c r="H888" s="11" t="s">
        <v>511</v>
      </c>
      <c r="I888" s="11" t="s">
        <v>1154</v>
      </c>
      <c r="J888" s="11" t="s">
        <v>154</v>
      </c>
      <c r="K888" s="11" t="s">
        <v>155</v>
      </c>
      <c r="L888" s="11" t="s">
        <v>517</v>
      </c>
      <c r="M888" s="11" t="s">
        <v>32</v>
      </c>
      <c r="N888" s="11" t="s">
        <v>653</v>
      </c>
      <c r="O888" s="11" t="s">
        <v>312</v>
      </c>
      <c r="P888" s="11" t="s">
        <v>2161</v>
      </c>
      <c r="Q888" s="11" t="s">
        <v>358</v>
      </c>
      <c r="R888" s="11" t="s">
        <v>596</v>
      </c>
      <c r="S888" s="11" t="s">
        <v>35</v>
      </c>
      <c r="T888" s="158">
        <v>1.105</v>
      </c>
      <c r="U888" s="11" t="s">
        <v>119</v>
      </c>
      <c r="V888" s="174">
        <v>5.9499999999999997E-2</v>
      </c>
      <c r="W888" s="189">
        <v>7.4579999999999994E-2</v>
      </c>
      <c r="X888" s="4" t="s">
        <v>602</v>
      </c>
      <c r="Y888" s="4" t="s">
        <v>530</v>
      </c>
      <c r="Z888" s="158">
        <v>111270.45</v>
      </c>
      <c r="AA888" s="158">
        <v>1</v>
      </c>
      <c r="AB888" s="158">
        <v>99.4</v>
      </c>
      <c r="AD888" s="158">
        <v>110.60299999999999</v>
      </c>
      <c r="AG888" s="11" t="s">
        <v>37</v>
      </c>
      <c r="AH888" s="189">
        <v>3.8900000000000002E-4</v>
      </c>
      <c r="AI888" s="189">
        <v>7.5862324162546601E-3</v>
      </c>
      <c r="AJ888" s="189">
        <v>1.6515632994845799E-3</v>
      </c>
    </row>
    <row r="889" spans="1:36">
      <c r="A889" s="11" t="s">
        <v>256</v>
      </c>
      <c r="B889" s="11">
        <v>7206</v>
      </c>
      <c r="C889" s="11" t="s">
        <v>1754</v>
      </c>
      <c r="D889" s="11" t="s">
        <v>1755</v>
      </c>
      <c r="E889" s="4" t="s">
        <v>1552</v>
      </c>
      <c r="F889" s="11" t="s">
        <v>2824</v>
      </c>
      <c r="G889" s="11" t="s">
        <v>2825</v>
      </c>
      <c r="H889" s="11" t="s">
        <v>511</v>
      </c>
      <c r="I889" s="11" t="s">
        <v>1154</v>
      </c>
      <c r="J889" s="11" t="s">
        <v>154</v>
      </c>
      <c r="K889" s="11" t="s">
        <v>31</v>
      </c>
      <c r="L889" s="11" t="s">
        <v>517</v>
      </c>
      <c r="M889" s="11" t="s">
        <v>32</v>
      </c>
      <c r="N889" s="11" t="s">
        <v>635</v>
      </c>
      <c r="O889" s="11" t="s">
        <v>312</v>
      </c>
      <c r="P889" s="11" t="s">
        <v>168</v>
      </c>
      <c r="Q889" s="11" t="s">
        <v>604</v>
      </c>
      <c r="R889" s="11" t="s">
        <v>596</v>
      </c>
      <c r="S889" s="11" t="s">
        <v>35</v>
      </c>
      <c r="T889" s="158">
        <v>0.98399999999999999</v>
      </c>
      <c r="U889" s="11" t="s">
        <v>2188</v>
      </c>
      <c r="V889" s="174">
        <v>4.1700000000000001E-2</v>
      </c>
      <c r="W889" s="189">
        <v>5.5230000000000001E-2</v>
      </c>
      <c r="X889" s="4" t="s">
        <v>602</v>
      </c>
      <c r="Y889" s="4" t="s">
        <v>312</v>
      </c>
      <c r="Z889" s="158">
        <v>18000</v>
      </c>
      <c r="AA889" s="158">
        <v>1</v>
      </c>
      <c r="AB889" s="158">
        <v>98.79</v>
      </c>
      <c r="AD889" s="158">
        <v>17.782</v>
      </c>
      <c r="AG889" s="11" t="s">
        <v>37</v>
      </c>
      <c r="AH889" s="189">
        <v>9.3999999999999994E-5</v>
      </c>
      <c r="AI889" s="189">
        <v>1.21967860465646E-3</v>
      </c>
      <c r="AJ889" s="189">
        <v>2.65530544028821E-4</v>
      </c>
    </row>
    <row r="890" spans="1:36">
      <c r="A890" s="11" t="s">
        <v>256</v>
      </c>
      <c r="B890" s="11">
        <v>7206</v>
      </c>
      <c r="C890" s="11" t="s">
        <v>2826</v>
      </c>
      <c r="D890" s="11" t="s">
        <v>2827</v>
      </c>
      <c r="E890" s="4" t="s">
        <v>1552</v>
      </c>
      <c r="F890" s="11" t="s">
        <v>2828</v>
      </c>
      <c r="G890" s="11" t="s">
        <v>2829</v>
      </c>
      <c r="H890" s="11" t="s">
        <v>511</v>
      </c>
      <c r="I890" s="11" t="s">
        <v>1155</v>
      </c>
      <c r="J890" s="11" t="s">
        <v>31</v>
      </c>
      <c r="K890" s="11" t="s">
        <v>31</v>
      </c>
      <c r="L890" s="11" t="s">
        <v>517</v>
      </c>
      <c r="M890" s="11" t="s">
        <v>32</v>
      </c>
      <c r="N890" s="11" t="s">
        <v>667</v>
      </c>
      <c r="O890" s="11" t="s">
        <v>312</v>
      </c>
      <c r="P890" s="11" t="s">
        <v>174</v>
      </c>
      <c r="Q890" s="11" t="s">
        <v>604</v>
      </c>
      <c r="R890" s="11" t="s">
        <v>596</v>
      </c>
      <c r="S890" s="11" t="s">
        <v>35</v>
      </c>
      <c r="T890" s="158">
        <v>1.478</v>
      </c>
      <c r="U890" s="11" t="s">
        <v>2203</v>
      </c>
      <c r="V890" s="174">
        <v>1.4999999999999999E-2</v>
      </c>
      <c r="W890" s="189">
        <v>5.1529999999999999E-2</v>
      </c>
      <c r="X890" s="4" t="s">
        <v>602</v>
      </c>
      <c r="Y890" s="4" t="s">
        <v>312</v>
      </c>
      <c r="Z890" s="158">
        <v>666.67</v>
      </c>
      <c r="AA890" s="158">
        <v>1</v>
      </c>
      <c r="AB890" s="158">
        <v>94.9</v>
      </c>
      <c r="AD890" s="158">
        <v>0.63300000000000001</v>
      </c>
      <c r="AG890" s="11" t="s">
        <v>37</v>
      </c>
      <c r="AH890" s="189">
        <v>1.2999999999999999E-5</v>
      </c>
      <c r="AI890" s="189">
        <v>4.3394734929459898E-5</v>
      </c>
      <c r="AJ890" s="189">
        <v>9.4472654761796403E-6</v>
      </c>
    </row>
    <row r="891" spans="1:36">
      <c r="A891" s="11" t="s">
        <v>256</v>
      </c>
      <c r="B891" s="11">
        <v>7206</v>
      </c>
      <c r="C891" s="11" t="s">
        <v>2830</v>
      </c>
      <c r="D891" s="11" t="s">
        <v>2831</v>
      </c>
      <c r="E891" s="4" t="s">
        <v>504</v>
      </c>
      <c r="F891" s="11" t="s">
        <v>2832</v>
      </c>
      <c r="G891" s="11" t="s">
        <v>2833</v>
      </c>
      <c r="H891" s="11" t="s">
        <v>511</v>
      </c>
      <c r="I891" s="11" t="s">
        <v>364</v>
      </c>
      <c r="J891" s="11" t="s">
        <v>31</v>
      </c>
      <c r="K891" s="11" t="s">
        <v>31</v>
      </c>
      <c r="L891" s="11" t="s">
        <v>517</v>
      </c>
      <c r="M891" s="11" t="s">
        <v>32</v>
      </c>
      <c r="N891" s="11" t="s">
        <v>669</v>
      </c>
      <c r="O891" s="11" t="s">
        <v>312</v>
      </c>
      <c r="P891" s="11" t="s">
        <v>2394</v>
      </c>
      <c r="Q891" s="11" t="s">
        <v>358</v>
      </c>
      <c r="R891" s="11" t="s">
        <v>596</v>
      </c>
      <c r="S891" s="11" t="s">
        <v>35</v>
      </c>
      <c r="T891" s="158">
        <v>1</v>
      </c>
      <c r="U891" s="11" t="s">
        <v>2834</v>
      </c>
      <c r="V891" s="174">
        <v>3.3700000000000001E-2</v>
      </c>
      <c r="W891" s="189">
        <v>6.54E-2</v>
      </c>
      <c r="X891" s="4" t="s">
        <v>602</v>
      </c>
      <c r="Y891" s="4" t="s">
        <v>312</v>
      </c>
      <c r="Z891" s="158">
        <v>124000.01</v>
      </c>
      <c r="AA891" s="158">
        <v>1</v>
      </c>
      <c r="AB891" s="158">
        <v>103.29</v>
      </c>
      <c r="AC891" s="158">
        <v>2.2210000000000001</v>
      </c>
      <c r="AD891" s="158">
        <v>130.30099999999999</v>
      </c>
      <c r="AG891" s="11" t="s">
        <v>37</v>
      </c>
      <c r="AH891" s="189">
        <v>8.8599999999999996E-4</v>
      </c>
      <c r="AI891" s="189">
        <v>8.9373122525515901E-3</v>
      </c>
      <c r="AJ891" s="189">
        <v>1.9457005931852801E-3</v>
      </c>
    </row>
    <row r="892" spans="1:36">
      <c r="A892" s="11" t="s">
        <v>256</v>
      </c>
      <c r="B892" s="11">
        <v>7206</v>
      </c>
      <c r="C892" s="11" t="s">
        <v>1947</v>
      </c>
      <c r="D892" s="11" t="s">
        <v>1948</v>
      </c>
      <c r="E892" s="4" t="s">
        <v>1552</v>
      </c>
      <c r="F892" s="11" t="s">
        <v>2835</v>
      </c>
      <c r="G892" s="11" t="s">
        <v>2836</v>
      </c>
      <c r="H892" s="11" t="s">
        <v>511</v>
      </c>
      <c r="I892" s="11" t="s">
        <v>1154</v>
      </c>
      <c r="J892" s="11" t="s">
        <v>31</v>
      </c>
      <c r="K892" s="11" t="s">
        <v>31</v>
      </c>
      <c r="L892" s="11" t="s">
        <v>517</v>
      </c>
      <c r="M892" s="11" t="s">
        <v>32</v>
      </c>
      <c r="N892" s="11" t="s">
        <v>635</v>
      </c>
      <c r="O892" s="11" t="s">
        <v>312</v>
      </c>
      <c r="P892" s="11" t="s">
        <v>174</v>
      </c>
      <c r="Q892" s="11" t="s">
        <v>604</v>
      </c>
      <c r="R892" s="11" t="s">
        <v>596</v>
      </c>
      <c r="S892" s="11" t="s">
        <v>35</v>
      </c>
      <c r="T892" s="158">
        <v>1.4630000000000001</v>
      </c>
      <c r="U892" s="11" t="s">
        <v>2333</v>
      </c>
      <c r="V892" s="174">
        <v>0.02</v>
      </c>
      <c r="W892" s="189">
        <v>5.7119999999999997E-2</v>
      </c>
      <c r="X892" s="4" t="s">
        <v>602</v>
      </c>
      <c r="Y892" s="4" t="s">
        <v>312</v>
      </c>
      <c r="Z892" s="158">
        <v>6000</v>
      </c>
      <c r="AA892" s="158">
        <v>1</v>
      </c>
      <c r="AB892" s="158">
        <v>94.88</v>
      </c>
      <c r="AD892" s="158">
        <v>5.6929999999999996</v>
      </c>
      <c r="AG892" s="11" t="s">
        <v>37</v>
      </c>
      <c r="AH892" s="189">
        <v>1.7E-5</v>
      </c>
      <c r="AI892" s="189">
        <v>3.9046835378008898E-4</v>
      </c>
      <c r="AJ892" s="189">
        <v>8.5007045306389006E-5</v>
      </c>
    </row>
    <row r="893" spans="1:36">
      <c r="A893" s="11" t="s">
        <v>256</v>
      </c>
      <c r="B893" s="11">
        <v>7206</v>
      </c>
      <c r="C893" s="11" t="s">
        <v>2837</v>
      </c>
      <c r="D893" s="11" t="s">
        <v>2838</v>
      </c>
      <c r="E893" s="4" t="s">
        <v>1552</v>
      </c>
      <c r="F893" s="11" t="s">
        <v>2839</v>
      </c>
      <c r="G893" s="11" t="s">
        <v>2840</v>
      </c>
      <c r="H893" s="11" t="s">
        <v>511</v>
      </c>
      <c r="I893" s="11" t="s">
        <v>945</v>
      </c>
      <c r="J893" s="11" t="s">
        <v>154</v>
      </c>
      <c r="K893" s="11" t="s">
        <v>31</v>
      </c>
      <c r="L893" s="11" t="s">
        <v>517</v>
      </c>
      <c r="M893" s="11" t="s">
        <v>32</v>
      </c>
      <c r="N893" s="11" t="s">
        <v>635</v>
      </c>
      <c r="O893" s="11" t="s">
        <v>312</v>
      </c>
      <c r="P893" s="27" t="s">
        <v>2165</v>
      </c>
      <c r="Q893" s="27" t="s">
        <v>2165</v>
      </c>
      <c r="R893" s="16" t="s">
        <v>2165</v>
      </c>
      <c r="S893" s="11" t="s">
        <v>35</v>
      </c>
      <c r="T893" s="158">
        <v>1.6639999999999999</v>
      </c>
      <c r="U893" s="11" t="s">
        <v>2235</v>
      </c>
      <c r="V893" s="174">
        <v>2.8500000000000001E-2</v>
      </c>
      <c r="W893" s="189">
        <v>2.3E-2</v>
      </c>
      <c r="X893" s="4" t="s">
        <v>602</v>
      </c>
      <c r="Y893" s="4" t="s">
        <v>312</v>
      </c>
      <c r="Z893" s="158">
        <v>73589.289999999994</v>
      </c>
      <c r="AA893" s="158">
        <v>1</v>
      </c>
      <c r="AB893" s="158">
        <v>116.03</v>
      </c>
      <c r="AD893" s="158">
        <v>85.385999999999996</v>
      </c>
      <c r="AG893" s="11" t="s">
        <v>37</v>
      </c>
      <c r="AH893" s="189">
        <v>5.0299999999999997E-4</v>
      </c>
      <c r="AI893" s="189">
        <v>5.8565899796875999E-3</v>
      </c>
      <c r="AJ893" s="189">
        <v>1.2750109065807599E-3</v>
      </c>
    </row>
    <row r="894" spans="1:36">
      <c r="A894" s="11" t="s">
        <v>256</v>
      </c>
      <c r="B894" s="11">
        <v>7206</v>
      </c>
      <c r="C894" s="11" t="s">
        <v>3026</v>
      </c>
      <c r="D894" s="11" t="s">
        <v>3027</v>
      </c>
      <c r="E894" s="4" t="s">
        <v>504</v>
      </c>
      <c r="F894" s="11" t="s">
        <v>3028</v>
      </c>
      <c r="G894" s="11" t="s">
        <v>3029</v>
      </c>
      <c r="H894" s="11" t="s">
        <v>511</v>
      </c>
      <c r="I894" s="11" t="s">
        <v>364</v>
      </c>
      <c r="J894" s="11" t="s">
        <v>154</v>
      </c>
      <c r="K894" s="11" t="s">
        <v>426</v>
      </c>
      <c r="L894" s="11" t="s">
        <v>517</v>
      </c>
      <c r="M894" s="11" t="s">
        <v>32</v>
      </c>
      <c r="N894" s="11" t="s">
        <v>653</v>
      </c>
      <c r="O894" s="11" t="s">
        <v>312</v>
      </c>
      <c r="P894" s="11" t="s">
        <v>2418</v>
      </c>
      <c r="Q894" s="11" t="s">
        <v>604</v>
      </c>
      <c r="R894" s="11" t="s">
        <v>596</v>
      </c>
      <c r="S894" s="11" t="s">
        <v>35</v>
      </c>
      <c r="T894" s="158">
        <v>3.13</v>
      </c>
      <c r="U894" s="11" t="s">
        <v>3030</v>
      </c>
      <c r="V894" s="174">
        <v>4.2999999999999997E-2</v>
      </c>
      <c r="W894" s="189">
        <v>7.8320000000000001E-2</v>
      </c>
      <c r="X894" s="4" t="s">
        <v>602</v>
      </c>
      <c r="Y894" s="4" t="s">
        <v>312</v>
      </c>
      <c r="Z894" s="158">
        <v>34452.400000000001</v>
      </c>
      <c r="AA894" s="158">
        <v>1</v>
      </c>
      <c r="AB894" s="158">
        <v>90.67</v>
      </c>
      <c r="AD894" s="158">
        <v>31.238</v>
      </c>
      <c r="AG894" s="11" t="s">
        <v>37</v>
      </c>
      <c r="AH894" s="189">
        <v>3.1000000000000001E-5</v>
      </c>
      <c r="AI894" s="189">
        <v>2.14260942812056E-3</v>
      </c>
      <c r="AJ894" s="189">
        <v>4.66457511772438E-4</v>
      </c>
    </row>
    <row r="895" spans="1:36">
      <c r="A895" s="11" t="s">
        <v>256</v>
      </c>
      <c r="B895" s="11">
        <v>7207</v>
      </c>
      <c r="C895" s="11" t="s">
        <v>1602</v>
      </c>
      <c r="D895" s="11" t="s">
        <v>1603</v>
      </c>
      <c r="E895" s="4" t="s">
        <v>1552</v>
      </c>
      <c r="F895" s="11" t="s">
        <v>2159</v>
      </c>
      <c r="G895" s="11" t="s">
        <v>2160</v>
      </c>
      <c r="H895" s="11" t="s">
        <v>511</v>
      </c>
      <c r="I895" s="11" t="s">
        <v>1154</v>
      </c>
      <c r="J895" s="11" t="s">
        <v>31</v>
      </c>
      <c r="K895" s="11" t="s">
        <v>31</v>
      </c>
      <c r="L895" s="11" t="s">
        <v>517</v>
      </c>
      <c r="M895" s="11" t="s">
        <v>32</v>
      </c>
      <c r="N895" s="11" t="s">
        <v>654</v>
      </c>
      <c r="O895" s="11" t="s">
        <v>312</v>
      </c>
      <c r="P895" s="11" t="s">
        <v>2161</v>
      </c>
      <c r="Q895" s="11" t="s">
        <v>358</v>
      </c>
      <c r="R895" s="11" t="s">
        <v>596</v>
      </c>
      <c r="S895" s="11" t="s">
        <v>35</v>
      </c>
      <c r="T895" s="158">
        <v>0.499</v>
      </c>
      <c r="U895" s="11" t="s">
        <v>2162</v>
      </c>
      <c r="V895" s="174">
        <v>4.7500000000000001E-2</v>
      </c>
      <c r="W895" s="189">
        <v>5.5599999999999997E-2</v>
      </c>
      <c r="X895" s="4" t="s">
        <v>602</v>
      </c>
      <c r="Y895" s="4" t="s">
        <v>312</v>
      </c>
      <c r="Z895" s="158">
        <v>13000.6</v>
      </c>
      <c r="AA895" s="158">
        <v>1</v>
      </c>
      <c r="AB895" s="158">
        <v>99.65</v>
      </c>
      <c r="AD895" s="158">
        <v>12.955</v>
      </c>
      <c r="AG895" s="11" t="s">
        <v>37</v>
      </c>
      <c r="AH895" s="189">
        <v>1.55E-4</v>
      </c>
      <c r="AI895" s="189">
        <v>5.7820476280383195E-4</v>
      </c>
      <c r="AJ895" s="189">
        <v>1.33236810748313E-4</v>
      </c>
    </row>
    <row r="896" spans="1:36">
      <c r="A896" s="11" t="s">
        <v>256</v>
      </c>
      <c r="B896" s="11">
        <v>7207</v>
      </c>
      <c r="C896" s="11" t="s">
        <v>2841</v>
      </c>
      <c r="D896" s="11" t="s">
        <v>2842</v>
      </c>
      <c r="E896" s="4" t="s">
        <v>1552</v>
      </c>
      <c r="F896" s="11" t="s">
        <v>2843</v>
      </c>
      <c r="G896" s="11" t="s">
        <v>2844</v>
      </c>
      <c r="H896" s="11" t="s">
        <v>511</v>
      </c>
      <c r="I896" s="11" t="s">
        <v>1154</v>
      </c>
      <c r="J896" s="11" t="s">
        <v>31</v>
      </c>
      <c r="K896" s="11" t="s">
        <v>155</v>
      </c>
      <c r="L896" s="11" t="s">
        <v>517</v>
      </c>
      <c r="M896" s="11" t="s">
        <v>32</v>
      </c>
      <c r="N896" s="11" t="s">
        <v>653</v>
      </c>
      <c r="O896" s="11" t="s">
        <v>312</v>
      </c>
      <c r="P896" s="27" t="s">
        <v>2165</v>
      </c>
      <c r="Q896" s="27" t="s">
        <v>2165</v>
      </c>
      <c r="R896" s="16" t="s">
        <v>2165</v>
      </c>
      <c r="S896" s="11" t="s">
        <v>35</v>
      </c>
      <c r="T896" s="158">
        <v>0</v>
      </c>
      <c r="U896" s="11" t="s">
        <v>2845</v>
      </c>
      <c r="V896" s="174">
        <v>7.9500000000000001E-2</v>
      </c>
      <c r="W896" s="189">
        <v>0</v>
      </c>
      <c r="X896" s="4" t="s">
        <v>602</v>
      </c>
      <c r="Y896" s="4" t="s">
        <v>312</v>
      </c>
      <c r="Z896" s="158">
        <v>111513.34</v>
      </c>
      <c r="AA896" s="158">
        <v>1</v>
      </c>
      <c r="AB896" s="158">
        <v>106.23</v>
      </c>
      <c r="AD896" s="158">
        <v>118.461</v>
      </c>
      <c r="AG896" s="11" t="s">
        <v>37</v>
      </c>
      <c r="AH896" s="189">
        <v>0</v>
      </c>
      <c r="AI896" s="189">
        <v>5.2870689085500796E-3</v>
      </c>
      <c r="AJ896" s="189">
        <v>1.21830923039417E-3</v>
      </c>
    </row>
    <row r="897" spans="1:36">
      <c r="A897" s="11" t="s">
        <v>256</v>
      </c>
      <c r="B897" s="11">
        <v>7207</v>
      </c>
      <c r="C897" s="11" t="s">
        <v>2841</v>
      </c>
      <c r="D897" s="11" t="s">
        <v>2842</v>
      </c>
      <c r="E897" s="4" t="s">
        <v>1552</v>
      </c>
      <c r="F897" s="11" t="s">
        <v>2846</v>
      </c>
      <c r="G897" s="11" t="s">
        <v>2847</v>
      </c>
      <c r="H897" s="11" t="s">
        <v>511</v>
      </c>
      <c r="I897" s="11" t="s">
        <v>1154</v>
      </c>
      <c r="J897" s="11" t="s">
        <v>31</v>
      </c>
      <c r="K897" s="11" t="s">
        <v>155</v>
      </c>
      <c r="L897" s="11" t="s">
        <v>517</v>
      </c>
      <c r="M897" s="11" t="s">
        <v>32</v>
      </c>
      <c r="N897" s="11" t="s">
        <v>653</v>
      </c>
      <c r="O897" s="11" t="s">
        <v>312</v>
      </c>
      <c r="P897" s="27" t="s">
        <v>2165</v>
      </c>
      <c r="Q897" s="27" t="s">
        <v>2165</v>
      </c>
      <c r="R897" s="16" t="s">
        <v>2165</v>
      </c>
      <c r="S897" s="11" t="s">
        <v>35</v>
      </c>
      <c r="T897" s="158">
        <v>0</v>
      </c>
      <c r="U897" s="11" t="s">
        <v>45</v>
      </c>
      <c r="V897" s="174">
        <v>7.0000000000000007E-2</v>
      </c>
      <c r="W897" s="189">
        <v>0</v>
      </c>
      <c r="X897" s="4" t="s">
        <v>602</v>
      </c>
      <c r="Y897" s="4" t="s">
        <v>312</v>
      </c>
      <c r="Z897" s="158">
        <v>22100</v>
      </c>
      <c r="AA897" s="158">
        <v>1</v>
      </c>
      <c r="AB897" s="158">
        <v>4.5</v>
      </c>
      <c r="AD897" s="158">
        <v>0.995</v>
      </c>
      <c r="AG897" s="11" t="s">
        <v>37</v>
      </c>
      <c r="AH897" s="189">
        <v>0</v>
      </c>
      <c r="AI897" s="189">
        <v>4.43859738496002E-5</v>
      </c>
      <c r="AJ897" s="189">
        <v>1.02279434174865E-5</v>
      </c>
    </row>
    <row r="898" spans="1:36">
      <c r="A898" s="11" t="s">
        <v>256</v>
      </c>
      <c r="B898" s="11">
        <v>7207</v>
      </c>
      <c r="C898" s="11" t="s">
        <v>1618</v>
      </c>
      <c r="D898" s="11" t="s">
        <v>1619</v>
      </c>
      <c r="E898" s="4" t="s">
        <v>1552</v>
      </c>
      <c r="F898" s="11" t="s">
        <v>2848</v>
      </c>
      <c r="G898" s="11" t="s">
        <v>2849</v>
      </c>
      <c r="H898" s="11" t="s">
        <v>511</v>
      </c>
      <c r="I898" s="11" t="s">
        <v>1154</v>
      </c>
      <c r="J898" s="11" t="s">
        <v>31</v>
      </c>
      <c r="K898" s="11" t="s">
        <v>31</v>
      </c>
      <c r="L898" s="11" t="s">
        <v>517</v>
      </c>
      <c r="M898" s="11" t="s">
        <v>32</v>
      </c>
      <c r="N898" s="11" t="s">
        <v>666</v>
      </c>
      <c r="O898" s="11" t="s">
        <v>312</v>
      </c>
      <c r="P898" s="11" t="s">
        <v>2327</v>
      </c>
      <c r="Q898" s="11" t="s">
        <v>358</v>
      </c>
      <c r="R898" s="11" t="s">
        <v>596</v>
      </c>
      <c r="S898" s="11" t="s">
        <v>35</v>
      </c>
      <c r="T898" s="158">
        <v>1.5</v>
      </c>
      <c r="U898" s="11" t="s">
        <v>2333</v>
      </c>
      <c r="V898" s="174">
        <v>3.2500000000000001E-2</v>
      </c>
      <c r="W898" s="189">
        <v>5.8409999999999997E-2</v>
      </c>
      <c r="X898" s="4" t="s">
        <v>602</v>
      </c>
      <c r="Y898" s="4" t="s">
        <v>312</v>
      </c>
      <c r="Z898" s="158">
        <v>86211.95</v>
      </c>
      <c r="AA898" s="158">
        <v>1</v>
      </c>
      <c r="AB898" s="158">
        <v>96.38</v>
      </c>
      <c r="AD898" s="158">
        <v>83.090999999999994</v>
      </c>
      <c r="AG898" s="11" t="s">
        <v>37</v>
      </c>
      <c r="AH898" s="189">
        <v>1.3829999999999999E-3</v>
      </c>
      <c r="AI898" s="189">
        <v>3.70847500156397E-3</v>
      </c>
      <c r="AJ898" s="189">
        <v>8.5455086802158596E-4</v>
      </c>
    </row>
    <row r="899" spans="1:36">
      <c r="A899" s="11" t="s">
        <v>256</v>
      </c>
      <c r="B899" s="11">
        <v>7207</v>
      </c>
      <c r="C899" s="11" t="s">
        <v>1638</v>
      </c>
      <c r="D899" s="11" t="s">
        <v>1639</v>
      </c>
      <c r="E899" s="4" t="s">
        <v>1552</v>
      </c>
      <c r="F899" s="11" t="s">
        <v>2163</v>
      </c>
      <c r="G899" s="11" t="s">
        <v>2164</v>
      </c>
      <c r="H899" s="11" t="s">
        <v>511</v>
      </c>
      <c r="I899" s="11" t="s">
        <v>1155</v>
      </c>
      <c r="J899" s="11" t="s">
        <v>31</v>
      </c>
      <c r="K899" s="11" t="s">
        <v>31</v>
      </c>
      <c r="L899" s="11" t="s">
        <v>517</v>
      </c>
      <c r="M899" s="11" t="s">
        <v>32</v>
      </c>
      <c r="N899" s="11" t="s">
        <v>649</v>
      </c>
      <c r="O899" s="11" t="s">
        <v>312</v>
      </c>
      <c r="P899" s="27" t="s">
        <v>2165</v>
      </c>
      <c r="Q899" s="27" t="s">
        <v>2165</v>
      </c>
      <c r="R899" s="16" t="s">
        <v>2165</v>
      </c>
      <c r="S899" s="11" t="s">
        <v>35</v>
      </c>
      <c r="T899" s="158">
        <v>3.6739999999999999</v>
      </c>
      <c r="U899" s="11" t="s">
        <v>2166</v>
      </c>
      <c r="V899" s="174">
        <v>4.8500000000000001E-2</v>
      </c>
      <c r="W899" s="189">
        <v>5.994E-2</v>
      </c>
      <c r="X899" s="4" t="s">
        <v>602</v>
      </c>
      <c r="Y899" s="4" t="s">
        <v>312</v>
      </c>
      <c r="Z899" s="158">
        <v>54000</v>
      </c>
      <c r="AA899" s="158">
        <v>1</v>
      </c>
      <c r="AB899" s="158">
        <v>96.5</v>
      </c>
      <c r="AD899" s="158">
        <v>52.11</v>
      </c>
      <c r="AG899" s="11" t="s">
        <v>37</v>
      </c>
      <c r="AH899" s="189">
        <v>1.8000000000000001E-4</v>
      </c>
      <c r="AI899" s="189">
        <v>2.3257446931148002E-3</v>
      </c>
      <c r="AJ899" s="189">
        <v>5.3592572296150796E-4</v>
      </c>
    </row>
    <row r="900" spans="1:36">
      <c r="A900" s="11" t="s">
        <v>256</v>
      </c>
      <c r="B900" s="11">
        <v>7207</v>
      </c>
      <c r="C900" s="11" t="s">
        <v>1642</v>
      </c>
      <c r="D900" s="11" t="s">
        <v>1643</v>
      </c>
      <c r="E900" s="4" t="s">
        <v>1552</v>
      </c>
      <c r="F900" s="11" t="s">
        <v>2850</v>
      </c>
      <c r="G900" s="11" t="s">
        <v>2851</v>
      </c>
      <c r="H900" s="11" t="s">
        <v>511</v>
      </c>
      <c r="I900" s="11" t="s">
        <v>364</v>
      </c>
      <c r="J900" s="11" t="s">
        <v>31</v>
      </c>
      <c r="K900" s="11" t="s">
        <v>31</v>
      </c>
      <c r="L900" s="11" t="s">
        <v>517</v>
      </c>
      <c r="M900" s="11" t="s">
        <v>32</v>
      </c>
      <c r="N900" s="11" t="s">
        <v>634</v>
      </c>
      <c r="O900" s="11" t="s">
        <v>312</v>
      </c>
      <c r="P900" s="11" t="s">
        <v>2169</v>
      </c>
      <c r="Q900" s="11" t="s">
        <v>358</v>
      </c>
      <c r="R900" s="11" t="s">
        <v>596</v>
      </c>
      <c r="S900" s="11" t="s">
        <v>35</v>
      </c>
      <c r="T900" s="158">
        <v>4.6500000000000004</v>
      </c>
      <c r="U900" s="11" t="s">
        <v>2852</v>
      </c>
      <c r="V900" s="174">
        <v>2.6700000000000002E-2</v>
      </c>
      <c r="W900" s="189">
        <v>6.0049999999999999E-2</v>
      </c>
      <c r="X900" s="4" t="s">
        <v>602</v>
      </c>
      <c r="Y900" s="4" t="s">
        <v>312</v>
      </c>
      <c r="Z900" s="158">
        <v>127568.29</v>
      </c>
      <c r="AA900" s="158">
        <v>1</v>
      </c>
      <c r="AB900" s="158">
        <v>97.08</v>
      </c>
      <c r="AD900" s="158">
        <v>123.843</v>
      </c>
      <c r="AG900" s="11" t="s">
        <v>37</v>
      </c>
      <c r="AH900" s="189">
        <v>7.4399999999999998E-4</v>
      </c>
      <c r="AI900" s="189">
        <v>5.5273054747974398E-3</v>
      </c>
      <c r="AJ900" s="189">
        <v>1.27366739409505E-3</v>
      </c>
    </row>
    <row r="901" spans="1:36">
      <c r="A901" s="11" t="s">
        <v>256</v>
      </c>
      <c r="B901" s="11">
        <v>7207</v>
      </c>
      <c r="C901" s="11" t="s">
        <v>1642</v>
      </c>
      <c r="D901" s="11" t="s">
        <v>1643</v>
      </c>
      <c r="E901" s="4" t="s">
        <v>1552</v>
      </c>
      <c r="F901" s="11" t="s">
        <v>2167</v>
      </c>
      <c r="G901" s="11" t="s">
        <v>2168</v>
      </c>
      <c r="H901" s="11" t="s">
        <v>511</v>
      </c>
      <c r="I901" s="11" t="s">
        <v>1154</v>
      </c>
      <c r="J901" s="11" t="s">
        <v>31</v>
      </c>
      <c r="K901" s="11" t="s">
        <v>31</v>
      </c>
      <c r="L901" s="11" t="s">
        <v>517</v>
      </c>
      <c r="M901" s="11" t="s">
        <v>32</v>
      </c>
      <c r="N901" s="11" t="s">
        <v>634</v>
      </c>
      <c r="O901" s="11" t="s">
        <v>312</v>
      </c>
      <c r="P901" s="11" t="s">
        <v>2169</v>
      </c>
      <c r="Q901" s="11" t="s">
        <v>358</v>
      </c>
      <c r="R901" s="11" t="s">
        <v>596</v>
      </c>
      <c r="S901" s="11" t="s">
        <v>35</v>
      </c>
      <c r="T901" s="158">
        <v>2.8690000000000002</v>
      </c>
      <c r="U901" s="11" t="s">
        <v>2170</v>
      </c>
      <c r="V901" s="174">
        <v>1.0800000000000001E-2</v>
      </c>
      <c r="W901" s="189">
        <v>5.0319999999999997E-2</v>
      </c>
      <c r="X901" s="4" t="s">
        <v>602</v>
      </c>
      <c r="Y901" s="4" t="s">
        <v>312</v>
      </c>
      <c r="Z901" s="158">
        <v>113817.38</v>
      </c>
      <c r="AA901" s="158">
        <v>1</v>
      </c>
      <c r="AB901" s="158">
        <v>89.46</v>
      </c>
      <c r="AD901" s="158">
        <v>101.821</v>
      </c>
      <c r="AG901" s="11" t="s">
        <v>37</v>
      </c>
      <c r="AH901" s="189">
        <v>1.01E-4</v>
      </c>
      <c r="AI901" s="189">
        <v>4.5444198016254701E-3</v>
      </c>
      <c r="AJ901" s="189">
        <v>1.04717920020919E-3</v>
      </c>
    </row>
    <row r="902" spans="1:36">
      <c r="A902" s="11" t="s">
        <v>256</v>
      </c>
      <c r="B902" s="11">
        <v>7207</v>
      </c>
      <c r="C902" s="11" t="s">
        <v>2171</v>
      </c>
      <c r="D902" s="11" t="s">
        <v>2172</v>
      </c>
      <c r="E902" s="4" t="s">
        <v>1552</v>
      </c>
      <c r="F902" s="11" t="s">
        <v>2173</v>
      </c>
      <c r="G902" s="11" t="s">
        <v>2174</v>
      </c>
      <c r="H902" s="11" t="s">
        <v>511</v>
      </c>
      <c r="I902" s="11" t="s">
        <v>945</v>
      </c>
      <c r="J902" s="11" t="s">
        <v>31</v>
      </c>
      <c r="K902" s="11" t="s">
        <v>31</v>
      </c>
      <c r="L902" s="11" t="s">
        <v>517</v>
      </c>
      <c r="M902" s="11" t="s">
        <v>32</v>
      </c>
      <c r="N902" s="11" t="s">
        <v>666</v>
      </c>
      <c r="O902" s="11" t="s">
        <v>312</v>
      </c>
      <c r="P902" s="11" t="s">
        <v>2161</v>
      </c>
      <c r="Q902" s="11" t="s">
        <v>358</v>
      </c>
      <c r="R902" s="11" t="s">
        <v>596</v>
      </c>
      <c r="S902" s="11" t="s">
        <v>35</v>
      </c>
      <c r="T902" s="158">
        <v>1.915</v>
      </c>
      <c r="U902" s="11" t="s">
        <v>2175</v>
      </c>
      <c r="V902" s="174">
        <v>3.2000000000000001E-2</v>
      </c>
      <c r="W902" s="189">
        <v>3.2629999999999999E-2</v>
      </c>
      <c r="X902" s="4" t="s">
        <v>602</v>
      </c>
      <c r="Y902" s="4" t="s">
        <v>312</v>
      </c>
      <c r="Z902" s="158">
        <v>8000</v>
      </c>
      <c r="AA902" s="158">
        <v>1</v>
      </c>
      <c r="AB902" s="158">
        <v>105.65</v>
      </c>
      <c r="AD902" s="158">
        <v>8.452</v>
      </c>
      <c r="AG902" s="11" t="s">
        <v>37</v>
      </c>
      <c r="AH902" s="189">
        <v>1.0000000000000001E-5</v>
      </c>
      <c r="AI902" s="189">
        <v>3.7722498841309302E-4</v>
      </c>
      <c r="AJ902" s="189">
        <v>8.6924663413369104E-5</v>
      </c>
    </row>
    <row r="903" spans="1:36">
      <c r="A903" s="11" t="s">
        <v>256</v>
      </c>
      <c r="B903" s="11">
        <v>7207</v>
      </c>
      <c r="C903" s="11" t="s">
        <v>2176</v>
      </c>
      <c r="D903" s="11" t="s">
        <v>2177</v>
      </c>
      <c r="E903" s="4" t="s">
        <v>1552</v>
      </c>
      <c r="F903" s="11" t="s">
        <v>2178</v>
      </c>
      <c r="G903" s="11" t="s">
        <v>2179</v>
      </c>
      <c r="H903" s="11" t="s">
        <v>511</v>
      </c>
      <c r="I903" s="11" t="s">
        <v>1154</v>
      </c>
      <c r="J903" s="11" t="s">
        <v>31</v>
      </c>
      <c r="K903" s="11" t="s">
        <v>31</v>
      </c>
      <c r="L903" s="11" t="s">
        <v>517</v>
      </c>
      <c r="M903" s="11" t="s">
        <v>32</v>
      </c>
      <c r="N903" s="11" t="s">
        <v>639</v>
      </c>
      <c r="O903" s="11" t="s">
        <v>312</v>
      </c>
      <c r="P903" s="27" t="s">
        <v>2165</v>
      </c>
      <c r="Q903" s="27" t="s">
        <v>2165</v>
      </c>
      <c r="R903" s="16" t="s">
        <v>2165</v>
      </c>
      <c r="S903" s="11" t="s">
        <v>35</v>
      </c>
      <c r="T903" s="158">
        <v>2.4489999999999998</v>
      </c>
      <c r="U903" s="11" t="s">
        <v>2180</v>
      </c>
      <c r="V903" s="174">
        <v>8.2500000000000004E-2</v>
      </c>
      <c r="W903" s="189">
        <v>7.1529999999999996E-2</v>
      </c>
      <c r="X903" s="4" t="s">
        <v>602</v>
      </c>
      <c r="Y903" s="4" t="s">
        <v>312</v>
      </c>
      <c r="Z903" s="158">
        <v>30560</v>
      </c>
      <c r="AA903" s="158">
        <v>1</v>
      </c>
      <c r="AB903" s="158">
        <v>102.96</v>
      </c>
      <c r="AD903" s="158">
        <v>31.465</v>
      </c>
      <c r="AG903" s="11" t="s">
        <v>37</v>
      </c>
      <c r="AH903" s="189">
        <v>3.8000000000000002E-4</v>
      </c>
      <c r="AI903" s="189">
        <v>1.4043095500500299E-3</v>
      </c>
      <c r="AJ903" s="189">
        <v>3.2359769027974099E-4</v>
      </c>
    </row>
    <row r="904" spans="1:36">
      <c r="A904" s="11" t="s">
        <v>256</v>
      </c>
      <c r="B904" s="11">
        <v>7207</v>
      </c>
      <c r="C904" s="11" t="s">
        <v>1646</v>
      </c>
      <c r="D904" s="11" t="s">
        <v>1647</v>
      </c>
      <c r="E904" s="4" t="s">
        <v>1552</v>
      </c>
      <c r="F904" s="11" t="s">
        <v>2181</v>
      </c>
      <c r="G904" s="11" t="s">
        <v>2182</v>
      </c>
      <c r="H904" s="11" t="s">
        <v>511</v>
      </c>
      <c r="I904" s="11" t="s">
        <v>1154</v>
      </c>
      <c r="J904" s="11" t="s">
        <v>31</v>
      </c>
      <c r="K904" s="11" t="s">
        <v>31</v>
      </c>
      <c r="L904" s="11" t="s">
        <v>517</v>
      </c>
      <c r="M904" s="11" t="s">
        <v>32</v>
      </c>
      <c r="N904" s="11" t="s">
        <v>629</v>
      </c>
      <c r="O904" s="11" t="s">
        <v>312</v>
      </c>
      <c r="P904" s="27" t="s">
        <v>2165</v>
      </c>
      <c r="Q904" s="27" t="s">
        <v>2165</v>
      </c>
      <c r="R904" s="16" t="s">
        <v>2165</v>
      </c>
      <c r="S904" s="11" t="s">
        <v>35</v>
      </c>
      <c r="T904" s="158">
        <v>2.91</v>
      </c>
      <c r="U904" s="11" t="s">
        <v>2183</v>
      </c>
      <c r="V904" s="174">
        <v>6.0499999999999998E-2</v>
      </c>
      <c r="W904" s="189">
        <v>7.0010000000000003E-2</v>
      </c>
      <c r="X904" s="4" t="s">
        <v>602</v>
      </c>
      <c r="Y904" s="4" t="s">
        <v>312</v>
      </c>
      <c r="Z904" s="158">
        <v>51000</v>
      </c>
      <c r="AA904" s="158">
        <v>1</v>
      </c>
      <c r="AB904" s="158">
        <v>99.16</v>
      </c>
      <c r="AD904" s="158">
        <v>50.572000000000003</v>
      </c>
      <c r="AG904" s="11" t="s">
        <v>37</v>
      </c>
      <c r="AH904" s="189">
        <v>2.32E-4</v>
      </c>
      <c r="AI904" s="189">
        <v>2.2570836753468501E-3</v>
      </c>
      <c r="AJ904" s="189">
        <v>5.20104035527158E-4</v>
      </c>
    </row>
    <row r="905" spans="1:36">
      <c r="A905" s="11" t="s">
        <v>256</v>
      </c>
      <c r="B905" s="11">
        <v>7207</v>
      </c>
      <c r="C905" s="11" t="s">
        <v>1646</v>
      </c>
      <c r="D905" s="11" t="s">
        <v>1647</v>
      </c>
      <c r="E905" s="4" t="s">
        <v>1552</v>
      </c>
      <c r="F905" s="11" t="s">
        <v>2184</v>
      </c>
      <c r="G905" s="11" t="s">
        <v>2185</v>
      </c>
      <c r="H905" s="11" t="s">
        <v>511</v>
      </c>
      <c r="I905" s="11" t="s">
        <v>1154</v>
      </c>
      <c r="J905" s="11" t="s">
        <v>31</v>
      </c>
      <c r="K905" s="11" t="s">
        <v>31</v>
      </c>
      <c r="L905" s="11" t="s">
        <v>517</v>
      </c>
      <c r="M905" s="11" t="s">
        <v>32</v>
      </c>
      <c r="N905" s="11" t="s">
        <v>629</v>
      </c>
      <c r="O905" s="11" t="s">
        <v>312</v>
      </c>
      <c r="P905" s="27" t="s">
        <v>2165</v>
      </c>
      <c r="Q905" s="27" t="s">
        <v>2165</v>
      </c>
      <c r="R905" s="16" t="s">
        <v>2165</v>
      </c>
      <c r="S905" s="11" t="s">
        <v>35</v>
      </c>
      <c r="T905" s="158">
        <v>3.544</v>
      </c>
      <c r="U905" s="11" t="s">
        <v>149</v>
      </c>
      <c r="V905" s="174">
        <v>5.5E-2</v>
      </c>
      <c r="W905" s="189">
        <v>7.1720000000000006E-2</v>
      </c>
      <c r="X905" s="4" t="s">
        <v>602</v>
      </c>
      <c r="Y905" s="4" t="s">
        <v>312</v>
      </c>
      <c r="Z905" s="158">
        <v>1200</v>
      </c>
      <c r="AA905" s="158">
        <v>1</v>
      </c>
      <c r="AB905" s="158">
        <v>96.11</v>
      </c>
      <c r="AD905" s="158">
        <v>1.153</v>
      </c>
      <c r="AG905" s="11" t="s">
        <v>37</v>
      </c>
      <c r="AH905" s="189">
        <v>6.0000000000000002E-6</v>
      </c>
      <c r="AI905" s="189">
        <v>5.1474340231494103E-5</v>
      </c>
      <c r="AJ905" s="189">
        <v>1.1861329011820499E-5</v>
      </c>
    </row>
    <row r="906" spans="1:36">
      <c r="A906" s="11" t="s">
        <v>256</v>
      </c>
      <c r="B906" s="11">
        <v>7207</v>
      </c>
      <c r="C906" s="11" t="s">
        <v>1646</v>
      </c>
      <c r="D906" s="11" t="s">
        <v>1647</v>
      </c>
      <c r="E906" s="4" t="s">
        <v>1552</v>
      </c>
      <c r="F906" s="11" t="s">
        <v>2186</v>
      </c>
      <c r="G906" s="11" t="s">
        <v>2187</v>
      </c>
      <c r="H906" s="11" t="s">
        <v>511</v>
      </c>
      <c r="I906" s="11" t="s">
        <v>1154</v>
      </c>
      <c r="J906" s="11" t="s">
        <v>31</v>
      </c>
      <c r="K906" s="11" t="s">
        <v>31</v>
      </c>
      <c r="L906" s="11" t="s">
        <v>517</v>
      </c>
      <c r="M906" s="11" t="s">
        <v>32</v>
      </c>
      <c r="N906" s="11" t="s">
        <v>629</v>
      </c>
      <c r="O906" s="11" t="s">
        <v>312</v>
      </c>
      <c r="P906" s="27" t="s">
        <v>2165</v>
      </c>
      <c r="Q906" s="27" t="s">
        <v>2165</v>
      </c>
      <c r="R906" s="16" t="s">
        <v>2165</v>
      </c>
      <c r="S906" s="11" t="s">
        <v>35</v>
      </c>
      <c r="T906" s="158">
        <v>0.98599999999999999</v>
      </c>
      <c r="U906" s="11" t="s">
        <v>2188</v>
      </c>
      <c r="V906" s="174">
        <v>3.5499999999999997E-2</v>
      </c>
      <c r="W906" s="189">
        <v>5.9659999999999998E-2</v>
      </c>
      <c r="X906" s="4" t="s">
        <v>602</v>
      </c>
      <c r="Y906" s="4" t="s">
        <v>312</v>
      </c>
      <c r="Z906" s="158">
        <v>152000</v>
      </c>
      <c r="AA906" s="158">
        <v>1</v>
      </c>
      <c r="AB906" s="158">
        <v>97.8</v>
      </c>
      <c r="AD906" s="158">
        <v>148.65600000000001</v>
      </c>
      <c r="AG906" s="11" t="s">
        <v>37</v>
      </c>
      <c r="AH906" s="189">
        <v>5.31E-4</v>
      </c>
      <c r="AI906" s="189">
        <v>6.6347323565471798E-3</v>
      </c>
      <c r="AJ906" s="189">
        <v>1.5288538528606E-3</v>
      </c>
    </row>
    <row r="907" spans="1:36">
      <c r="A907" s="11" t="s">
        <v>256</v>
      </c>
      <c r="B907" s="11">
        <v>7207</v>
      </c>
      <c r="C907" s="11" t="s">
        <v>2189</v>
      </c>
      <c r="D907" s="11" t="s">
        <v>2190</v>
      </c>
      <c r="E907" s="4" t="s">
        <v>1552</v>
      </c>
      <c r="F907" s="11" t="s">
        <v>2191</v>
      </c>
      <c r="G907" s="11" t="s">
        <v>2192</v>
      </c>
      <c r="H907" s="11" t="s">
        <v>511</v>
      </c>
      <c r="I907" s="11" t="s">
        <v>945</v>
      </c>
      <c r="J907" s="11" t="s">
        <v>31</v>
      </c>
      <c r="K907" s="11" t="s">
        <v>31</v>
      </c>
      <c r="L907" s="11" t="s">
        <v>517</v>
      </c>
      <c r="M907" s="11" t="s">
        <v>32</v>
      </c>
      <c r="N907" s="11" t="s">
        <v>639</v>
      </c>
      <c r="O907" s="11" t="s">
        <v>312</v>
      </c>
      <c r="P907" s="11" t="s">
        <v>2161</v>
      </c>
      <c r="Q907" s="11" t="s">
        <v>358</v>
      </c>
      <c r="R907" s="11" t="s">
        <v>596</v>
      </c>
      <c r="S907" s="11" t="s">
        <v>35</v>
      </c>
      <c r="T907" s="158">
        <v>4.2439999999999998</v>
      </c>
      <c r="U907" s="11" t="s">
        <v>2193</v>
      </c>
      <c r="V907" s="174">
        <v>0.03</v>
      </c>
      <c r="W907" s="189">
        <v>3.5970000000000002E-2</v>
      </c>
      <c r="X907" s="4" t="s">
        <v>602</v>
      </c>
      <c r="Y907" s="4" t="s">
        <v>312</v>
      </c>
      <c r="Z907" s="158">
        <v>12162</v>
      </c>
      <c r="AA907" s="158">
        <v>1</v>
      </c>
      <c r="AB907" s="158">
        <v>100.49</v>
      </c>
      <c r="AD907" s="158">
        <v>12.222</v>
      </c>
      <c r="AG907" s="11" t="s">
        <v>37</v>
      </c>
      <c r="AH907" s="189">
        <v>2.6999999999999999E-5</v>
      </c>
      <c r="AI907" s="189">
        <v>5.4546741358193704E-4</v>
      </c>
      <c r="AJ907" s="189">
        <v>1.25693081807847E-4</v>
      </c>
    </row>
    <row r="908" spans="1:36">
      <c r="A908" s="11" t="s">
        <v>256</v>
      </c>
      <c r="B908" s="11">
        <v>7207</v>
      </c>
      <c r="C908" s="11" t="s">
        <v>2189</v>
      </c>
      <c r="D908" s="11" t="s">
        <v>2190</v>
      </c>
      <c r="E908" s="4" t="s">
        <v>1552</v>
      </c>
      <c r="F908" s="11" t="s">
        <v>2194</v>
      </c>
      <c r="G908" s="11" t="s">
        <v>2192</v>
      </c>
      <c r="H908" s="11" t="s">
        <v>511</v>
      </c>
      <c r="I908" s="11" t="s">
        <v>945</v>
      </c>
      <c r="J908" s="11" t="s">
        <v>31</v>
      </c>
      <c r="K908" s="18" t="s">
        <v>31</v>
      </c>
      <c r="L908" s="16" t="s">
        <v>519</v>
      </c>
      <c r="M908" s="11" t="s">
        <v>342</v>
      </c>
      <c r="N908" s="11" t="s">
        <v>639</v>
      </c>
      <c r="O908" s="11" t="s">
        <v>312</v>
      </c>
      <c r="P908" s="11" t="s">
        <v>2161</v>
      </c>
      <c r="Q908" s="11" t="s">
        <v>358</v>
      </c>
      <c r="R908" s="11" t="s">
        <v>596</v>
      </c>
      <c r="S908" s="11" t="s">
        <v>35</v>
      </c>
      <c r="T908" s="158">
        <v>4.21</v>
      </c>
      <c r="U908" s="11" t="s">
        <v>2193</v>
      </c>
      <c r="V908" s="174">
        <v>0.03</v>
      </c>
      <c r="W908" s="189">
        <v>3.4880000000000001E-2</v>
      </c>
      <c r="X908" s="4" t="s">
        <v>602</v>
      </c>
      <c r="Y908" s="4" t="s">
        <v>312</v>
      </c>
      <c r="Z908" s="158">
        <v>35431</v>
      </c>
      <c r="AA908" s="158">
        <v>1</v>
      </c>
      <c r="AB908" s="158">
        <v>100.247</v>
      </c>
      <c r="AD908" s="158">
        <v>35.518000000000001</v>
      </c>
      <c r="AG908" s="11" t="s">
        <v>37</v>
      </c>
      <c r="AH908" s="189">
        <v>0</v>
      </c>
      <c r="AI908" s="189">
        <v>1.58523975557223E-3</v>
      </c>
      <c r="AJ908" s="189">
        <v>3.6528977775912699E-4</v>
      </c>
    </row>
    <row r="909" spans="1:36">
      <c r="A909" s="11" t="s">
        <v>256</v>
      </c>
      <c r="B909" s="11">
        <v>7207</v>
      </c>
      <c r="C909" s="11" t="s">
        <v>2189</v>
      </c>
      <c r="D909" s="11" t="s">
        <v>2190</v>
      </c>
      <c r="E909" s="4" t="s">
        <v>1552</v>
      </c>
      <c r="F909" s="11" t="s">
        <v>2195</v>
      </c>
      <c r="G909" s="11" t="s">
        <v>2192</v>
      </c>
      <c r="H909" s="11" t="s">
        <v>511</v>
      </c>
      <c r="I909" s="11" t="s">
        <v>945</v>
      </c>
      <c r="J909" s="11" t="s">
        <v>31</v>
      </c>
      <c r="K909" s="11" t="s">
        <v>31</v>
      </c>
      <c r="L909" s="16" t="s">
        <v>519</v>
      </c>
      <c r="M909" s="11" t="s">
        <v>32</v>
      </c>
      <c r="N909" s="11" t="s">
        <v>639</v>
      </c>
      <c r="O909" s="11" t="s">
        <v>312</v>
      </c>
      <c r="P909" s="11" t="s">
        <v>2161</v>
      </c>
      <c r="Q909" s="11" t="s">
        <v>358</v>
      </c>
      <c r="R909" s="11" t="s">
        <v>596</v>
      </c>
      <c r="S909" s="11" t="s">
        <v>35</v>
      </c>
      <c r="T909" s="158">
        <v>4.21</v>
      </c>
      <c r="U909" s="11" t="s">
        <v>2193</v>
      </c>
      <c r="V909" s="174">
        <v>0.03</v>
      </c>
      <c r="W909" s="189">
        <v>3.4880000000000001E-2</v>
      </c>
      <c r="X909" s="4" t="s">
        <v>602</v>
      </c>
      <c r="Y909" s="4" t="s">
        <v>312</v>
      </c>
      <c r="Z909" s="158">
        <v>19407</v>
      </c>
      <c r="AA909" s="158">
        <v>1</v>
      </c>
      <c r="AB909" s="158">
        <v>100.22199999999999</v>
      </c>
      <c r="AD909" s="158">
        <v>19.45</v>
      </c>
      <c r="AG909" s="11" t="s">
        <v>37</v>
      </c>
      <c r="AH909" s="189">
        <v>0</v>
      </c>
      <c r="AI909" s="189">
        <v>8.6808966178249702E-4</v>
      </c>
      <c r="AJ909" s="189">
        <v>2.0003553311912601E-4</v>
      </c>
    </row>
    <row r="910" spans="1:36">
      <c r="A910" s="11" t="s">
        <v>256</v>
      </c>
      <c r="B910" s="11">
        <v>7207</v>
      </c>
      <c r="C910" s="11" t="s">
        <v>2189</v>
      </c>
      <c r="D910" s="11" t="s">
        <v>2190</v>
      </c>
      <c r="E910" s="4" t="s">
        <v>1552</v>
      </c>
      <c r="F910" s="11" t="s">
        <v>2196</v>
      </c>
      <c r="G910" s="11" t="s">
        <v>2197</v>
      </c>
      <c r="H910" s="11" t="s">
        <v>511</v>
      </c>
      <c r="I910" s="11" t="s">
        <v>1154</v>
      </c>
      <c r="J910" s="11" t="s">
        <v>31</v>
      </c>
      <c r="K910" s="11" t="s">
        <v>31</v>
      </c>
      <c r="L910" s="11" t="s">
        <v>517</v>
      </c>
      <c r="M910" s="11" t="s">
        <v>32</v>
      </c>
      <c r="N910" s="11" t="s">
        <v>639</v>
      </c>
      <c r="O910" s="11" t="s">
        <v>312</v>
      </c>
      <c r="P910" s="11" t="s">
        <v>2161</v>
      </c>
      <c r="Q910" s="11" t="s">
        <v>358</v>
      </c>
      <c r="R910" s="11" t="s">
        <v>596</v>
      </c>
      <c r="S910" s="11" t="s">
        <v>35</v>
      </c>
      <c r="T910" s="158">
        <v>1.3160000000000001</v>
      </c>
      <c r="U910" s="11" t="s">
        <v>2198</v>
      </c>
      <c r="V910" s="174">
        <v>3.9E-2</v>
      </c>
      <c r="W910" s="189">
        <v>5.5669999999999997E-2</v>
      </c>
      <c r="X910" s="4" t="s">
        <v>602</v>
      </c>
      <c r="Y910" s="4" t="s">
        <v>312</v>
      </c>
      <c r="Z910" s="158">
        <v>3200</v>
      </c>
      <c r="AA910" s="158">
        <v>1</v>
      </c>
      <c r="AB910" s="158">
        <v>98.89</v>
      </c>
      <c r="AD910" s="158">
        <v>3.1640000000000001</v>
      </c>
      <c r="AG910" s="11" t="s">
        <v>37</v>
      </c>
      <c r="AH910" s="189">
        <v>3.9999999999999998E-6</v>
      </c>
      <c r="AI910" s="189">
        <v>1.4123532079193899E-4</v>
      </c>
      <c r="AJ910" s="189">
        <v>3.25451205487859E-5</v>
      </c>
    </row>
    <row r="911" spans="1:36">
      <c r="A911" s="11" t="s">
        <v>256</v>
      </c>
      <c r="B911" s="11">
        <v>7207</v>
      </c>
      <c r="C911" s="11" t="s">
        <v>2199</v>
      </c>
      <c r="D911" s="11" t="s">
        <v>2200</v>
      </c>
      <c r="E911" s="4" t="s">
        <v>1552</v>
      </c>
      <c r="F911" s="11" t="s">
        <v>2201</v>
      </c>
      <c r="G911" s="11" t="s">
        <v>2202</v>
      </c>
      <c r="H911" s="11" t="s">
        <v>511</v>
      </c>
      <c r="I911" s="11" t="s">
        <v>1154</v>
      </c>
      <c r="J911" s="11" t="s">
        <v>31</v>
      </c>
      <c r="K911" s="11" t="s">
        <v>31</v>
      </c>
      <c r="L911" s="11" t="s">
        <v>517</v>
      </c>
      <c r="M911" s="11" t="s">
        <v>32</v>
      </c>
      <c r="N911" s="11" t="s">
        <v>639</v>
      </c>
      <c r="O911" s="11" t="s">
        <v>312</v>
      </c>
      <c r="P911" s="11" t="s">
        <v>168</v>
      </c>
      <c r="Q911" s="11" t="s">
        <v>604</v>
      </c>
      <c r="R911" s="11" t="s">
        <v>596</v>
      </c>
      <c r="S911" s="11" t="s">
        <v>35</v>
      </c>
      <c r="T911" s="158">
        <v>1.4590000000000001</v>
      </c>
      <c r="U911" s="11" t="s">
        <v>2203</v>
      </c>
      <c r="V911" s="174">
        <v>0.04</v>
      </c>
      <c r="W911" s="189">
        <v>4.9189999999999998E-2</v>
      </c>
      <c r="X911" s="4" t="s">
        <v>602</v>
      </c>
      <c r="Y911" s="4" t="s">
        <v>312</v>
      </c>
      <c r="Z911" s="158">
        <v>15333.35</v>
      </c>
      <c r="AA911" s="158">
        <v>1</v>
      </c>
      <c r="AB911" s="158">
        <v>98.76</v>
      </c>
      <c r="AD911" s="158">
        <v>15.143000000000001</v>
      </c>
      <c r="AG911" s="11" t="s">
        <v>37</v>
      </c>
      <c r="AH911" s="189">
        <v>1.16E-4</v>
      </c>
      <c r="AI911" s="189">
        <v>6.7586365992196599E-4</v>
      </c>
      <c r="AJ911" s="189">
        <v>1.5574053404889901E-4</v>
      </c>
    </row>
    <row r="912" spans="1:36">
      <c r="A912" s="11" t="s">
        <v>256</v>
      </c>
      <c r="B912" s="11">
        <v>7207</v>
      </c>
      <c r="C912" s="11" t="s">
        <v>1662</v>
      </c>
      <c r="D912" s="11" t="s">
        <v>1663</v>
      </c>
      <c r="E912" s="4" t="s">
        <v>1552</v>
      </c>
      <c r="F912" s="11" t="s">
        <v>2204</v>
      </c>
      <c r="G912" s="11" t="s">
        <v>2205</v>
      </c>
      <c r="H912" s="11" t="s">
        <v>511</v>
      </c>
      <c r="I912" s="11" t="s">
        <v>1154</v>
      </c>
      <c r="J912" s="11" t="s">
        <v>31</v>
      </c>
      <c r="K912" s="11" t="s">
        <v>31</v>
      </c>
      <c r="L912" s="11" t="s">
        <v>517</v>
      </c>
      <c r="M912" s="11" t="s">
        <v>32</v>
      </c>
      <c r="N912" s="11" t="s">
        <v>653</v>
      </c>
      <c r="O912" s="11" t="s">
        <v>312</v>
      </c>
      <c r="P912" s="11" t="s">
        <v>2206</v>
      </c>
      <c r="Q912" s="11" t="s">
        <v>604</v>
      </c>
      <c r="R912" s="11" t="s">
        <v>596</v>
      </c>
      <c r="S912" s="11" t="s">
        <v>35</v>
      </c>
      <c r="T912" s="158">
        <v>8.0000000000000002E-3</v>
      </c>
      <c r="U912" s="11" t="s">
        <v>361</v>
      </c>
      <c r="V912" s="174">
        <v>5.5500000000000001E-2</v>
      </c>
      <c r="W912" s="189">
        <v>-0.20596</v>
      </c>
      <c r="X912" s="4" t="s">
        <v>602</v>
      </c>
      <c r="Y912" s="4" t="s">
        <v>312</v>
      </c>
      <c r="Z912" s="158">
        <v>67000.59</v>
      </c>
      <c r="AA912" s="158">
        <v>1</v>
      </c>
      <c r="AB912" s="158">
        <v>102.57</v>
      </c>
      <c r="AD912" s="158">
        <v>68.722999999999999</v>
      </c>
      <c r="AG912" s="11" t="s">
        <v>37</v>
      </c>
      <c r="AH912" s="189">
        <v>1.9810000000000001E-3</v>
      </c>
      <c r="AI912" s="189">
        <v>3.06718483362889E-3</v>
      </c>
      <c r="AJ912" s="189">
        <v>7.0677716874317298E-4</v>
      </c>
    </row>
    <row r="913" spans="1:36">
      <c r="A913" s="11" t="s">
        <v>256</v>
      </c>
      <c r="B913" s="11">
        <v>7207</v>
      </c>
      <c r="C913" s="11" t="s">
        <v>2207</v>
      </c>
      <c r="D913" s="11" t="s">
        <v>2208</v>
      </c>
      <c r="E913" s="4" t="s">
        <v>1552</v>
      </c>
      <c r="F913" s="11" t="s">
        <v>2209</v>
      </c>
      <c r="G913" s="11" t="s">
        <v>2210</v>
      </c>
      <c r="H913" s="11" t="s">
        <v>511</v>
      </c>
      <c r="I913" s="11" t="s">
        <v>1154</v>
      </c>
      <c r="J913" s="11" t="s">
        <v>31</v>
      </c>
      <c r="K913" s="11" t="s">
        <v>489</v>
      </c>
      <c r="L913" s="11" t="s">
        <v>517</v>
      </c>
      <c r="M913" s="11" t="s">
        <v>32</v>
      </c>
      <c r="N913" s="11" t="s">
        <v>653</v>
      </c>
      <c r="O913" s="11" t="s">
        <v>312</v>
      </c>
      <c r="P913" s="27" t="s">
        <v>2165</v>
      </c>
      <c r="Q913" s="27" t="s">
        <v>2165</v>
      </c>
      <c r="R913" s="16" t="s">
        <v>2165</v>
      </c>
      <c r="S913" s="11" t="s">
        <v>35</v>
      </c>
      <c r="T913" s="158">
        <v>0.68200000000000005</v>
      </c>
      <c r="U913" s="11" t="s">
        <v>2211</v>
      </c>
      <c r="V913" s="174">
        <v>7.2499999999999995E-2</v>
      </c>
      <c r="W913" s="189">
        <v>6.9190000000000002E-2</v>
      </c>
      <c r="X913" s="4" t="s">
        <v>602</v>
      </c>
      <c r="Y913" s="4" t="s">
        <v>312</v>
      </c>
      <c r="Z913" s="158">
        <v>65666.460000000006</v>
      </c>
      <c r="AA913" s="158">
        <v>1</v>
      </c>
      <c r="AB913" s="158">
        <v>102.43</v>
      </c>
      <c r="AD913" s="158">
        <v>67.262</v>
      </c>
      <c r="AG913" s="11" t="s">
        <v>37</v>
      </c>
      <c r="AH913" s="189">
        <v>4.4000000000000002E-4</v>
      </c>
      <c r="AI913" s="189">
        <v>3.0020072920274202E-3</v>
      </c>
      <c r="AJ913" s="189">
        <v>6.9175818527218702E-4</v>
      </c>
    </row>
    <row r="914" spans="1:36">
      <c r="A914" s="11" t="s">
        <v>256</v>
      </c>
      <c r="B914" s="11">
        <v>7207</v>
      </c>
      <c r="C914" s="11" t="s">
        <v>2212</v>
      </c>
      <c r="D914" s="11" t="s">
        <v>2213</v>
      </c>
      <c r="E914" s="4" t="s">
        <v>1552</v>
      </c>
      <c r="F914" s="11" t="s">
        <v>2214</v>
      </c>
      <c r="G914" s="11" t="s">
        <v>2215</v>
      </c>
      <c r="H914" s="11" t="s">
        <v>511</v>
      </c>
      <c r="I914" s="11" t="s">
        <v>1154</v>
      </c>
      <c r="J914" s="11" t="s">
        <v>31</v>
      </c>
      <c r="K914" s="11" t="s">
        <v>155</v>
      </c>
      <c r="L914" s="11" t="s">
        <v>517</v>
      </c>
      <c r="M914" s="11" t="s">
        <v>32</v>
      </c>
      <c r="N914" s="11" t="s">
        <v>631</v>
      </c>
      <c r="O914" s="11" t="s">
        <v>312</v>
      </c>
      <c r="P914" s="11" t="s">
        <v>2161</v>
      </c>
      <c r="Q914" s="11" t="s">
        <v>358</v>
      </c>
      <c r="R914" s="11" t="s">
        <v>596</v>
      </c>
      <c r="S914" s="11" t="s">
        <v>35</v>
      </c>
      <c r="T914" s="158">
        <v>0.95399999999999996</v>
      </c>
      <c r="U914" s="11" t="s">
        <v>2216</v>
      </c>
      <c r="V914" s="174">
        <v>4.7500000000000001E-2</v>
      </c>
      <c r="W914" s="189">
        <v>6.0749999999999998E-2</v>
      </c>
      <c r="X914" s="4" t="s">
        <v>602</v>
      </c>
      <c r="Y914" s="4" t="s">
        <v>312</v>
      </c>
      <c r="Z914" s="158">
        <v>206000.42</v>
      </c>
      <c r="AA914" s="158">
        <v>1</v>
      </c>
      <c r="AB914" s="158">
        <v>99.82</v>
      </c>
      <c r="AD914" s="158">
        <v>205.63</v>
      </c>
      <c r="AG914" s="11" t="s">
        <v>37</v>
      </c>
      <c r="AH914" s="189">
        <v>2.4899999999999998E-4</v>
      </c>
      <c r="AI914" s="189">
        <v>9.1775474132402505E-3</v>
      </c>
      <c r="AJ914" s="189">
        <v>2.1147995078802601E-3</v>
      </c>
    </row>
    <row r="915" spans="1:36">
      <c r="A915" s="11" t="s">
        <v>256</v>
      </c>
      <c r="B915" s="11">
        <v>7207</v>
      </c>
      <c r="C915" s="11" t="s">
        <v>2217</v>
      </c>
      <c r="D915" s="11" t="s">
        <v>2218</v>
      </c>
      <c r="E915" s="4" t="s">
        <v>504</v>
      </c>
      <c r="F915" s="11" t="s">
        <v>2219</v>
      </c>
      <c r="G915" s="11" t="s">
        <v>2220</v>
      </c>
      <c r="H915" s="11" t="s">
        <v>511</v>
      </c>
      <c r="I915" s="11" t="s">
        <v>1154</v>
      </c>
      <c r="J915" s="11" t="s">
        <v>31</v>
      </c>
      <c r="K915" s="11" t="s">
        <v>31</v>
      </c>
      <c r="L915" s="11" t="s">
        <v>517</v>
      </c>
      <c r="M915" s="11" t="s">
        <v>32</v>
      </c>
      <c r="N915" s="11" t="s">
        <v>653</v>
      </c>
      <c r="O915" s="11" t="s">
        <v>312</v>
      </c>
      <c r="P915" s="11" t="s">
        <v>2221</v>
      </c>
      <c r="Q915" s="11" t="s">
        <v>604</v>
      </c>
      <c r="R915" s="11" t="s">
        <v>596</v>
      </c>
      <c r="S915" s="11" t="s">
        <v>35</v>
      </c>
      <c r="T915" s="158">
        <v>0.59899999999999998</v>
      </c>
      <c r="U915" s="11" t="s">
        <v>2222</v>
      </c>
      <c r="V915" s="174">
        <v>7.7499999999999999E-2</v>
      </c>
      <c r="W915" s="189">
        <v>7.6840000000000006E-2</v>
      </c>
      <c r="X915" s="4" t="s">
        <v>602</v>
      </c>
      <c r="Y915" s="4" t="s">
        <v>312</v>
      </c>
      <c r="Z915" s="158">
        <v>49555</v>
      </c>
      <c r="AA915" s="158">
        <v>1</v>
      </c>
      <c r="AB915" s="158">
        <v>103</v>
      </c>
      <c r="AD915" s="158">
        <v>51.042000000000002</v>
      </c>
      <c r="AG915" s="11" t="s">
        <v>37</v>
      </c>
      <c r="AH915" s="189">
        <v>3.3100000000000002E-4</v>
      </c>
      <c r="AI915" s="189">
        <v>2.2780626869184999E-3</v>
      </c>
      <c r="AJ915" s="189">
        <v>5.2493826861251696E-4</v>
      </c>
    </row>
    <row r="916" spans="1:36">
      <c r="A916" s="11" t="s">
        <v>256</v>
      </c>
      <c r="B916" s="11">
        <v>7207</v>
      </c>
      <c r="C916" s="11" t="s">
        <v>1670</v>
      </c>
      <c r="D916" s="11" t="s">
        <v>1671</v>
      </c>
      <c r="E916" s="4" t="s">
        <v>1552</v>
      </c>
      <c r="F916" s="11" t="s">
        <v>2223</v>
      </c>
      <c r="G916" s="11" t="s">
        <v>2224</v>
      </c>
      <c r="H916" s="11" t="s">
        <v>511</v>
      </c>
      <c r="I916" s="11" t="s">
        <v>1154</v>
      </c>
      <c r="J916" s="11" t="s">
        <v>31</v>
      </c>
      <c r="K916" s="11" t="s">
        <v>31</v>
      </c>
      <c r="L916" s="11" t="s">
        <v>517</v>
      </c>
      <c r="M916" s="11" t="s">
        <v>32</v>
      </c>
      <c r="N916" s="11" t="s">
        <v>652</v>
      </c>
      <c r="O916" s="11" t="s">
        <v>312</v>
      </c>
      <c r="P916" s="11" t="s">
        <v>2225</v>
      </c>
      <c r="Q916" s="11" t="s">
        <v>604</v>
      </c>
      <c r="R916" s="11" t="s">
        <v>596</v>
      </c>
      <c r="S916" s="11" t="s">
        <v>35</v>
      </c>
      <c r="T916" s="158">
        <v>0.99099999999999999</v>
      </c>
      <c r="U916" s="11" t="s">
        <v>2226</v>
      </c>
      <c r="V916" s="174">
        <v>3.39E-2</v>
      </c>
      <c r="W916" s="189">
        <v>4.795E-2</v>
      </c>
      <c r="X916" s="4" t="s">
        <v>602</v>
      </c>
      <c r="Y916" s="4" t="s">
        <v>312</v>
      </c>
      <c r="Z916" s="158">
        <v>3000</v>
      </c>
      <c r="AA916" s="158">
        <v>1</v>
      </c>
      <c r="AB916" s="158">
        <v>100.14</v>
      </c>
      <c r="AD916" s="158">
        <v>3.004</v>
      </c>
      <c r="AG916" s="11" t="s">
        <v>37</v>
      </c>
      <c r="AH916" s="189">
        <v>6.9999999999999999E-6</v>
      </c>
      <c r="AI916" s="189">
        <v>1.34081792497706E-4</v>
      </c>
      <c r="AJ916" s="189">
        <v>3.08967195724614E-5</v>
      </c>
    </row>
    <row r="917" spans="1:36">
      <c r="A917" s="11" t="s">
        <v>256</v>
      </c>
      <c r="B917" s="11">
        <v>7207</v>
      </c>
      <c r="C917" s="11" t="s">
        <v>1674</v>
      </c>
      <c r="D917" s="11" t="s">
        <v>1675</v>
      </c>
      <c r="E917" s="4" t="s">
        <v>1552</v>
      </c>
      <c r="F917" s="11" t="s">
        <v>2227</v>
      </c>
      <c r="G917" s="11" t="s">
        <v>2228</v>
      </c>
      <c r="H917" s="11" t="s">
        <v>511</v>
      </c>
      <c r="I917" s="11" t="s">
        <v>1155</v>
      </c>
      <c r="J917" s="11" t="s">
        <v>31</v>
      </c>
      <c r="K917" s="11" t="s">
        <v>155</v>
      </c>
      <c r="L917" s="11" t="s">
        <v>517</v>
      </c>
      <c r="M917" s="11" t="s">
        <v>32</v>
      </c>
      <c r="N917" s="11" t="s">
        <v>629</v>
      </c>
      <c r="O917" s="11" t="s">
        <v>312</v>
      </c>
      <c r="P917" s="11" t="s">
        <v>174</v>
      </c>
      <c r="Q917" s="11" t="s">
        <v>604</v>
      </c>
      <c r="R917" s="11" t="s">
        <v>596</v>
      </c>
      <c r="S917" s="11" t="s">
        <v>35</v>
      </c>
      <c r="T917" s="158">
        <v>4.093</v>
      </c>
      <c r="U917" s="11" t="s">
        <v>2229</v>
      </c>
      <c r="V917" s="174">
        <v>7.4999999999999997E-3</v>
      </c>
      <c r="W917" s="189">
        <v>6.0040000000000003E-2</v>
      </c>
      <c r="X917" s="4" t="s">
        <v>602</v>
      </c>
      <c r="Y917" s="4" t="s">
        <v>312</v>
      </c>
      <c r="Z917" s="158">
        <v>105000</v>
      </c>
      <c r="AA917" s="158">
        <v>1</v>
      </c>
      <c r="AB917" s="158">
        <v>81.400000000000006</v>
      </c>
      <c r="AD917" s="158">
        <v>85.47</v>
      </c>
      <c r="AG917" s="11" t="s">
        <v>37</v>
      </c>
      <c r="AH917" s="189">
        <v>1.9799999999999999E-4</v>
      </c>
      <c r="AI917" s="189">
        <v>3.8146497585976199E-3</v>
      </c>
      <c r="AJ917" s="189">
        <v>8.7901691693571501E-4</v>
      </c>
    </row>
    <row r="918" spans="1:36">
      <c r="A918" s="11" t="s">
        <v>256</v>
      </c>
      <c r="B918" s="11">
        <v>7207</v>
      </c>
      <c r="C918" s="11" t="s">
        <v>2230</v>
      </c>
      <c r="D918" s="11" t="s">
        <v>2231</v>
      </c>
      <c r="E918" s="4" t="s">
        <v>504</v>
      </c>
      <c r="F918" s="11" t="s">
        <v>2232</v>
      </c>
      <c r="G918" s="11" t="s">
        <v>2233</v>
      </c>
      <c r="H918" s="11" t="s">
        <v>511</v>
      </c>
      <c r="I918" s="11" t="s">
        <v>1154</v>
      </c>
      <c r="J918" s="11" t="s">
        <v>31</v>
      </c>
      <c r="K918" s="11" t="s">
        <v>155</v>
      </c>
      <c r="L918" s="11" t="s">
        <v>517</v>
      </c>
      <c r="M918" s="11" t="s">
        <v>50</v>
      </c>
      <c r="N918" s="11" t="s">
        <v>653</v>
      </c>
      <c r="O918" s="11" t="s">
        <v>312</v>
      </c>
      <c r="P918" s="11" t="s">
        <v>2234</v>
      </c>
      <c r="Q918" s="11" t="s">
        <v>358</v>
      </c>
      <c r="R918" s="11" t="s">
        <v>596</v>
      </c>
      <c r="S918" s="11" t="s">
        <v>35</v>
      </c>
      <c r="T918" s="158">
        <v>1.8839999999999999</v>
      </c>
      <c r="U918" s="11" t="s">
        <v>2235</v>
      </c>
      <c r="V918" s="174">
        <v>7.2499999999999995E-2</v>
      </c>
      <c r="W918" s="189">
        <v>7.6039999999999996E-2</v>
      </c>
      <c r="X918" s="4" t="s">
        <v>602</v>
      </c>
      <c r="Y918" s="4" t="s">
        <v>312</v>
      </c>
      <c r="Z918" s="158">
        <v>18000</v>
      </c>
      <c r="AA918" s="158">
        <v>1</v>
      </c>
      <c r="AB918" s="158">
        <v>101.9</v>
      </c>
      <c r="AD918" s="158">
        <v>18.341999999999999</v>
      </c>
      <c r="AG918" s="11" t="s">
        <v>37</v>
      </c>
      <c r="AH918" s="189">
        <v>1.3799999999999999E-4</v>
      </c>
      <c r="AI918" s="189">
        <v>8.1862999733470795E-4</v>
      </c>
      <c r="AJ918" s="189">
        <v>1.88638449636538E-4</v>
      </c>
    </row>
    <row r="919" spans="1:36">
      <c r="A919" s="11" t="s">
        <v>256</v>
      </c>
      <c r="B919" s="11">
        <v>7207</v>
      </c>
      <c r="C919" s="11" t="s">
        <v>2853</v>
      </c>
      <c r="D919" s="11" t="s">
        <v>2854</v>
      </c>
      <c r="E919" s="4" t="s">
        <v>1552</v>
      </c>
      <c r="F919" s="11" t="s">
        <v>2855</v>
      </c>
      <c r="G919" s="11" t="s">
        <v>2856</v>
      </c>
      <c r="H919" s="11" t="s">
        <v>511</v>
      </c>
      <c r="I919" s="11" t="s">
        <v>1154</v>
      </c>
      <c r="J919" s="11" t="s">
        <v>31</v>
      </c>
      <c r="K919" s="11" t="s">
        <v>31</v>
      </c>
      <c r="L919" s="11" t="s">
        <v>517</v>
      </c>
      <c r="M919" s="11" t="s">
        <v>32</v>
      </c>
      <c r="N919" s="11" t="s">
        <v>631</v>
      </c>
      <c r="O919" s="11" t="s">
        <v>312</v>
      </c>
      <c r="P919" s="11" t="s">
        <v>2206</v>
      </c>
      <c r="Q919" s="11" t="s">
        <v>604</v>
      </c>
      <c r="R919" s="11" t="s">
        <v>596</v>
      </c>
      <c r="S919" s="11" t="s">
        <v>35</v>
      </c>
      <c r="T919" s="158">
        <v>0.247</v>
      </c>
      <c r="U919" s="11" t="s">
        <v>206</v>
      </c>
      <c r="V919" s="174">
        <v>3.2399999999999998E-2</v>
      </c>
      <c r="W919" s="189">
        <v>9.4060000000000005E-2</v>
      </c>
      <c r="X919" s="4" t="s">
        <v>602</v>
      </c>
      <c r="Y919" s="4" t="s">
        <v>312</v>
      </c>
      <c r="Z919" s="158">
        <v>9446.66</v>
      </c>
      <c r="AA919" s="158">
        <v>1</v>
      </c>
      <c r="AB919" s="158">
        <v>98.85</v>
      </c>
      <c r="AD919" s="158">
        <v>9.3379999999999992</v>
      </c>
      <c r="AG919" s="11" t="s">
        <v>37</v>
      </c>
      <c r="AH919" s="189">
        <v>1.2400000000000001E-4</v>
      </c>
      <c r="AI919" s="189">
        <v>4.16769495106299E-4</v>
      </c>
      <c r="AJ919" s="189">
        <v>9.60369784501197E-5</v>
      </c>
    </row>
    <row r="920" spans="1:36">
      <c r="A920" s="11" t="s">
        <v>256</v>
      </c>
      <c r="B920" s="11">
        <v>7207</v>
      </c>
      <c r="C920" s="11" t="s">
        <v>2236</v>
      </c>
      <c r="D920" s="11" t="s">
        <v>2237</v>
      </c>
      <c r="E920" s="4" t="s">
        <v>1552</v>
      </c>
      <c r="F920" s="11" t="s">
        <v>2238</v>
      </c>
      <c r="G920" s="11" t="s">
        <v>2239</v>
      </c>
      <c r="H920" s="11" t="s">
        <v>511</v>
      </c>
      <c r="I920" s="11" t="s">
        <v>945</v>
      </c>
      <c r="J920" s="11" t="s">
        <v>31</v>
      </c>
      <c r="K920" s="11" t="s">
        <v>31</v>
      </c>
      <c r="L920" s="11" t="s">
        <v>517</v>
      </c>
      <c r="M920" s="11" t="s">
        <v>32</v>
      </c>
      <c r="N920" s="11" t="s">
        <v>653</v>
      </c>
      <c r="O920" s="11" t="s">
        <v>312</v>
      </c>
      <c r="P920" s="11" t="s">
        <v>174</v>
      </c>
      <c r="Q920" s="11" t="s">
        <v>604</v>
      </c>
      <c r="R920" s="11" t="s">
        <v>596</v>
      </c>
      <c r="S920" s="11" t="s">
        <v>35</v>
      </c>
      <c r="T920" s="158">
        <v>0.99099999999999999</v>
      </c>
      <c r="U920" s="11" t="s">
        <v>2188</v>
      </c>
      <c r="V920" s="174">
        <v>1.2200000000000001E-2</v>
      </c>
      <c r="W920" s="189">
        <v>3.0630000000000001E-2</v>
      </c>
      <c r="X920" s="4" t="s">
        <v>602</v>
      </c>
      <c r="Y920" s="4" t="s">
        <v>312</v>
      </c>
      <c r="Z920" s="158">
        <v>137862</v>
      </c>
      <c r="AA920" s="158">
        <v>1</v>
      </c>
      <c r="AB920" s="158">
        <v>111.42</v>
      </c>
      <c r="AD920" s="158">
        <v>153.60599999999999</v>
      </c>
      <c r="AG920" s="11" t="s">
        <v>37</v>
      </c>
      <c r="AH920" s="189">
        <v>2.9999999999999997E-4</v>
      </c>
      <c r="AI920" s="189">
        <v>6.85565089506311E-3</v>
      </c>
      <c r="AJ920" s="189">
        <v>1.5797605271057401E-3</v>
      </c>
    </row>
    <row r="921" spans="1:36">
      <c r="A921" s="11" t="s">
        <v>256</v>
      </c>
      <c r="B921" s="11">
        <v>7207</v>
      </c>
      <c r="C921" s="11" t="s">
        <v>2236</v>
      </c>
      <c r="D921" s="11" t="s">
        <v>2237</v>
      </c>
      <c r="E921" s="4" t="s">
        <v>1552</v>
      </c>
      <c r="F921" s="11" t="s">
        <v>2240</v>
      </c>
      <c r="G921" s="11" t="s">
        <v>2241</v>
      </c>
      <c r="H921" s="11" t="s">
        <v>511</v>
      </c>
      <c r="I921" s="11" t="s">
        <v>1154</v>
      </c>
      <c r="J921" s="11" t="s">
        <v>31</v>
      </c>
      <c r="K921" s="11" t="s">
        <v>31</v>
      </c>
      <c r="L921" s="11" t="s">
        <v>517</v>
      </c>
      <c r="M921" s="11" t="s">
        <v>32</v>
      </c>
      <c r="N921" s="11" t="s">
        <v>653</v>
      </c>
      <c r="O921" s="11" t="s">
        <v>312</v>
      </c>
      <c r="P921" s="11" t="s">
        <v>174</v>
      </c>
      <c r="Q921" s="11" t="s">
        <v>604</v>
      </c>
      <c r="R921" s="11" t="s">
        <v>596</v>
      </c>
      <c r="S921" s="11" t="s">
        <v>35</v>
      </c>
      <c r="T921" s="158">
        <v>2.7869999999999999</v>
      </c>
      <c r="U921" s="11" t="s">
        <v>2242</v>
      </c>
      <c r="V921" s="174">
        <v>2.3E-2</v>
      </c>
      <c r="W921" s="189">
        <v>5.5829999999999998E-2</v>
      </c>
      <c r="X921" s="4" t="s">
        <v>602</v>
      </c>
      <c r="Y921" s="4" t="s">
        <v>312</v>
      </c>
      <c r="Z921" s="158">
        <v>115000.56</v>
      </c>
      <c r="AA921" s="158">
        <v>1</v>
      </c>
      <c r="AB921" s="158">
        <v>92.02</v>
      </c>
      <c r="AD921" s="158">
        <v>105.824</v>
      </c>
      <c r="AG921" s="11" t="s">
        <v>37</v>
      </c>
      <c r="AH921" s="189">
        <v>1.5100000000000001E-4</v>
      </c>
      <c r="AI921" s="189">
        <v>4.7230565945814004E-3</v>
      </c>
      <c r="AJ921" s="189">
        <v>1.0883428123184E-3</v>
      </c>
    </row>
    <row r="922" spans="1:36">
      <c r="A922" s="11" t="s">
        <v>256</v>
      </c>
      <c r="B922" s="11">
        <v>7207</v>
      </c>
      <c r="C922" s="11" t="s">
        <v>2243</v>
      </c>
      <c r="D922" s="11" t="s">
        <v>2244</v>
      </c>
      <c r="E922" s="4" t="s">
        <v>1552</v>
      </c>
      <c r="F922" s="11" t="s">
        <v>2245</v>
      </c>
      <c r="G922" s="11" t="s">
        <v>2246</v>
      </c>
      <c r="H922" s="11" t="s">
        <v>511</v>
      </c>
      <c r="I922" s="11" t="s">
        <v>1154</v>
      </c>
      <c r="J922" s="11" t="s">
        <v>31</v>
      </c>
      <c r="K922" s="11" t="s">
        <v>31</v>
      </c>
      <c r="L922" s="11" t="s">
        <v>517</v>
      </c>
      <c r="M922" s="11" t="s">
        <v>32</v>
      </c>
      <c r="N922" s="11" t="s">
        <v>635</v>
      </c>
      <c r="O922" s="11" t="s">
        <v>312</v>
      </c>
      <c r="P922" s="27" t="s">
        <v>2165</v>
      </c>
      <c r="Q922" s="27" t="s">
        <v>2165</v>
      </c>
      <c r="R922" s="16" t="s">
        <v>2165</v>
      </c>
      <c r="S922" s="11" t="s">
        <v>35</v>
      </c>
      <c r="T922" s="158">
        <v>2.2999999999999998</v>
      </c>
      <c r="U922" s="11" t="s">
        <v>2180</v>
      </c>
      <c r="V922" s="174">
        <v>8.5000000000000006E-2</v>
      </c>
      <c r="W922" s="189">
        <v>7.4560000000000001E-2</v>
      </c>
      <c r="X922" s="4" t="s">
        <v>602</v>
      </c>
      <c r="Y922" s="4" t="s">
        <v>312</v>
      </c>
      <c r="Z922" s="158">
        <v>58000</v>
      </c>
      <c r="AA922" s="158">
        <v>1</v>
      </c>
      <c r="AB922" s="158">
        <v>102.62</v>
      </c>
      <c r="AD922" s="158">
        <v>59.52</v>
      </c>
      <c r="AG922" s="11" t="s">
        <v>37</v>
      </c>
      <c r="AH922" s="189">
        <v>4.46E-4</v>
      </c>
      <c r="AI922" s="189">
        <v>2.6564458613762298E-3</v>
      </c>
      <c r="AJ922" s="189">
        <v>6.1212981501400398E-4</v>
      </c>
    </row>
    <row r="923" spans="1:36">
      <c r="A923" s="11" t="s">
        <v>256</v>
      </c>
      <c r="B923" s="11">
        <v>7207</v>
      </c>
      <c r="C923" s="11" t="s">
        <v>2247</v>
      </c>
      <c r="D923" s="11" t="s">
        <v>2248</v>
      </c>
      <c r="E923" s="4" t="s">
        <v>1552</v>
      </c>
      <c r="F923" s="11" t="s">
        <v>2249</v>
      </c>
      <c r="G923" s="11" t="s">
        <v>2250</v>
      </c>
      <c r="H923" s="11" t="s">
        <v>511</v>
      </c>
      <c r="I923" s="11" t="s">
        <v>1154</v>
      </c>
      <c r="J923" s="11" t="s">
        <v>31</v>
      </c>
      <c r="K923" s="11" t="s">
        <v>31</v>
      </c>
      <c r="L923" s="11" t="s">
        <v>517</v>
      </c>
      <c r="M923" s="11" t="s">
        <v>32</v>
      </c>
      <c r="N923" s="11" t="s">
        <v>635</v>
      </c>
      <c r="O923" s="11" t="s">
        <v>312</v>
      </c>
      <c r="P923" s="11" t="s">
        <v>174</v>
      </c>
      <c r="Q923" s="11" t="s">
        <v>604</v>
      </c>
      <c r="R923" s="11" t="s">
        <v>596</v>
      </c>
      <c r="S923" s="11" t="s">
        <v>35</v>
      </c>
      <c r="T923" s="158">
        <v>0.73799999999999999</v>
      </c>
      <c r="U923" s="11" t="s">
        <v>2251</v>
      </c>
      <c r="V923" s="174">
        <v>2.75E-2</v>
      </c>
      <c r="W923" s="189">
        <v>5.3370000000000001E-2</v>
      </c>
      <c r="X923" s="4" t="s">
        <v>602</v>
      </c>
      <c r="Y923" s="4" t="s">
        <v>312</v>
      </c>
      <c r="Z923" s="158">
        <v>15000.33</v>
      </c>
      <c r="AA923" s="158">
        <v>1</v>
      </c>
      <c r="AB923" s="158">
        <v>98.88</v>
      </c>
      <c r="AD923" s="158">
        <v>14.832000000000001</v>
      </c>
      <c r="AG923" s="11" t="s">
        <v>37</v>
      </c>
      <c r="AH923" s="189">
        <v>1.6799999999999999E-4</v>
      </c>
      <c r="AI923" s="189">
        <v>6.6198818246162E-4</v>
      </c>
      <c r="AJ923" s="189">
        <v>1.5254318168628301E-4</v>
      </c>
    </row>
    <row r="924" spans="1:36">
      <c r="A924" s="11" t="s">
        <v>256</v>
      </c>
      <c r="B924" s="11">
        <v>7207</v>
      </c>
      <c r="C924" s="11" t="s">
        <v>1686</v>
      </c>
      <c r="D924" s="11" t="s">
        <v>1687</v>
      </c>
      <c r="E924" s="4" t="s">
        <v>1552</v>
      </c>
      <c r="F924" s="11" t="s">
        <v>2252</v>
      </c>
      <c r="G924" s="11" t="s">
        <v>2253</v>
      </c>
      <c r="H924" s="11" t="s">
        <v>511</v>
      </c>
      <c r="I924" s="11" t="s">
        <v>1155</v>
      </c>
      <c r="J924" s="11" t="s">
        <v>31</v>
      </c>
      <c r="K924" s="11" t="s">
        <v>31</v>
      </c>
      <c r="L924" s="11" t="s">
        <v>517</v>
      </c>
      <c r="M924" s="11" t="s">
        <v>32</v>
      </c>
      <c r="N924" s="11" t="s">
        <v>629</v>
      </c>
      <c r="O924" s="11" t="s">
        <v>312</v>
      </c>
      <c r="P924" s="27" t="s">
        <v>2165</v>
      </c>
      <c r="Q924" s="27" t="s">
        <v>2165</v>
      </c>
      <c r="R924" s="16" t="s">
        <v>2165</v>
      </c>
      <c r="S924" s="11" t="s">
        <v>35</v>
      </c>
      <c r="T924" s="158">
        <v>1.96</v>
      </c>
      <c r="U924" s="11" t="s">
        <v>2203</v>
      </c>
      <c r="V924" s="174">
        <v>2.5000000000000001E-2</v>
      </c>
      <c r="W924" s="189">
        <v>8.133E-2</v>
      </c>
      <c r="X924" s="4" t="s">
        <v>602</v>
      </c>
      <c r="Y924" s="4" t="s">
        <v>312</v>
      </c>
      <c r="Z924" s="158">
        <v>98000</v>
      </c>
      <c r="AA924" s="158">
        <v>1</v>
      </c>
      <c r="AB924" s="158">
        <v>90.1</v>
      </c>
      <c r="AD924" s="158">
        <v>88.298000000000002</v>
      </c>
      <c r="AG924" s="11" t="s">
        <v>37</v>
      </c>
      <c r="AH924" s="189">
        <v>2.9300000000000002E-4</v>
      </c>
      <c r="AI924" s="189">
        <v>3.9408674901679199E-3</v>
      </c>
      <c r="AJ924" s="189">
        <v>9.08101506161106E-4</v>
      </c>
    </row>
    <row r="925" spans="1:36">
      <c r="A925" s="11" t="s">
        <v>256</v>
      </c>
      <c r="B925" s="11">
        <v>7207</v>
      </c>
      <c r="C925" s="11" t="s">
        <v>1694</v>
      </c>
      <c r="D925" s="11" t="s">
        <v>1695</v>
      </c>
      <c r="E925" s="4" t="s">
        <v>1552</v>
      </c>
      <c r="F925" s="11" t="s">
        <v>2254</v>
      </c>
      <c r="G925" s="11" t="s">
        <v>2255</v>
      </c>
      <c r="H925" s="11" t="s">
        <v>511</v>
      </c>
      <c r="I925" s="11" t="s">
        <v>945</v>
      </c>
      <c r="J925" s="11" t="s">
        <v>31</v>
      </c>
      <c r="K925" s="11" t="s">
        <v>31</v>
      </c>
      <c r="L925" s="11" t="s">
        <v>517</v>
      </c>
      <c r="M925" s="11" t="s">
        <v>32</v>
      </c>
      <c r="N925" s="11" t="s">
        <v>652</v>
      </c>
      <c r="O925" s="11" t="s">
        <v>312</v>
      </c>
      <c r="P925" s="27" t="s">
        <v>2165</v>
      </c>
      <c r="Q925" s="27" t="s">
        <v>2165</v>
      </c>
      <c r="R925" s="16" t="s">
        <v>2165</v>
      </c>
      <c r="S925" s="11" t="s">
        <v>35</v>
      </c>
      <c r="T925" s="158">
        <v>2.5609999999999999</v>
      </c>
      <c r="U925" s="11" t="s">
        <v>2256</v>
      </c>
      <c r="V925" s="174">
        <v>1.9E-2</v>
      </c>
      <c r="W925" s="189">
        <v>3.7080000000000002E-2</v>
      </c>
      <c r="X925" s="4" t="s">
        <v>602</v>
      </c>
      <c r="Y925" s="4" t="s">
        <v>312</v>
      </c>
      <c r="Z925" s="158">
        <v>50221.73</v>
      </c>
      <c r="AA925" s="158">
        <v>1</v>
      </c>
      <c r="AB925" s="158">
        <v>104.67</v>
      </c>
      <c r="AD925" s="158">
        <v>52.567</v>
      </c>
      <c r="AG925" s="11" t="s">
        <v>37</v>
      </c>
      <c r="AH925" s="189">
        <v>8.7000000000000001E-5</v>
      </c>
      <c r="AI925" s="189">
        <v>2.34614504865062E-3</v>
      </c>
      <c r="AJ925" s="189">
        <v>5.4062661524842805E-4</v>
      </c>
    </row>
    <row r="926" spans="1:36">
      <c r="A926" s="11" t="s">
        <v>256</v>
      </c>
      <c r="B926" s="11">
        <v>7207</v>
      </c>
      <c r="C926" s="11" t="s">
        <v>1694</v>
      </c>
      <c r="D926" s="11" t="s">
        <v>1695</v>
      </c>
      <c r="E926" s="4" t="s">
        <v>1552</v>
      </c>
      <c r="F926" s="11" t="s">
        <v>2257</v>
      </c>
      <c r="G926" s="11" t="s">
        <v>2255</v>
      </c>
      <c r="H926" s="11" t="s">
        <v>511</v>
      </c>
      <c r="I926" s="11" t="s">
        <v>945</v>
      </c>
      <c r="J926" s="11" t="s">
        <v>31</v>
      </c>
      <c r="K926" s="11" t="s">
        <v>31</v>
      </c>
      <c r="L926" s="16" t="s">
        <v>519</v>
      </c>
      <c r="M926" s="11" t="s">
        <v>32</v>
      </c>
      <c r="N926" s="11" t="s">
        <v>652</v>
      </c>
      <c r="O926" s="11" t="s">
        <v>312</v>
      </c>
      <c r="P926" s="27" t="s">
        <v>2165</v>
      </c>
      <c r="Q926" s="27" t="s">
        <v>2165</v>
      </c>
      <c r="R926" s="16" t="s">
        <v>2165</v>
      </c>
      <c r="S926" s="11" t="s">
        <v>35</v>
      </c>
      <c r="T926" s="158">
        <v>2.59</v>
      </c>
      <c r="U926" s="11" t="s">
        <v>2256</v>
      </c>
      <c r="V926" s="174">
        <v>1.9E-2</v>
      </c>
      <c r="W926" s="189">
        <v>3.7190000000000001E-2</v>
      </c>
      <c r="X926" s="4" t="s">
        <v>602</v>
      </c>
      <c r="Y926" s="4" t="s">
        <v>312</v>
      </c>
      <c r="Z926" s="158">
        <v>80000</v>
      </c>
      <c r="AA926" s="158">
        <v>1</v>
      </c>
      <c r="AB926" s="158">
        <v>104.67</v>
      </c>
      <c r="AD926" s="158">
        <v>83.736000000000004</v>
      </c>
      <c r="AG926" s="11" t="s">
        <v>37</v>
      </c>
      <c r="AH926" s="189">
        <v>0</v>
      </c>
      <c r="AI926" s="189">
        <v>3.7372588298342098E-3</v>
      </c>
      <c r="AJ926" s="189">
        <v>8.6118357969496896E-4</v>
      </c>
    </row>
    <row r="927" spans="1:36">
      <c r="A927" s="11" t="s">
        <v>256</v>
      </c>
      <c r="B927" s="11">
        <v>7207</v>
      </c>
      <c r="C927" s="11" t="s">
        <v>2258</v>
      </c>
      <c r="D927" s="11" t="s">
        <v>2259</v>
      </c>
      <c r="E927" s="4" t="s">
        <v>1552</v>
      </c>
      <c r="F927" s="11" t="s">
        <v>2260</v>
      </c>
      <c r="G927" s="11" t="s">
        <v>2261</v>
      </c>
      <c r="H927" s="11" t="s">
        <v>511</v>
      </c>
      <c r="I927" s="11" t="s">
        <v>945</v>
      </c>
      <c r="J927" s="11" t="s">
        <v>31</v>
      </c>
      <c r="K927" s="11" t="s">
        <v>31</v>
      </c>
      <c r="L927" s="11" t="s">
        <v>517</v>
      </c>
      <c r="M927" s="11" t="s">
        <v>32</v>
      </c>
      <c r="N927" s="11" t="s">
        <v>652</v>
      </c>
      <c r="O927" s="11" t="s">
        <v>312</v>
      </c>
      <c r="P927" s="11" t="s">
        <v>2161</v>
      </c>
      <c r="Q927" s="11" t="s">
        <v>358</v>
      </c>
      <c r="R927" s="11" t="s">
        <v>596</v>
      </c>
      <c r="S927" s="11" t="s">
        <v>35</v>
      </c>
      <c r="T927" s="158">
        <v>3.6779999999999999</v>
      </c>
      <c r="U927" s="11" t="s">
        <v>2262</v>
      </c>
      <c r="V927" s="174">
        <v>1.83E-2</v>
      </c>
      <c r="W927" s="189">
        <v>3.1600000000000003E-2</v>
      </c>
      <c r="X927" s="4" t="s">
        <v>602</v>
      </c>
      <c r="Y927" s="4" t="s">
        <v>312</v>
      </c>
      <c r="Z927" s="158">
        <v>3750</v>
      </c>
      <c r="AA927" s="158">
        <v>1</v>
      </c>
      <c r="AB927" s="158">
        <v>108.49</v>
      </c>
      <c r="AD927" s="158">
        <v>4.0679999999999996</v>
      </c>
      <c r="AG927" s="11" t="s">
        <v>37</v>
      </c>
      <c r="AH927" s="189">
        <v>1.9000000000000001E-5</v>
      </c>
      <c r="AI927" s="189">
        <v>1.81577462403587E-4</v>
      </c>
      <c r="AJ927" s="189">
        <v>4.1841236099664601E-5</v>
      </c>
    </row>
    <row r="928" spans="1:36">
      <c r="A928" s="11" t="s">
        <v>256</v>
      </c>
      <c r="B928" s="11">
        <v>7207</v>
      </c>
      <c r="C928" s="11" t="s">
        <v>2258</v>
      </c>
      <c r="D928" s="11" t="s">
        <v>2259</v>
      </c>
      <c r="E928" s="4" t="s">
        <v>1552</v>
      </c>
      <c r="F928" s="11" t="s">
        <v>2263</v>
      </c>
      <c r="G928" s="11" t="s">
        <v>2264</v>
      </c>
      <c r="H928" s="11" t="s">
        <v>511</v>
      </c>
      <c r="I928" s="11" t="s">
        <v>945</v>
      </c>
      <c r="J928" s="11" t="s">
        <v>31</v>
      </c>
      <c r="K928" s="11" t="s">
        <v>31</v>
      </c>
      <c r="L928" s="11" t="s">
        <v>517</v>
      </c>
      <c r="M928" s="11" t="s">
        <v>32</v>
      </c>
      <c r="N928" s="11" t="s">
        <v>652</v>
      </c>
      <c r="O928" s="11" t="s">
        <v>312</v>
      </c>
      <c r="P928" s="11" t="s">
        <v>2161</v>
      </c>
      <c r="Q928" s="11" t="s">
        <v>358</v>
      </c>
      <c r="R928" s="11" t="s">
        <v>596</v>
      </c>
      <c r="S928" s="11" t="s">
        <v>35</v>
      </c>
      <c r="T928" s="158">
        <v>4.1399999999999997</v>
      </c>
      <c r="U928" s="11" t="s">
        <v>2170</v>
      </c>
      <c r="V928" s="174">
        <v>1.5299999999999999E-2</v>
      </c>
      <c r="W928" s="189">
        <v>3.2820000000000002E-2</v>
      </c>
      <c r="X928" s="4" t="s">
        <v>602</v>
      </c>
      <c r="Y928" s="4" t="s">
        <v>312</v>
      </c>
      <c r="Z928" s="158">
        <v>17505.490000000002</v>
      </c>
      <c r="AA928" s="158">
        <v>1</v>
      </c>
      <c r="AB928" s="158">
        <v>105.9</v>
      </c>
      <c r="AC928" s="158">
        <v>0.71799999999999997</v>
      </c>
      <c r="AD928" s="158">
        <v>19.257000000000001</v>
      </c>
      <c r="AG928" s="11" t="s">
        <v>37</v>
      </c>
      <c r="AH928" s="189">
        <v>4.6E-5</v>
      </c>
      <c r="AI928" s="189">
        <v>8.59458573068276E-4</v>
      </c>
      <c r="AJ928" s="189">
        <v>1.9804665511682099E-4</v>
      </c>
    </row>
    <row r="929" spans="1:36">
      <c r="A929" s="11" t="s">
        <v>256</v>
      </c>
      <c r="B929" s="11">
        <v>7207</v>
      </c>
      <c r="C929" s="11" t="s">
        <v>1698</v>
      </c>
      <c r="D929" s="11" t="s">
        <v>1699</v>
      </c>
      <c r="E929" s="4" t="s">
        <v>1552</v>
      </c>
      <c r="F929" s="11" t="s">
        <v>2265</v>
      </c>
      <c r="G929" s="11" t="s">
        <v>2266</v>
      </c>
      <c r="H929" s="11" t="s">
        <v>511</v>
      </c>
      <c r="I929" s="11" t="s">
        <v>364</v>
      </c>
      <c r="J929" s="11" t="s">
        <v>31</v>
      </c>
      <c r="K929" s="11" t="s">
        <v>31</v>
      </c>
      <c r="L929" s="11" t="s">
        <v>517</v>
      </c>
      <c r="M929" s="11" t="s">
        <v>32</v>
      </c>
      <c r="N929" s="11" t="s">
        <v>628</v>
      </c>
      <c r="O929" s="11" t="s">
        <v>312</v>
      </c>
      <c r="P929" s="11" t="s">
        <v>2161</v>
      </c>
      <c r="Q929" s="11" t="s">
        <v>358</v>
      </c>
      <c r="R929" s="11" t="s">
        <v>596</v>
      </c>
      <c r="S929" s="11" t="s">
        <v>35</v>
      </c>
      <c r="T929" s="158">
        <v>0.76</v>
      </c>
      <c r="U929" s="11" t="s">
        <v>2267</v>
      </c>
      <c r="V929" s="174">
        <v>4.7E-2</v>
      </c>
      <c r="W929" s="189">
        <v>7.9450000000000007E-2</v>
      </c>
      <c r="X929" s="4" t="s">
        <v>602</v>
      </c>
      <c r="Y929" s="4" t="s">
        <v>312</v>
      </c>
      <c r="Z929" s="158">
        <v>49500</v>
      </c>
      <c r="AA929" s="158">
        <v>1</v>
      </c>
      <c r="AB929" s="158">
        <v>102.06</v>
      </c>
      <c r="AD929" s="158">
        <v>50.52</v>
      </c>
      <c r="AG929" s="11" t="s">
        <v>37</v>
      </c>
      <c r="AH929" s="189">
        <v>1.35E-4</v>
      </c>
      <c r="AI929" s="189">
        <v>2.2547673032575601E-3</v>
      </c>
      <c r="AJ929" s="189">
        <v>5.1957026955092099E-4</v>
      </c>
    </row>
    <row r="930" spans="1:36">
      <c r="A930" s="11" t="s">
        <v>256</v>
      </c>
      <c r="B930" s="11">
        <v>7207</v>
      </c>
      <c r="C930" s="11" t="s">
        <v>1706</v>
      </c>
      <c r="D930" s="11" t="s">
        <v>1707</v>
      </c>
      <c r="E930" s="4" t="s">
        <v>1552</v>
      </c>
      <c r="F930" s="11" t="s">
        <v>2268</v>
      </c>
      <c r="G930" s="11" t="s">
        <v>2269</v>
      </c>
      <c r="H930" s="11" t="s">
        <v>511</v>
      </c>
      <c r="I930" s="11" t="s">
        <v>945</v>
      </c>
      <c r="J930" s="11" t="s">
        <v>31</v>
      </c>
      <c r="K930" s="11" t="s">
        <v>31</v>
      </c>
      <c r="L930" s="11" t="s">
        <v>517</v>
      </c>
      <c r="M930" s="11" t="s">
        <v>32</v>
      </c>
      <c r="N930" s="11" t="s">
        <v>652</v>
      </c>
      <c r="O930" s="11" t="s">
        <v>312</v>
      </c>
      <c r="P930" s="11" t="s">
        <v>2225</v>
      </c>
      <c r="Q930" s="11" t="s">
        <v>604</v>
      </c>
      <c r="R930" s="11" t="s">
        <v>596</v>
      </c>
      <c r="S930" s="11" t="s">
        <v>35</v>
      </c>
      <c r="T930" s="158">
        <v>1.6759999999999999</v>
      </c>
      <c r="U930" s="11" t="s">
        <v>2270</v>
      </c>
      <c r="V930" s="174">
        <v>1.34E-2</v>
      </c>
      <c r="W930" s="189">
        <v>2.4400000000000002E-2</v>
      </c>
      <c r="X930" s="4" t="s">
        <v>602</v>
      </c>
      <c r="Y930" s="4" t="s">
        <v>312</v>
      </c>
      <c r="Z930" s="158">
        <v>238481.85</v>
      </c>
      <c r="AA930" s="158">
        <v>1</v>
      </c>
      <c r="AB930" s="158">
        <v>112.6</v>
      </c>
      <c r="AD930" s="158">
        <v>268.53100000000001</v>
      </c>
      <c r="AG930" s="11" t="s">
        <v>37</v>
      </c>
      <c r="AH930" s="189">
        <v>4.8500000000000003E-4</v>
      </c>
      <c r="AI930" s="189">
        <v>1.1984907543061901E-2</v>
      </c>
      <c r="AJ930" s="189">
        <v>2.7617047815511101E-3</v>
      </c>
    </row>
    <row r="931" spans="1:36">
      <c r="A931" s="11" t="s">
        <v>256</v>
      </c>
      <c r="B931" s="11">
        <v>7207</v>
      </c>
      <c r="C931" s="11" t="s">
        <v>1706</v>
      </c>
      <c r="D931" s="11" t="s">
        <v>1707</v>
      </c>
      <c r="E931" s="4" t="s">
        <v>1552</v>
      </c>
      <c r="F931" s="11" t="s">
        <v>2271</v>
      </c>
      <c r="G931" s="11" t="s">
        <v>2272</v>
      </c>
      <c r="H931" s="11" t="s">
        <v>511</v>
      </c>
      <c r="I931" s="11" t="s">
        <v>945</v>
      </c>
      <c r="J931" s="11" t="s">
        <v>31</v>
      </c>
      <c r="K931" s="11" t="s">
        <v>31</v>
      </c>
      <c r="L931" s="11" t="s">
        <v>517</v>
      </c>
      <c r="M931" s="11" t="s">
        <v>32</v>
      </c>
      <c r="N931" s="11" t="s">
        <v>652</v>
      </c>
      <c r="O931" s="11" t="s">
        <v>312</v>
      </c>
      <c r="P931" s="11" t="s">
        <v>2169</v>
      </c>
      <c r="Q931" s="11" t="s">
        <v>358</v>
      </c>
      <c r="R931" s="11" t="s">
        <v>596</v>
      </c>
      <c r="S931" s="11" t="s">
        <v>35</v>
      </c>
      <c r="T931" s="158">
        <v>5.5919999999999996</v>
      </c>
      <c r="U931" s="11" t="s">
        <v>2273</v>
      </c>
      <c r="V931" s="174">
        <v>2.5999999999999999E-2</v>
      </c>
      <c r="W931" s="189">
        <v>3.1829999999999997E-2</v>
      </c>
      <c r="X931" s="4" t="s">
        <v>602</v>
      </c>
      <c r="Y931" s="4" t="s">
        <v>312</v>
      </c>
      <c r="Z931" s="158">
        <v>41000</v>
      </c>
      <c r="AA931" s="158">
        <v>1</v>
      </c>
      <c r="AB931" s="158">
        <v>98.8</v>
      </c>
      <c r="AC931" s="158">
        <v>0.56200000000000006</v>
      </c>
      <c r="AD931" s="158">
        <v>41.07</v>
      </c>
      <c r="AG931" s="11" t="s">
        <v>37</v>
      </c>
      <c r="AH931" s="189">
        <v>7.6000000000000004E-5</v>
      </c>
      <c r="AI931" s="189">
        <v>1.8330349434595599E-3</v>
      </c>
      <c r="AJ931" s="189">
        <v>4.22389688857727E-4</v>
      </c>
    </row>
    <row r="932" spans="1:36">
      <c r="A932" s="11" t="s">
        <v>256</v>
      </c>
      <c r="B932" s="11">
        <v>7207</v>
      </c>
      <c r="C932" s="11" t="s">
        <v>1706</v>
      </c>
      <c r="D932" s="11" t="s">
        <v>1707</v>
      </c>
      <c r="E932" s="4" t="s">
        <v>1552</v>
      </c>
      <c r="F932" s="11" t="s">
        <v>2274</v>
      </c>
      <c r="G932" s="11" t="s">
        <v>2275</v>
      </c>
      <c r="H932" s="11" t="s">
        <v>511</v>
      </c>
      <c r="I932" s="11" t="s">
        <v>945</v>
      </c>
      <c r="J932" s="11" t="s">
        <v>31</v>
      </c>
      <c r="K932" s="11" t="s">
        <v>31</v>
      </c>
      <c r="L932" s="11" t="s">
        <v>517</v>
      </c>
      <c r="M932" s="11" t="s">
        <v>32</v>
      </c>
      <c r="N932" s="11" t="s">
        <v>652</v>
      </c>
      <c r="O932" s="11" t="s">
        <v>312</v>
      </c>
      <c r="P932" s="11" t="s">
        <v>2169</v>
      </c>
      <c r="Q932" s="11" t="s">
        <v>358</v>
      </c>
      <c r="R932" s="11" t="s">
        <v>596</v>
      </c>
      <c r="S932" s="11" t="s">
        <v>35</v>
      </c>
      <c r="T932" s="158">
        <v>3.1429999999999998</v>
      </c>
      <c r="U932" s="11" t="s">
        <v>2276</v>
      </c>
      <c r="V932" s="174">
        <v>1.8200000000000001E-2</v>
      </c>
      <c r="W932" s="189">
        <v>2.6210000000000001E-2</v>
      </c>
      <c r="X932" s="4" t="s">
        <v>602</v>
      </c>
      <c r="Y932" s="4" t="s">
        <v>312</v>
      </c>
      <c r="Z932" s="158">
        <v>2000</v>
      </c>
      <c r="AA932" s="158">
        <v>1</v>
      </c>
      <c r="AB932" s="158">
        <v>110.75</v>
      </c>
      <c r="AD932" s="158">
        <v>2.2149999999999999</v>
      </c>
      <c r="AG932" s="11" t="s">
        <v>37</v>
      </c>
      <c r="AH932" s="189">
        <v>3.9999999999999998E-6</v>
      </c>
      <c r="AI932" s="189">
        <v>9.8858654677591199E-5</v>
      </c>
      <c r="AJ932" s="189">
        <v>2.27801856910332E-5</v>
      </c>
    </row>
    <row r="933" spans="1:36">
      <c r="A933" s="11" t="s">
        <v>256</v>
      </c>
      <c r="B933" s="11">
        <v>7207</v>
      </c>
      <c r="C933" s="11" t="s">
        <v>1706</v>
      </c>
      <c r="D933" s="11" t="s">
        <v>1707</v>
      </c>
      <c r="E933" s="4" t="s">
        <v>1552</v>
      </c>
      <c r="F933" s="11" t="s">
        <v>2277</v>
      </c>
      <c r="G933" s="11" t="s">
        <v>2278</v>
      </c>
      <c r="H933" s="11" t="s">
        <v>511</v>
      </c>
      <c r="I933" s="11" t="s">
        <v>945</v>
      </c>
      <c r="J933" s="11" t="s">
        <v>31</v>
      </c>
      <c r="K933" s="11" t="s">
        <v>31</v>
      </c>
      <c r="L933" s="11" t="s">
        <v>517</v>
      </c>
      <c r="M933" s="11" t="s">
        <v>32</v>
      </c>
      <c r="N933" s="11" t="s">
        <v>652</v>
      </c>
      <c r="O933" s="11" t="s">
        <v>312</v>
      </c>
      <c r="P933" s="11" t="s">
        <v>2169</v>
      </c>
      <c r="Q933" s="11" t="s">
        <v>358</v>
      </c>
      <c r="R933" s="11" t="s">
        <v>596</v>
      </c>
      <c r="S933" s="11" t="s">
        <v>35</v>
      </c>
      <c r="T933" s="158">
        <v>1.3640000000000001</v>
      </c>
      <c r="U933" s="11" t="s">
        <v>2279</v>
      </c>
      <c r="V933" s="174">
        <v>2E-3</v>
      </c>
      <c r="W933" s="189">
        <v>2.3019999999999999E-2</v>
      </c>
      <c r="X933" s="4" t="s">
        <v>602</v>
      </c>
      <c r="Y933" s="4" t="s">
        <v>312</v>
      </c>
      <c r="Z933" s="158">
        <v>145227.45000000001</v>
      </c>
      <c r="AA933" s="158">
        <v>1</v>
      </c>
      <c r="AB933" s="158">
        <v>109.12</v>
      </c>
      <c r="AD933" s="158">
        <v>158.47200000000001</v>
      </c>
      <c r="AG933" s="11" t="s">
        <v>37</v>
      </c>
      <c r="AH933" s="189">
        <v>4.6099999999999998E-4</v>
      </c>
      <c r="AI933" s="189">
        <v>7.07284327191214E-3</v>
      </c>
      <c r="AJ933" s="189">
        <v>1.6298085749112999E-3</v>
      </c>
    </row>
    <row r="934" spans="1:36">
      <c r="A934" s="11" t="s">
        <v>256</v>
      </c>
      <c r="B934" s="11">
        <v>7207</v>
      </c>
      <c r="C934" s="11" t="s">
        <v>2280</v>
      </c>
      <c r="D934" s="11" t="s">
        <v>2281</v>
      </c>
      <c r="E934" s="4" t="s">
        <v>1552</v>
      </c>
      <c r="F934" s="11" t="s">
        <v>2282</v>
      </c>
      <c r="G934" s="11" t="s">
        <v>2283</v>
      </c>
      <c r="H934" s="11" t="s">
        <v>511</v>
      </c>
      <c r="I934" s="11" t="s">
        <v>945</v>
      </c>
      <c r="J934" s="11" t="s">
        <v>31</v>
      </c>
      <c r="K934" s="11" t="s">
        <v>31</v>
      </c>
      <c r="L934" s="11" t="s">
        <v>517</v>
      </c>
      <c r="M934" s="11" t="s">
        <v>32</v>
      </c>
      <c r="N934" s="11" t="s">
        <v>636</v>
      </c>
      <c r="O934" s="11" t="s">
        <v>312</v>
      </c>
      <c r="P934" s="11" t="s">
        <v>157</v>
      </c>
      <c r="Q934" s="11" t="s">
        <v>604</v>
      </c>
      <c r="R934" s="11" t="s">
        <v>596</v>
      </c>
      <c r="S934" s="11" t="s">
        <v>35</v>
      </c>
      <c r="T934" s="158">
        <v>1.1910000000000001</v>
      </c>
      <c r="U934" s="11" t="s">
        <v>2284</v>
      </c>
      <c r="V934" s="174">
        <v>1E-3</v>
      </c>
      <c r="W934" s="189">
        <v>2.1839999999999998E-2</v>
      </c>
      <c r="X934" s="4" t="s">
        <v>602</v>
      </c>
      <c r="Y934" s="4" t="s">
        <v>312</v>
      </c>
      <c r="Z934" s="158">
        <v>156000</v>
      </c>
      <c r="AA934" s="158">
        <v>1</v>
      </c>
      <c r="AB934" s="158">
        <v>110.18</v>
      </c>
      <c r="AD934" s="158">
        <v>171.881</v>
      </c>
      <c r="AG934" s="11" t="s">
        <v>37</v>
      </c>
      <c r="AH934" s="189">
        <v>1.0399999999999999E-4</v>
      </c>
      <c r="AI934" s="189">
        <v>7.6712887823513001E-3</v>
      </c>
      <c r="AJ934" s="189">
        <v>1.7677094991978999E-3</v>
      </c>
    </row>
    <row r="935" spans="1:36">
      <c r="A935" s="11" t="s">
        <v>256</v>
      </c>
      <c r="B935" s="11">
        <v>7207</v>
      </c>
      <c r="C935" s="11" t="s">
        <v>2280</v>
      </c>
      <c r="D935" s="11" t="s">
        <v>2281</v>
      </c>
      <c r="E935" s="4" t="s">
        <v>1552</v>
      </c>
      <c r="F935" s="11" t="s">
        <v>2285</v>
      </c>
      <c r="G935" s="11" t="s">
        <v>2286</v>
      </c>
      <c r="H935" s="11" t="s">
        <v>511</v>
      </c>
      <c r="I935" s="11" t="s">
        <v>945</v>
      </c>
      <c r="J935" s="11" t="s">
        <v>31</v>
      </c>
      <c r="K935" s="11" t="s">
        <v>31</v>
      </c>
      <c r="L935" s="11" t="s">
        <v>517</v>
      </c>
      <c r="M935" s="11" t="s">
        <v>32</v>
      </c>
      <c r="N935" s="11" t="s">
        <v>636</v>
      </c>
      <c r="O935" s="11" t="s">
        <v>312</v>
      </c>
      <c r="P935" s="11" t="s">
        <v>157</v>
      </c>
      <c r="Q935" s="11" t="s">
        <v>604</v>
      </c>
      <c r="R935" s="11" t="s">
        <v>596</v>
      </c>
      <c r="S935" s="11" t="s">
        <v>35</v>
      </c>
      <c r="T935" s="158">
        <v>2.4159999999999999</v>
      </c>
      <c r="U935" s="11" t="s">
        <v>2287</v>
      </c>
      <c r="V935" s="174">
        <v>1E-3</v>
      </c>
      <c r="W935" s="189">
        <v>2.0709999999999999E-2</v>
      </c>
      <c r="X935" s="4" t="s">
        <v>602</v>
      </c>
      <c r="Y935" s="4" t="s">
        <v>312</v>
      </c>
      <c r="Z935" s="158">
        <v>140000</v>
      </c>
      <c r="AA935" s="158">
        <v>1</v>
      </c>
      <c r="AB935" s="158">
        <v>105.49</v>
      </c>
      <c r="AD935" s="158">
        <v>147.68600000000001</v>
      </c>
      <c r="AG935" s="11" t="s">
        <v>37</v>
      </c>
      <c r="AH935" s="189">
        <v>2.9999999999999997E-4</v>
      </c>
      <c r="AI935" s="189">
        <v>6.5914398531443496E-3</v>
      </c>
      <c r="AJ935" s="189">
        <v>1.51887787989432E-3</v>
      </c>
    </row>
    <row r="936" spans="1:36">
      <c r="A936" s="11" t="s">
        <v>256</v>
      </c>
      <c r="B936" s="11">
        <v>7207</v>
      </c>
      <c r="C936" s="11" t="s">
        <v>1911</v>
      </c>
      <c r="D936" s="11" t="s">
        <v>1912</v>
      </c>
      <c r="E936" s="4" t="s">
        <v>1552</v>
      </c>
      <c r="F936" s="11" t="s">
        <v>2288</v>
      </c>
      <c r="G936" s="11" t="s">
        <v>2289</v>
      </c>
      <c r="H936" s="11" t="s">
        <v>511</v>
      </c>
      <c r="I936" s="11" t="s">
        <v>1154</v>
      </c>
      <c r="J936" s="11" t="s">
        <v>31</v>
      </c>
      <c r="K936" s="11" t="s">
        <v>31</v>
      </c>
      <c r="L936" s="11" t="s">
        <v>517</v>
      </c>
      <c r="M936" s="11" t="s">
        <v>32</v>
      </c>
      <c r="N936" s="11" t="s">
        <v>628</v>
      </c>
      <c r="O936" s="11" t="s">
        <v>312</v>
      </c>
      <c r="P936" s="11" t="s">
        <v>2206</v>
      </c>
      <c r="Q936" s="11" t="s">
        <v>604</v>
      </c>
      <c r="R936" s="11" t="s">
        <v>596</v>
      </c>
      <c r="S936" s="11" t="s">
        <v>35</v>
      </c>
      <c r="T936" s="158">
        <v>3.2530000000000001</v>
      </c>
      <c r="U936" s="11" t="s">
        <v>2290</v>
      </c>
      <c r="V936" s="174">
        <v>7.2499999999999995E-2</v>
      </c>
      <c r="W936" s="189">
        <v>6.3E-2</v>
      </c>
      <c r="X936" s="4" t="s">
        <v>602</v>
      </c>
      <c r="Y936" s="4" t="s">
        <v>312</v>
      </c>
      <c r="Z936" s="158">
        <v>40000</v>
      </c>
      <c r="AA936" s="158">
        <v>1</v>
      </c>
      <c r="AB936" s="158">
        <v>104.56</v>
      </c>
      <c r="AD936" s="158">
        <v>41.823999999999998</v>
      </c>
      <c r="AG936" s="11" t="s">
        <v>37</v>
      </c>
      <c r="AH936" s="189">
        <v>5.5999999999999999E-5</v>
      </c>
      <c r="AI936" s="189">
        <v>1.8666656312576E-3</v>
      </c>
      <c r="AJ936" s="189">
        <v>4.3013927148612802E-4</v>
      </c>
    </row>
    <row r="937" spans="1:36">
      <c r="A937" s="11" t="s">
        <v>256</v>
      </c>
      <c r="B937" s="11">
        <v>7207</v>
      </c>
      <c r="C937" s="11" t="s">
        <v>2291</v>
      </c>
      <c r="D937" s="11" t="s">
        <v>2292</v>
      </c>
      <c r="E937" s="4" t="s">
        <v>1552</v>
      </c>
      <c r="F937" s="11" t="s">
        <v>2293</v>
      </c>
      <c r="G937" s="11" t="s">
        <v>2294</v>
      </c>
      <c r="H937" s="11" t="s">
        <v>511</v>
      </c>
      <c r="I937" s="11" t="s">
        <v>1154</v>
      </c>
      <c r="J937" s="11" t="s">
        <v>31</v>
      </c>
      <c r="K937" s="11" t="s">
        <v>31</v>
      </c>
      <c r="L937" s="11" t="s">
        <v>517</v>
      </c>
      <c r="M937" s="11" t="s">
        <v>32</v>
      </c>
      <c r="N937" s="11" t="s">
        <v>651</v>
      </c>
      <c r="O937" s="11" t="s">
        <v>312</v>
      </c>
      <c r="P937" s="27" t="s">
        <v>2165</v>
      </c>
      <c r="Q937" s="27" t="s">
        <v>2165</v>
      </c>
      <c r="R937" s="16" t="s">
        <v>2165</v>
      </c>
      <c r="S937" s="11" t="s">
        <v>35</v>
      </c>
      <c r="T937" s="158">
        <v>3.8330000000000002</v>
      </c>
      <c r="U937" s="11" t="s">
        <v>2193</v>
      </c>
      <c r="V937" s="174">
        <v>7.5800000000000006E-2</v>
      </c>
      <c r="W937" s="189">
        <v>7.4499999999999997E-2</v>
      </c>
      <c r="X937" s="4" t="s">
        <v>602</v>
      </c>
      <c r="Y937" s="4" t="s">
        <v>312</v>
      </c>
      <c r="Z937" s="158">
        <v>38000</v>
      </c>
      <c r="AA937" s="158">
        <v>1</v>
      </c>
      <c r="AB937" s="158">
        <v>101.98</v>
      </c>
      <c r="AD937" s="158">
        <v>38.752000000000002</v>
      </c>
      <c r="AG937" s="11" t="s">
        <v>37</v>
      </c>
      <c r="AH937" s="189">
        <v>7.3099999999999999E-4</v>
      </c>
      <c r="AI937" s="189">
        <v>1.7295756792451E-3</v>
      </c>
      <c r="AJ937" s="189">
        <v>3.9854937606013301E-4</v>
      </c>
    </row>
    <row r="938" spans="1:36">
      <c r="A938" s="11" t="s">
        <v>256</v>
      </c>
      <c r="B938" s="11">
        <v>7207</v>
      </c>
      <c r="C938" s="11" t="s">
        <v>2300</v>
      </c>
      <c r="D938" s="11" t="s">
        <v>2301</v>
      </c>
      <c r="E938" s="4" t="s">
        <v>1552</v>
      </c>
      <c r="F938" s="11" t="s">
        <v>2302</v>
      </c>
      <c r="G938" s="11" t="s">
        <v>2303</v>
      </c>
      <c r="H938" s="11" t="s">
        <v>511</v>
      </c>
      <c r="I938" s="11" t="s">
        <v>1154</v>
      </c>
      <c r="J938" s="11" t="s">
        <v>31</v>
      </c>
      <c r="K938" s="11" t="s">
        <v>31</v>
      </c>
      <c r="L938" s="11" t="s">
        <v>517</v>
      </c>
      <c r="M938" s="11" t="s">
        <v>32</v>
      </c>
      <c r="N938" s="11" t="s">
        <v>635</v>
      </c>
      <c r="O938" s="11" t="s">
        <v>312</v>
      </c>
      <c r="P938" s="27" t="s">
        <v>2165</v>
      </c>
      <c r="Q938" s="27" t="s">
        <v>2165</v>
      </c>
      <c r="R938" s="16" t="s">
        <v>2165</v>
      </c>
      <c r="S938" s="11" t="s">
        <v>35</v>
      </c>
      <c r="T938" s="158">
        <v>1.8959999999999999</v>
      </c>
      <c r="U938" s="11" t="s">
        <v>2203</v>
      </c>
      <c r="V938" s="174">
        <v>3.8699999999999998E-2</v>
      </c>
      <c r="W938" s="189">
        <v>6.3070000000000001E-2</v>
      </c>
      <c r="X938" s="4" t="s">
        <v>602</v>
      </c>
      <c r="Y938" s="4" t="s">
        <v>312</v>
      </c>
      <c r="Z938" s="158">
        <v>42461.8</v>
      </c>
      <c r="AA938" s="158">
        <v>1</v>
      </c>
      <c r="AB938" s="158">
        <v>95.78</v>
      </c>
      <c r="AD938" s="158">
        <v>40.67</v>
      </c>
      <c r="AG938" s="11" t="s">
        <v>37</v>
      </c>
      <c r="AH938" s="189">
        <v>1.2899999999999999E-4</v>
      </c>
      <c r="AI938" s="189">
        <v>1.81515701586021E-3</v>
      </c>
      <c r="AJ938" s="189">
        <v>4.1827004438337999E-4</v>
      </c>
    </row>
    <row r="939" spans="1:36">
      <c r="A939" s="11" t="s">
        <v>256</v>
      </c>
      <c r="B939" s="11">
        <v>7207</v>
      </c>
      <c r="C939" s="11" t="s">
        <v>1714</v>
      </c>
      <c r="D939" s="11" t="s">
        <v>1715</v>
      </c>
      <c r="E939" s="4" t="s">
        <v>1552</v>
      </c>
      <c r="F939" s="11" t="s">
        <v>2304</v>
      </c>
      <c r="G939" s="11" t="s">
        <v>2305</v>
      </c>
      <c r="H939" s="11" t="s">
        <v>511</v>
      </c>
      <c r="I939" s="11" t="s">
        <v>945</v>
      </c>
      <c r="J939" s="11" t="s">
        <v>31</v>
      </c>
      <c r="K939" s="11" t="s">
        <v>489</v>
      </c>
      <c r="L939" s="11" t="s">
        <v>517</v>
      </c>
      <c r="M939" s="11" t="s">
        <v>32</v>
      </c>
      <c r="N939" s="11" t="s">
        <v>653</v>
      </c>
      <c r="O939" s="11" t="s">
        <v>312</v>
      </c>
      <c r="P939" s="11" t="s">
        <v>2206</v>
      </c>
      <c r="Q939" s="11" t="s">
        <v>604</v>
      </c>
      <c r="R939" s="11" t="s">
        <v>596</v>
      </c>
      <c r="S939" s="11" t="s">
        <v>35</v>
      </c>
      <c r="T939" s="158">
        <v>3.7690000000000001</v>
      </c>
      <c r="U939" s="11" t="s">
        <v>2183</v>
      </c>
      <c r="V939" s="174">
        <v>1.7500000000000002E-2</v>
      </c>
      <c r="W939" s="189">
        <v>5.8099999999999999E-2</v>
      </c>
      <c r="X939" s="4" t="s">
        <v>602</v>
      </c>
      <c r="Y939" s="4" t="s">
        <v>312</v>
      </c>
      <c r="Z939" s="158">
        <v>18000</v>
      </c>
      <c r="AA939" s="158">
        <v>1</v>
      </c>
      <c r="AB939" s="158">
        <v>95.82</v>
      </c>
      <c r="AD939" s="158">
        <v>17.248000000000001</v>
      </c>
      <c r="AG939" s="11" t="s">
        <v>37</v>
      </c>
      <c r="AH939" s="189">
        <v>1.5E-5</v>
      </c>
      <c r="AI939" s="189">
        <v>7.69785341949084E-4</v>
      </c>
      <c r="AJ939" s="189">
        <v>1.7738308384860699E-4</v>
      </c>
    </row>
    <row r="940" spans="1:36">
      <c r="A940" s="11" t="s">
        <v>256</v>
      </c>
      <c r="B940" s="11">
        <v>7207</v>
      </c>
      <c r="C940" s="11" t="s">
        <v>1714</v>
      </c>
      <c r="D940" s="11" t="s">
        <v>1715</v>
      </c>
      <c r="E940" s="4" t="s">
        <v>1552</v>
      </c>
      <c r="F940" s="11" t="s">
        <v>2306</v>
      </c>
      <c r="G940" s="11" t="s">
        <v>2307</v>
      </c>
      <c r="H940" s="11" t="s">
        <v>511</v>
      </c>
      <c r="I940" s="11" t="s">
        <v>1155</v>
      </c>
      <c r="J940" s="11" t="s">
        <v>31</v>
      </c>
      <c r="K940" s="11" t="s">
        <v>489</v>
      </c>
      <c r="L940" s="11" t="s">
        <v>517</v>
      </c>
      <c r="M940" s="11" t="s">
        <v>32</v>
      </c>
      <c r="N940" s="11" t="s">
        <v>653</v>
      </c>
      <c r="O940" s="11" t="s">
        <v>312</v>
      </c>
      <c r="P940" s="11" t="s">
        <v>2206</v>
      </c>
      <c r="Q940" s="11" t="s">
        <v>604</v>
      </c>
      <c r="R940" s="11" t="s">
        <v>596</v>
      </c>
      <c r="S940" s="11" t="s">
        <v>35</v>
      </c>
      <c r="T940" s="158">
        <v>4.1059999999999999</v>
      </c>
      <c r="U940" s="11" t="s">
        <v>2170</v>
      </c>
      <c r="V940" s="174">
        <v>5.5E-2</v>
      </c>
      <c r="W940" s="189">
        <v>7.6819999999999999E-2</v>
      </c>
      <c r="X940" s="4" t="s">
        <v>602</v>
      </c>
      <c r="Y940" s="4" t="s">
        <v>312</v>
      </c>
      <c r="Z940" s="158">
        <v>50000</v>
      </c>
      <c r="AA940" s="158">
        <v>1</v>
      </c>
      <c r="AB940" s="158">
        <v>90.7</v>
      </c>
      <c r="AD940" s="158">
        <v>45.35</v>
      </c>
      <c r="AG940" s="11" t="s">
        <v>37</v>
      </c>
      <c r="AH940" s="189">
        <v>8.7000000000000001E-5</v>
      </c>
      <c r="AI940" s="189">
        <v>2.0240361126992201E-3</v>
      </c>
      <c r="AJ940" s="189">
        <v>4.6640244744395302E-4</v>
      </c>
    </row>
    <row r="941" spans="1:36">
      <c r="A941" s="11" t="s">
        <v>256</v>
      </c>
      <c r="B941" s="11">
        <v>7207</v>
      </c>
      <c r="C941" s="11" t="s">
        <v>1714</v>
      </c>
      <c r="D941" s="11" t="s">
        <v>1715</v>
      </c>
      <c r="E941" s="4" t="s">
        <v>1552</v>
      </c>
      <c r="F941" s="11" t="s">
        <v>2308</v>
      </c>
      <c r="G941" s="11" t="s">
        <v>2309</v>
      </c>
      <c r="H941" s="11" t="s">
        <v>511</v>
      </c>
      <c r="I941" s="11" t="s">
        <v>945</v>
      </c>
      <c r="J941" s="11" t="s">
        <v>31</v>
      </c>
      <c r="K941" s="11" t="s">
        <v>489</v>
      </c>
      <c r="L941" s="11" t="s">
        <v>517</v>
      </c>
      <c r="M941" s="11" t="s">
        <v>32</v>
      </c>
      <c r="N941" s="11" t="s">
        <v>653</v>
      </c>
      <c r="O941" s="11" t="s">
        <v>312</v>
      </c>
      <c r="P941" s="11" t="s">
        <v>2206</v>
      </c>
      <c r="Q941" s="11" t="s">
        <v>604</v>
      </c>
      <c r="R941" s="11" t="s">
        <v>596</v>
      </c>
      <c r="S941" s="11" t="s">
        <v>35</v>
      </c>
      <c r="T941" s="158">
        <v>2.1059999999999999</v>
      </c>
      <c r="U941" s="11" t="s">
        <v>2180</v>
      </c>
      <c r="V941" s="174">
        <v>0.04</v>
      </c>
      <c r="W941" s="189">
        <v>5.1159999999999997E-2</v>
      </c>
      <c r="X941" s="4" t="s">
        <v>602</v>
      </c>
      <c r="Y941" s="4" t="s">
        <v>312</v>
      </c>
      <c r="Z941" s="158">
        <v>8000</v>
      </c>
      <c r="AA941" s="158">
        <v>1</v>
      </c>
      <c r="AB941" s="158">
        <v>110.28</v>
      </c>
      <c r="AD941" s="158">
        <v>8.8219999999999992</v>
      </c>
      <c r="AG941" s="11" t="s">
        <v>37</v>
      </c>
      <c r="AH941" s="189">
        <v>3.9999999999999998E-6</v>
      </c>
      <c r="AI941" s="189">
        <v>3.9375647631042002E-4</v>
      </c>
      <c r="AJ941" s="189">
        <v>9.0734045255336902E-5</v>
      </c>
    </row>
    <row r="942" spans="1:36">
      <c r="A942" s="11" t="s">
        <v>256</v>
      </c>
      <c r="B942" s="11">
        <v>7207</v>
      </c>
      <c r="C942" s="11" t="s">
        <v>1714</v>
      </c>
      <c r="D942" s="11" t="s">
        <v>1715</v>
      </c>
      <c r="E942" s="4" t="s">
        <v>1552</v>
      </c>
      <c r="F942" s="11" t="s">
        <v>2310</v>
      </c>
      <c r="G942" s="11" t="s">
        <v>2311</v>
      </c>
      <c r="H942" s="11" t="s">
        <v>511</v>
      </c>
      <c r="I942" s="11" t="s">
        <v>945</v>
      </c>
      <c r="J942" s="11" t="s">
        <v>31</v>
      </c>
      <c r="K942" s="11" t="s">
        <v>489</v>
      </c>
      <c r="L942" s="11" t="s">
        <v>517</v>
      </c>
      <c r="M942" s="11" t="s">
        <v>32</v>
      </c>
      <c r="N942" s="11" t="s">
        <v>653</v>
      </c>
      <c r="O942" s="11" t="s">
        <v>312</v>
      </c>
      <c r="P942" s="11" t="s">
        <v>174</v>
      </c>
      <c r="Q942" s="11" t="s">
        <v>604</v>
      </c>
      <c r="R942" s="11" t="s">
        <v>596</v>
      </c>
      <c r="S942" s="11" t="s">
        <v>35</v>
      </c>
      <c r="T942" s="158">
        <v>4.8680000000000003</v>
      </c>
      <c r="U942" s="11" t="s">
        <v>2312</v>
      </c>
      <c r="V942" s="174">
        <v>4.8300000000000003E-2</v>
      </c>
      <c r="W942" s="189">
        <v>4.6039999999999998E-2</v>
      </c>
      <c r="X942" s="4" t="s">
        <v>602</v>
      </c>
      <c r="Y942" s="4" t="s">
        <v>312</v>
      </c>
      <c r="Z942" s="158">
        <v>29000</v>
      </c>
      <c r="AA942" s="158">
        <v>1</v>
      </c>
      <c r="AB942" s="158">
        <v>104.35</v>
      </c>
      <c r="AD942" s="158">
        <v>30.262</v>
      </c>
      <c r="AG942" s="11" t="s">
        <v>37</v>
      </c>
      <c r="AH942" s="189">
        <v>7.1000000000000005E-5</v>
      </c>
      <c r="AI942" s="189">
        <v>1.3506145275512099E-3</v>
      </c>
      <c r="AJ942" s="189">
        <v>3.1122464527729202E-4</v>
      </c>
    </row>
    <row r="943" spans="1:36">
      <c r="A943" s="11" t="s">
        <v>256</v>
      </c>
      <c r="B943" s="11">
        <v>7207</v>
      </c>
      <c r="C943" s="11" t="s">
        <v>2313</v>
      </c>
      <c r="D943" s="11" t="s">
        <v>2314</v>
      </c>
      <c r="E943" s="4" t="s">
        <v>1552</v>
      </c>
      <c r="F943" s="11" t="s">
        <v>2315</v>
      </c>
      <c r="G943" s="11" t="s">
        <v>2316</v>
      </c>
      <c r="H943" s="11" t="s">
        <v>511</v>
      </c>
      <c r="I943" s="11" t="s">
        <v>945</v>
      </c>
      <c r="J943" s="11" t="s">
        <v>31</v>
      </c>
      <c r="K943" s="11" t="s">
        <v>31</v>
      </c>
      <c r="L943" s="11" t="s">
        <v>517</v>
      </c>
      <c r="M943" s="11" t="s">
        <v>32</v>
      </c>
      <c r="N943" s="11" t="s">
        <v>652</v>
      </c>
      <c r="O943" s="11" t="s">
        <v>312</v>
      </c>
      <c r="P943" s="11" t="s">
        <v>168</v>
      </c>
      <c r="Q943" s="11" t="s">
        <v>604</v>
      </c>
      <c r="R943" s="11" t="s">
        <v>596</v>
      </c>
      <c r="S943" s="11" t="s">
        <v>35</v>
      </c>
      <c r="T943" s="158">
        <v>1.405</v>
      </c>
      <c r="U943" s="11" t="s">
        <v>2317</v>
      </c>
      <c r="V943" s="174">
        <v>2.5000000000000001E-2</v>
      </c>
      <c r="W943" s="189">
        <v>2.4649999999999998E-2</v>
      </c>
      <c r="X943" s="4" t="s">
        <v>602</v>
      </c>
      <c r="Y943" s="4" t="s">
        <v>312</v>
      </c>
      <c r="Z943" s="158">
        <v>77381</v>
      </c>
      <c r="AA943" s="158">
        <v>1</v>
      </c>
      <c r="AB943" s="158">
        <v>114.98</v>
      </c>
      <c r="AD943" s="158">
        <v>88.972999999999999</v>
      </c>
      <c r="AG943" s="11" t="s">
        <v>37</v>
      </c>
      <c r="AH943" s="189">
        <v>2.34E-4</v>
      </c>
      <c r="AI943" s="189">
        <v>3.9709791579847298E-3</v>
      </c>
      <c r="AJ943" s="189">
        <v>9.1504019439807001E-4</v>
      </c>
    </row>
    <row r="944" spans="1:36">
      <c r="A944" s="11" t="s">
        <v>256</v>
      </c>
      <c r="B944" s="11">
        <v>7207</v>
      </c>
      <c r="C944" s="11" t="s">
        <v>2318</v>
      </c>
      <c r="D944" s="11" t="s">
        <v>2319</v>
      </c>
      <c r="E944" s="4" t="s">
        <v>1552</v>
      </c>
      <c r="F944" s="11" t="s">
        <v>2320</v>
      </c>
      <c r="G944" s="11" t="s">
        <v>2321</v>
      </c>
      <c r="H944" s="11" t="s">
        <v>511</v>
      </c>
      <c r="I944" s="11" t="s">
        <v>945</v>
      </c>
      <c r="J944" s="11" t="s">
        <v>31</v>
      </c>
      <c r="K944" s="11" t="s">
        <v>31</v>
      </c>
      <c r="L944" s="11" t="s">
        <v>517</v>
      </c>
      <c r="M944" s="11" t="s">
        <v>32</v>
      </c>
      <c r="N944" s="11" t="s">
        <v>639</v>
      </c>
      <c r="O944" s="11" t="s">
        <v>312</v>
      </c>
      <c r="P944" s="11" t="s">
        <v>2161</v>
      </c>
      <c r="Q944" s="11" t="s">
        <v>358</v>
      </c>
      <c r="R944" s="11" t="s">
        <v>596</v>
      </c>
      <c r="S944" s="11" t="s">
        <v>35</v>
      </c>
      <c r="T944" s="158">
        <v>4.3819999999999997</v>
      </c>
      <c r="U944" s="11" t="s">
        <v>2322</v>
      </c>
      <c r="V944" s="174">
        <v>7.4999999999999997E-3</v>
      </c>
      <c r="W944" s="189">
        <v>3.9260000000000003E-2</v>
      </c>
      <c r="X944" s="4" t="s">
        <v>602</v>
      </c>
      <c r="Y944" s="4" t="s">
        <v>312</v>
      </c>
      <c r="Z944" s="158">
        <v>152000</v>
      </c>
      <c r="AA944" s="158">
        <v>1</v>
      </c>
      <c r="AB944" s="158">
        <v>96.11</v>
      </c>
      <c r="AD944" s="158">
        <v>146.08699999999999</v>
      </c>
      <c r="AG944" s="11" t="s">
        <v>37</v>
      </c>
      <c r="AH944" s="189">
        <v>1.45E-4</v>
      </c>
      <c r="AI944" s="189">
        <v>6.5200830959892602E-3</v>
      </c>
      <c r="AJ944" s="189">
        <v>1.5024350081639299E-3</v>
      </c>
    </row>
    <row r="945" spans="1:36">
      <c r="A945" s="11" t="s">
        <v>256</v>
      </c>
      <c r="B945" s="11">
        <v>7207</v>
      </c>
      <c r="C945" s="11" t="s">
        <v>2323</v>
      </c>
      <c r="D945" s="11" t="s">
        <v>2324</v>
      </c>
      <c r="E945" s="4" t="s">
        <v>504</v>
      </c>
      <c r="F945" s="11" t="s">
        <v>2325</v>
      </c>
      <c r="G945" s="11" t="s">
        <v>2326</v>
      </c>
      <c r="H945" s="11" t="s">
        <v>511</v>
      </c>
      <c r="I945" s="11" t="s">
        <v>1154</v>
      </c>
      <c r="J945" s="11" t="s">
        <v>154</v>
      </c>
      <c r="K945" s="11" t="s">
        <v>155</v>
      </c>
      <c r="L945" s="11" t="s">
        <v>517</v>
      </c>
      <c r="M945" s="11" t="s">
        <v>32</v>
      </c>
      <c r="N945" s="11" t="s">
        <v>653</v>
      </c>
      <c r="O945" s="11" t="s">
        <v>312</v>
      </c>
      <c r="P945" s="11" t="s">
        <v>2327</v>
      </c>
      <c r="Q945" s="11" t="s">
        <v>358</v>
      </c>
      <c r="R945" s="11" t="s">
        <v>596</v>
      </c>
      <c r="S945" s="11" t="s">
        <v>35</v>
      </c>
      <c r="T945" s="158">
        <v>2.3919999999999999</v>
      </c>
      <c r="U945" s="11" t="s">
        <v>2328</v>
      </c>
      <c r="V945" s="174">
        <v>0.08</v>
      </c>
      <c r="W945" s="189">
        <v>0.16452</v>
      </c>
      <c r="X945" s="4" t="s">
        <v>602</v>
      </c>
      <c r="Y945" s="4" t="s">
        <v>312</v>
      </c>
      <c r="Z945" s="158">
        <v>57720.1</v>
      </c>
      <c r="AA945" s="158">
        <v>1</v>
      </c>
      <c r="AB945" s="158">
        <v>83.99</v>
      </c>
      <c r="AD945" s="158">
        <v>48.478999999999999</v>
      </c>
      <c r="AG945" s="11" t="s">
        <v>37</v>
      </c>
      <c r="AH945" s="189">
        <v>6.3999999999999997E-5</v>
      </c>
      <c r="AI945" s="189">
        <v>2.16369290803417E-3</v>
      </c>
      <c r="AJ945" s="189">
        <v>4.9858382540342804E-4</v>
      </c>
    </row>
    <row r="946" spans="1:36">
      <c r="A946" s="11" t="s">
        <v>256</v>
      </c>
      <c r="B946" s="11">
        <v>7207</v>
      </c>
      <c r="C946" s="11" t="s">
        <v>2329</v>
      </c>
      <c r="D946" s="11" t="s">
        <v>2330</v>
      </c>
      <c r="E946" s="4" t="s">
        <v>34</v>
      </c>
      <c r="F946" s="11" t="s">
        <v>2331</v>
      </c>
      <c r="G946" s="11" t="s">
        <v>2332</v>
      </c>
      <c r="H946" s="11" t="s">
        <v>511</v>
      </c>
      <c r="I946" s="11" t="s">
        <v>1154</v>
      </c>
      <c r="J946" s="11" t="s">
        <v>31</v>
      </c>
      <c r="K946" s="11" t="s">
        <v>155</v>
      </c>
      <c r="L946" s="11" t="s">
        <v>517</v>
      </c>
      <c r="M946" s="11" t="s">
        <v>32</v>
      </c>
      <c r="N946" s="11" t="s">
        <v>653</v>
      </c>
      <c r="O946" s="11" t="s">
        <v>312</v>
      </c>
      <c r="P946" s="11" t="s">
        <v>2234</v>
      </c>
      <c r="Q946" s="11" t="s">
        <v>358</v>
      </c>
      <c r="R946" s="11" t="s">
        <v>596</v>
      </c>
      <c r="S946" s="11" t="s">
        <v>35</v>
      </c>
      <c r="T946" s="158">
        <v>2.2709999999999999</v>
      </c>
      <c r="U946" s="11" t="s">
        <v>2333</v>
      </c>
      <c r="V946" s="174">
        <v>6.8000000000000005E-2</v>
      </c>
      <c r="W946" s="189">
        <v>6.3880000000000006E-2</v>
      </c>
      <c r="X946" s="4" t="s">
        <v>602</v>
      </c>
      <c r="Y946" s="4" t="s">
        <v>312</v>
      </c>
      <c r="Z946" s="158">
        <v>32010</v>
      </c>
      <c r="AA946" s="158">
        <v>1</v>
      </c>
      <c r="AB946" s="158">
        <v>101.14</v>
      </c>
      <c r="AD946" s="158">
        <v>32.375</v>
      </c>
      <c r="AG946" s="11" t="s">
        <v>37</v>
      </c>
      <c r="AH946" s="189">
        <v>9.1000000000000003E-5</v>
      </c>
      <c r="AI946" s="189">
        <v>1.4449392520734601E-3</v>
      </c>
      <c r="AJ946" s="189">
        <v>3.3296006891703401E-4</v>
      </c>
    </row>
    <row r="947" spans="1:36">
      <c r="A947" s="11" t="s">
        <v>256</v>
      </c>
      <c r="B947" s="11">
        <v>7207</v>
      </c>
      <c r="C947" s="11" t="s">
        <v>1738</v>
      </c>
      <c r="D947" s="11" t="s">
        <v>1739</v>
      </c>
      <c r="E947" s="4" t="s">
        <v>1552</v>
      </c>
      <c r="F947" s="11" t="s">
        <v>2334</v>
      </c>
      <c r="G947" s="11" t="s">
        <v>2335</v>
      </c>
      <c r="H947" s="11" t="s">
        <v>511</v>
      </c>
      <c r="I947" s="11" t="s">
        <v>945</v>
      </c>
      <c r="J947" s="11" t="s">
        <v>31</v>
      </c>
      <c r="K947" s="11" t="s">
        <v>31</v>
      </c>
      <c r="L947" s="11" t="s">
        <v>517</v>
      </c>
      <c r="M947" s="11" t="s">
        <v>50</v>
      </c>
      <c r="N947" s="11" t="s">
        <v>629</v>
      </c>
      <c r="O947" s="11" t="s">
        <v>312</v>
      </c>
      <c r="P947" s="27" t="s">
        <v>2165</v>
      </c>
      <c r="Q947" s="27" t="s">
        <v>2165</v>
      </c>
      <c r="R947" s="16" t="s">
        <v>2165</v>
      </c>
      <c r="S947" s="11" t="s">
        <v>35</v>
      </c>
      <c r="T947" s="158">
        <v>4.6539999999999999</v>
      </c>
      <c r="U947" s="11" t="s">
        <v>2336</v>
      </c>
      <c r="V947" s="174">
        <v>4.7E-2</v>
      </c>
      <c r="W947" s="189">
        <v>4.7539999999999999E-2</v>
      </c>
      <c r="X947" s="4" t="s">
        <v>602</v>
      </c>
      <c r="Y947" s="4" t="s">
        <v>312</v>
      </c>
      <c r="Z947" s="158">
        <v>50500.12</v>
      </c>
      <c r="AA947" s="158">
        <v>1</v>
      </c>
      <c r="AB947" s="158">
        <v>102.67</v>
      </c>
      <c r="AD947" s="158">
        <v>51.847999999999999</v>
      </c>
      <c r="AG947" s="11" t="s">
        <v>37</v>
      </c>
      <c r="AH947" s="189">
        <v>1.15E-4</v>
      </c>
      <c r="AI947" s="189">
        <v>2.3140723738305099E-3</v>
      </c>
      <c r="AJ947" s="189">
        <v>5.3323604848021602E-4</v>
      </c>
    </row>
    <row r="948" spans="1:36">
      <c r="A948" s="11" t="s">
        <v>256</v>
      </c>
      <c r="B948" s="11">
        <v>7207</v>
      </c>
      <c r="C948" s="11" t="s">
        <v>2337</v>
      </c>
      <c r="D948" s="11" t="s">
        <v>2338</v>
      </c>
      <c r="E948" s="4" t="s">
        <v>1552</v>
      </c>
      <c r="F948" s="11" t="s">
        <v>2339</v>
      </c>
      <c r="G948" s="11" t="s">
        <v>2340</v>
      </c>
      <c r="H948" s="11" t="s">
        <v>511</v>
      </c>
      <c r="I948" s="11" t="s">
        <v>945</v>
      </c>
      <c r="J948" s="11" t="s">
        <v>31</v>
      </c>
      <c r="K948" s="11" t="s">
        <v>31</v>
      </c>
      <c r="L948" s="11" t="s">
        <v>517</v>
      </c>
      <c r="M948" s="11" t="s">
        <v>32</v>
      </c>
      <c r="N948" s="11" t="s">
        <v>636</v>
      </c>
      <c r="O948" s="11" t="s">
        <v>312</v>
      </c>
      <c r="P948" s="11" t="s">
        <v>157</v>
      </c>
      <c r="Q948" s="11" t="s">
        <v>604</v>
      </c>
      <c r="R948" s="11" t="s">
        <v>596</v>
      </c>
      <c r="S948" s="11" t="s">
        <v>35</v>
      </c>
      <c r="T948" s="158">
        <v>3.9630000000000001</v>
      </c>
      <c r="U948" s="11" t="s">
        <v>2341</v>
      </c>
      <c r="V948" s="174">
        <v>2E-3</v>
      </c>
      <c r="W948" s="189">
        <v>2.5309999999999999E-2</v>
      </c>
      <c r="X948" s="4" t="s">
        <v>602</v>
      </c>
      <c r="Y948" s="4" t="s">
        <v>312</v>
      </c>
      <c r="Z948" s="158">
        <v>298842.09999999998</v>
      </c>
      <c r="AA948" s="158">
        <v>1</v>
      </c>
      <c r="AB948" s="158">
        <v>100.85</v>
      </c>
      <c r="AD948" s="158">
        <v>301.38200000000001</v>
      </c>
      <c r="AG948" s="11" t="s">
        <v>37</v>
      </c>
      <c r="AH948" s="189">
        <v>7.7000000000000001E-5</v>
      </c>
      <c r="AI948" s="189">
        <v>1.34511262098176E-2</v>
      </c>
      <c r="AJ948" s="189">
        <v>3.0995683060071502E-3</v>
      </c>
    </row>
    <row r="949" spans="1:36">
      <c r="A949" s="11" t="s">
        <v>256</v>
      </c>
      <c r="B949" s="11">
        <v>7207</v>
      </c>
      <c r="C949" s="11" t="s">
        <v>2337</v>
      </c>
      <c r="D949" s="11" t="s">
        <v>2338</v>
      </c>
      <c r="E949" s="4" t="s">
        <v>1552</v>
      </c>
      <c r="F949" s="11" t="s">
        <v>2342</v>
      </c>
      <c r="G949" s="11" t="s">
        <v>2343</v>
      </c>
      <c r="H949" s="11" t="s">
        <v>511</v>
      </c>
      <c r="I949" s="11" t="s">
        <v>945</v>
      </c>
      <c r="J949" s="11" t="s">
        <v>31</v>
      </c>
      <c r="K949" s="11" t="s">
        <v>31</v>
      </c>
      <c r="L949" s="11" t="s">
        <v>517</v>
      </c>
      <c r="M949" s="11" t="s">
        <v>32</v>
      </c>
      <c r="N949" s="11" t="s">
        <v>636</v>
      </c>
      <c r="O949" s="11" t="s">
        <v>312</v>
      </c>
      <c r="P949" s="11" t="s">
        <v>157</v>
      </c>
      <c r="Q949" s="11" t="s">
        <v>604</v>
      </c>
      <c r="R949" s="11" t="s">
        <v>596</v>
      </c>
      <c r="S949" s="11" t="s">
        <v>35</v>
      </c>
      <c r="T949" s="158">
        <v>5.3019999999999996</v>
      </c>
      <c r="U949" s="11" t="s">
        <v>2344</v>
      </c>
      <c r="V949" s="174">
        <v>2.47E-2</v>
      </c>
      <c r="W949" s="189">
        <v>2.6040000000000001E-2</v>
      </c>
      <c r="X949" s="4" t="s">
        <v>602</v>
      </c>
      <c r="Y949" s="4" t="s">
        <v>312</v>
      </c>
      <c r="Z949" s="158">
        <v>29000</v>
      </c>
      <c r="AA949" s="158">
        <v>1</v>
      </c>
      <c r="AB949" s="158">
        <v>100.34</v>
      </c>
      <c r="AD949" s="158">
        <v>29.099</v>
      </c>
      <c r="AG949" s="11" t="s">
        <v>37</v>
      </c>
      <c r="AH949" s="189">
        <v>1.9000000000000001E-5</v>
      </c>
      <c r="AI949" s="189">
        <v>1.2987126180593E-3</v>
      </c>
      <c r="AJ949" s="189">
        <v>2.9926479067679399E-4</v>
      </c>
    </row>
    <row r="950" spans="1:36">
      <c r="A950" s="11" t="s">
        <v>256</v>
      </c>
      <c r="B950" s="11">
        <v>7207</v>
      </c>
      <c r="C950" s="11" t="s">
        <v>2337</v>
      </c>
      <c r="D950" s="11" t="s">
        <v>2338</v>
      </c>
      <c r="E950" s="4" t="s">
        <v>1552</v>
      </c>
      <c r="F950" s="11" t="s">
        <v>2345</v>
      </c>
      <c r="G950" s="11" t="s">
        <v>2346</v>
      </c>
      <c r="H950" s="11" t="s">
        <v>511</v>
      </c>
      <c r="I950" s="11" t="s">
        <v>1154</v>
      </c>
      <c r="J950" s="11" t="s">
        <v>31</v>
      </c>
      <c r="K950" s="11" t="s">
        <v>31</v>
      </c>
      <c r="L950" s="11" t="s">
        <v>517</v>
      </c>
      <c r="M950" s="11" t="s">
        <v>32</v>
      </c>
      <c r="N950" s="11" t="s">
        <v>636</v>
      </c>
      <c r="O950" s="11" t="s">
        <v>312</v>
      </c>
      <c r="P950" s="11" t="s">
        <v>157</v>
      </c>
      <c r="Q950" s="11" t="s">
        <v>604</v>
      </c>
      <c r="R950" s="11" t="s">
        <v>596</v>
      </c>
      <c r="S950" s="11" t="s">
        <v>35</v>
      </c>
      <c r="T950" s="158">
        <v>0.42699999999999999</v>
      </c>
      <c r="U950" s="11" t="s">
        <v>160</v>
      </c>
      <c r="V950" s="174">
        <v>1.8700000000000001E-2</v>
      </c>
      <c r="W950" s="189">
        <v>4.6260000000000003E-2</v>
      </c>
      <c r="X950" s="4" t="s">
        <v>602</v>
      </c>
      <c r="Y950" s="4" t="s">
        <v>312</v>
      </c>
      <c r="Z950" s="158">
        <v>438000.98</v>
      </c>
      <c r="AA950" s="158">
        <v>1</v>
      </c>
      <c r="AB950" s="158">
        <v>99.98</v>
      </c>
      <c r="AD950" s="158">
        <v>437.91300000000001</v>
      </c>
      <c r="AG950" s="11" t="s">
        <v>37</v>
      </c>
      <c r="AH950" s="189">
        <v>1.585E-3</v>
      </c>
      <c r="AI950" s="189">
        <v>1.9544707716812899E-2</v>
      </c>
      <c r="AJ950" s="189">
        <v>4.5037237510262198E-3</v>
      </c>
    </row>
    <row r="951" spans="1:36">
      <c r="A951" s="11" t="s">
        <v>256</v>
      </c>
      <c r="B951" s="11">
        <v>7207</v>
      </c>
      <c r="C951" s="11" t="s">
        <v>2337</v>
      </c>
      <c r="D951" s="11" t="s">
        <v>2338</v>
      </c>
      <c r="E951" s="4" t="s">
        <v>1552</v>
      </c>
      <c r="F951" s="11" t="s">
        <v>2347</v>
      </c>
      <c r="G951" s="11" t="s">
        <v>2348</v>
      </c>
      <c r="H951" s="11" t="s">
        <v>511</v>
      </c>
      <c r="I951" s="11" t="s">
        <v>1154</v>
      </c>
      <c r="J951" s="11" t="s">
        <v>31</v>
      </c>
      <c r="K951" s="11" t="s">
        <v>31</v>
      </c>
      <c r="L951" s="11" t="s">
        <v>517</v>
      </c>
      <c r="M951" s="11" t="s">
        <v>32</v>
      </c>
      <c r="N951" s="11" t="s">
        <v>636</v>
      </c>
      <c r="O951" s="11" t="s">
        <v>312</v>
      </c>
      <c r="P951" s="11" t="s">
        <v>157</v>
      </c>
      <c r="Q951" s="11" t="s">
        <v>604</v>
      </c>
      <c r="R951" s="11" t="s">
        <v>596</v>
      </c>
      <c r="S951" s="11" t="s">
        <v>35</v>
      </c>
      <c r="T951" s="158">
        <v>3.1379999999999999</v>
      </c>
      <c r="U951" s="11" t="s">
        <v>2349</v>
      </c>
      <c r="V951" s="174">
        <v>2.6800000000000001E-2</v>
      </c>
      <c r="W951" s="189">
        <v>5.0459999999999998E-2</v>
      </c>
      <c r="X951" s="4" t="s">
        <v>602</v>
      </c>
      <c r="Y951" s="4" t="s">
        <v>312</v>
      </c>
      <c r="Z951" s="158">
        <v>4000</v>
      </c>
      <c r="AA951" s="158">
        <v>1</v>
      </c>
      <c r="AB951" s="158">
        <v>94.27</v>
      </c>
      <c r="AD951" s="158">
        <v>3.7709999999999999</v>
      </c>
      <c r="AG951" s="11" t="s">
        <v>37</v>
      </c>
      <c r="AH951" s="189">
        <v>1.9999999999999999E-6</v>
      </c>
      <c r="AI951" s="189">
        <v>1.68296259619982E-4</v>
      </c>
      <c r="AJ951" s="189">
        <v>3.8780823568283501E-5</v>
      </c>
    </row>
    <row r="952" spans="1:36">
      <c r="A952" s="11" t="s">
        <v>256</v>
      </c>
      <c r="B952" s="11">
        <v>7207</v>
      </c>
      <c r="C952" s="11" t="s">
        <v>2350</v>
      </c>
      <c r="D952" s="11" t="s">
        <v>2351</v>
      </c>
      <c r="E952" s="4" t="s">
        <v>1552</v>
      </c>
      <c r="F952" s="11" t="s">
        <v>2352</v>
      </c>
      <c r="G952" s="11" t="s">
        <v>2353</v>
      </c>
      <c r="H952" s="11" t="s">
        <v>511</v>
      </c>
      <c r="I952" s="11" t="s">
        <v>1154</v>
      </c>
      <c r="J952" s="11" t="s">
        <v>31</v>
      </c>
      <c r="K952" s="11" t="s">
        <v>31</v>
      </c>
      <c r="L952" s="11" t="s">
        <v>517</v>
      </c>
      <c r="M952" s="11" t="s">
        <v>32</v>
      </c>
      <c r="N952" s="11" t="s">
        <v>639</v>
      </c>
      <c r="O952" s="11" t="s">
        <v>312</v>
      </c>
      <c r="P952" s="11" t="s">
        <v>2354</v>
      </c>
      <c r="Q952" s="11" t="s">
        <v>358</v>
      </c>
      <c r="R952" s="11" t="s">
        <v>596</v>
      </c>
      <c r="S952" s="11" t="s">
        <v>35</v>
      </c>
      <c r="T952" s="158">
        <v>1.4279999999999999</v>
      </c>
      <c r="U952" s="11" t="s">
        <v>2355</v>
      </c>
      <c r="V952" s="174">
        <v>5.8000000000000003E-2</v>
      </c>
      <c r="W952" s="189">
        <v>7.8689999999999996E-2</v>
      </c>
      <c r="X952" s="4" t="s">
        <v>602</v>
      </c>
      <c r="Y952" s="4" t="s">
        <v>312</v>
      </c>
      <c r="Z952" s="158">
        <v>15000.3</v>
      </c>
      <c r="AA952" s="158">
        <v>1</v>
      </c>
      <c r="AB952" s="158">
        <v>96.03</v>
      </c>
      <c r="AD952" s="158">
        <v>14.404999999999999</v>
      </c>
      <c r="AG952" s="11" t="s">
        <v>37</v>
      </c>
      <c r="AH952" s="189">
        <v>1.8E-5</v>
      </c>
      <c r="AI952" s="189">
        <v>6.4290653340550298E-4</v>
      </c>
      <c r="AJ952" s="189">
        <v>1.48146161413175E-4</v>
      </c>
    </row>
    <row r="953" spans="1:36">
      <c r="A953" s="11" t="s">
        <v>256</v>
      </c>
      <c r="B953" s="11">
        <v>7207</v>
      </c>
      <c r="C953" s="11" t="s">
        <v>2356</v>
      </c>
      <c r="D953" s="11" t="s">
        <v>2357</v>
      </c>
      <c r="E953" s="4" t="s">
        <v>1552</v>
      </c>
      <c r="F953" s="11" t="s">
        <v>2358</v>
      </c>
      <c r="G953" s="11" t="s">
        <v>2359</v>
      </c>
      <c r="H953" s="11" t="s">
        <v>511</v>
      </c>
      <c r="I953" s="11" t="s">
        <v>945</v>
      </c>
      <c r="J953" s="11" t="s">
        <v>31</v>
      </c>
      <c r="K953" s="11" t="s">
        <v>31</v>
      </c>
      <c r="L953" s="11" t="s">
        <v>517</v>
      </c>
      <c r="M953" s="11" t="s">
        <v>32</v>
      </c>
      <c r="N953" s="11" t="s">
        <v>628</v>
      </c>
      <c r="O953" s="11" t="s">
        <v>312</v>
      </c>
      <c r="P953" s="11" t="s">
        <v>2206</v>
      </c>
      <c r="Q953" s="11" t="s">
        <v>604</v>
      </c>
      <c r="R953" s="11" t="s">
        <v>596</v>
      </c>
      <c r="S953" s="11" t="s">
        <v>35</v>
      </c>
      <c r="T953" s="158">
        <v>5.9729999999999999</v>
      </c>
      <c r="U953" s="11" t="s">
        <v>2360</v>
      </c>
      <c r="V953" s="174">
        <v>3.3000000000000002E-2</v>
      </c>
      <c r="W953" s="189">
        <v>4.1739999999999999E-2</v>
      </c>
      <c r="X953" s="4" t="s">
        <v>602</v>
      </c>
      <c r="Y953" s="4" t="s">
        <v>312</v>
      </c>
      <c r="Z953" s="158">
        <v>13000.28</v>
      </c>
      <c r="AA953" s="158">
        <v>1</v>
      </c>
      <c r="AB953" s="158">
        <v>100.71</v>
      </c>
      <c r="AD953" s="158">
        <v>13.093</v>
      </c>
      <c r="AG953" s="11" t="s">
        <v>37</v>
      </c>
      <c r="AH953" s="189">
        <v>1.0000000000000001E-5</v>
      </c>
      <c r="AI953" s="189">
        <v>5.8434087656421805E-4</v>
      </c>
      <c r="AJ953" s="189">
        <v>1.3465076698045901E-4</v>
      </c>
    </row>
    <row r="954" spans="1:36">
      <c r="A954" s="11" t="s">
        <v>256</v>
      </c>
      <c r="B954" s="11">
        <v>7207</v>
      </c>
      <c r="C954" s="11" t="s">
        <v>2361</v>
      </c>
      <c r="D954" s="11" t="s">
        <v>2362</v>
      </c>
      <c r="E954" s="4" t="s">
        <v>1552</v>
      </c>
      <c r="F954" s="11" t="s">
        <v>2861</v>
      </c>
      <c r="G954" s="11" t="s">
        <v>2862</v>
      </c>
      <c r="H954" s="11" t="s">
        <v>511</v>
      </c>
      <c r="I954" s="11" t="s">
        <v>1154</v>
      </c>
      <c r="J954" s="11" t="s">
        <v>31</v>
      </c>
      <c r="K954" s="11" t="s">
        <v>31</v>
      </c>
      <c r="L954" s="11" t="s">
        <v>517</v>
      </c>
      <c r="M954" s="11" t="s">
        <v>32</v>
      </c>
      <c r="N954" s="11" t="s">
        <v>642</v>
      </c>
      <c r="O954" s="11" t="s">
        <v>312</v>
      </c>
      <c r="P954" s="11" t="s">
        <v>2206</v>
      </c>
      <c r="Q954" s="11" t="s">
        <v>604</v>
      </c>
      <c r="R954" s="11" t="s">
        <v>596</v>
      </c>
      <c r="S954" s="11" t="s">
        <v>35</v>
      </c>
      <c r="T954" s="158">
        <v>2.8809999999999998</v>
      </c>
      <c r="U954" s="11" t="s">
        <v>2863</v>
      </c>
      <c r="V954" s="174">
        <v>6.7500000000000004E-2</v>
      </c>
      <c r="W954" s="189">
        <v>6.1519999999999998E-2</v>
      </c>
      <c r="X954" s="4" t="s">
        <v>602</v>
      </c>
      <c r="Y954" s="4" t="s">
        <v>312</v>
      </c>
      <c r="Z954" s="158">
        <v>63000.39</v>
      </c>
      <c r="AA954" s="158">
        <v>1</v>
      </c>
      <c r="AB954" s="158">
        <v>104.46</v>
      </c>
      <c r="AD954" s="158">
        <v>65.81</v>
      </c>
      <c r="AG954" s="11" t="s">
        <v>37</v>
      </c>
      <c r="AH954" s="189">
        <v>3.6000000000000001E-5</v>
      </c>
      <c r="AI954" s="189">
        <v>2.9372047706655098E-3</v>
      </c>
      <c r="AJ954" s="189">
        <v>6.7682561842019205E-4</v>
      </c>
    </row>
    <row r="955" spans="1:36">
      <c r="A955" s="11" t="s">
        <v>256</v>
      </c>
      <c r="B955" s="11">
        <v>7207</v>
      </c>
      <c r="C955" s="11" t="s">
        <v>2361</v>
      </c>
      <c r="D955" s="11" t="s">
        <v>2362</v>
      </c>
      <c r="E955" s="4" t="s">
        <v>1552</v>
      </c>
      <c r="F955" s="11" t="s">
        <v>2363</v>
      </c>
      <c r="G955" s="11" t="s">
        <v>2364</v>
      </c>
      <c r="H955" s="11" t="s">
        <v>511</v>
      </c>
      <c r="I955" s="11" t="s">
        <v>1154</v>
      </c>
      <c r="J955" s="11" t="s">
        <v>31</v>
      </c>
      <c r="K955" s="11" t="s">
        <v>31</v>
      </c>
      <c r="L955" s="11" t="s">
        <v>517</v>
      </c>
      <c r="M955" s="11" t="s">
        <v>32</v>
      </c>
      <c r="N955" s="11" t="s">
        <v>642</v>
      </c>
      <c r="O955" s="11" t="s">
        <v>312</v>
      </c>
      <c r="P955" s="11" t="s">
        <v>2206</v>
      </c>
      <c r="Q955" s="11" t="s">
        <v>604</v>
      </c>
      <c r="R955" s="11" t="s">
        <v>596</v>
      </c>
      <c r="S955" s="11" t="s">
        <v>35</v>
      </c>
      <c r="T955" s="158">
        <v>4.0739999999999998</v>
      </c>
      <c r="U955" s="11" t="s">
        <v>2365</v>
      </c>
      <c r="V955" s="174">
        <v>6.5199999999999994E-2</v>
      </c>
      <c r="W955" s="189">
        <v>6.3450000000000006E-2</v>
      </c>
      <c r="X955" s="4" t="s">
        <v>602</v>
      </c>
      <c r="Y955" s="4" t="s">
        <v>312</v>
      </c>
      <c r="Z955" s="158">
        <v>1</v>
      </c>
      <c r="AA955" s="158">
        <v>1</v>
      </c>
      <c r="AB955" s="158">
        <v>101.71</v>
      </c>
      <c r="AD955" s="158">
        <v>1E-3</v>
      </c>
      <c r="AG955" s="11" t="s">
        <v>37</v>
      </c>
      <c r="AH955" s="189">
        <v>0</v>
      </c>
      <c r="AI955" s="189">
        <v>4.5394644547439302E-8</v>
      </c>
      <c r="AJ955" s="189">
        <v>1.04603733030925E-8</v>
      </c>
    </row>
    <row r="956" spans="1:36">
      <c r="A956" s="11" t="s">
        <v>256</v>
      </c>
      <c r="B956" s="11">
        <v>7207</v>
      </c>
      <c r="C956" s="11" t="s">
        <v>2361</v>
      </c>
      <c r="D956" s="11" t="s">
        <v>2362</v>
      </c>
      <c r="E956" s="4" t="s">
        <v>1552</v>
      </c>
      <c r="F956" s="11" t="s">
        <v>2366</v>
      </c>
      <c r="G956" s="11" t="s">
        <v>2364</v>
      </c>
      <c r="H956" s="11" t="s">
        <v>511</v>
      </c>
      <c r="I956" s="11" t="s">
        <v>1154</v>
      </c>
      <c r="J956" s="11" t="s">
        <v>31</v>
      </c>
      <c r="K956" s="11" t="s">
        <v>31</v>
      </c>
      <c r="L956" s="16" t="s">
        <v>519</v>
      </c>
      <c r="M956" s="11" t="s">
        <v>32</v>
      </c>
      <c r="N956" s="11" t="s">
        <v>642</v>
      </c>
      <c r="O956" s="11" t="s">
        <v>312</v>
      </c>
      <c r="P956" s="11" t="s">
        <v>2206</v>
      </c>
      <c r="Q956" s="11" t="s">
        <v>604</v>
      </c>
      <c r="R956" s="11" t="s">
        <v>596</v>
      </c>
      <c r="S956" s="11" t="s">
        <v>35</v>
      </c>
      <c r="T956" s="158">
        <v>4.0999999999999996</v>
      </c>
      <c r="U956" s="11" t="s">
        <v>2365</v>
      </c>
      <c r="V956" s="174">
        <v>6.5199999999999994E-2</v>
      </c>
      <c r="W956" s="189">
        <v>6.4449999999999993E-2</v>
      </c>
      <c r="X956" s="4" t="s">
        <v>602</v>
      </c>
      <c r="Y956" s="4" t="s">
        <v>312</v>
      </c>
      <c r="Z956" s="158">
        <v>47058.82</v>
      </c>
      <c r="AA956" s="158">
        <v>1</v>
      </c>
      <c r="AB956" s="158">
        <v>101.71</v>
      </c>
      <c r="AD956" s="158">
        <v>47.863999999999997</v>
      </c>
      <c r="AG956" s="11" t="s">
        <v>37</v>
      </c>
      <c r="AH956" s="189">
        <v>0</v>
      </c>
      <c r="AI956" s="189">
        <v>2.1362184067219301E-3</v>
      </c>
      <c r="AJ956" s="189">
        <v>4.9225282440303498E-4</v>
      </c>
    </row>
    <row r="957" spans="1:36">
      <c r="A957" s="11" t="s">
        <v>256</v>
      </c>
      <c r="B957" s="11">
        <v>7207</v>
      </c>
      <c r="C957" s="11" t="s">
        <v>2361</v>
      </c>
      <c r="D957" s="11" t="s">
        <v>2362</v>
      </c>
      <c r="E957" s="4" t="s">
        <v>1552</v>
      </c>
      <c r="F957" s="11" t="s">
        <v>2367</v>
      </c>
      <c r="G957" s="11" t="s">
        <v>2368</v>
      </c>
      <c r="H957" s="11" t="s">
        <v>511</v>
      </c>
      <c r="I957" s="11" t="s">
        <v>1154</v>
      </c>
      <c r="J957" s="11" t="s">
        <v>31</v>
      </c>
      <c r="K957" s="11" t="s">
        <v>31</v>
      </c>
      <c r="L957" s="11" t="s">
        <v>517</v>
      </c>
      <c r="M957" s="11" t="s">
        <v>50</v>
      </c>
      <c r="N957" s="11" t="s">
        <v>642</v>
      </c>
      <c r="O957" s="11" t="s">
        <v>312</v>
      </c>
      <c r="P957" s="11" t="s">
        <v>2206</v>
      </c>
      <c r="Q957" s="11" t="s">
        <v>604</v>
      </c>
      <c r="R957" s="11" t="s">
        <v>596</v>
      </c>
      <c r="S957" s="11" t="s">
        <v>35</v>
      </c>
      <c r="T957" s="158">
        <v>5.5659999999999998</v>
      </c>
      <c r="U957" s="11" t="s">
        <v>2369</v>
      </c>
      <c r="V957" s="174">
        <v>6.3799999999999996E-2</v>
      </c>
      <c r="W957" s="189">
        <v>6.7699999999999996E-2</v>
      </c>
      <c r="X957" s="4" t="s">
        <v>602</v>
      </c>
      <c r="Y957" s="4" t="s">
        <v>312</v>
      </c>
      <c r="Z957" s="158">
        <v>30000</v>
      </c>
      <c r="AA957" s="158">
        <v>1</v>
      </c>
      <c r="AB957" s="158">
        <v>98.24</v>
      </c>
      <c r="AD957" s="158">
        <v>29.472000000000001</v>
      </c>
      <c r="AG957" s="11" t="s">
        <v>37</v>
      </c>
      <c r="AH957" s="189">
        <v>3.0000000000000001E-5</v>
      </c>
      <c r="AI957" s="189">
        <v>1.31537800029705E-3</v>
      </c>
      <c r="AJ957" s="189">
        <v>3.0310502604339999E-4</v>
      </c>
    </row>
    <row r="958" spans="1:36">
      <c r="A958" s="11" t="s">
        <v>256</v>
      </c>
      <c r="B958" s="11">
        <v>7207</v>
      </c>
      <c r="C958" s="11" t="s">
        <v>1754</v>
      </c>
      <c r="D958" s="11" t="s">
        <v>1755</v>
      </c>
      <c r="E958" s="4" t="s">
        <v>1552</v>
      </c>
      <c r="F958" s="11" t="s">
        <v>2370</v>
      </c>
      <c r="G958" s="11" t="s">
        <v>2371</v>
      </c>
      <c r="H958" s="11" t="s">
        <v>511</v>
      </c>
      <c r="I958" s="11" t="s">
        <v>1154</v>
      </c>
      <c r="J958" s="11" t="s">
        <v>31</v>
      </c>
      <c r="K958" s="11" t="s">
        <v>31</v>
      </c>
      <c r="L958" s="11" t="s">
        <v>517</v>
      </c>
      <c r="M958" s="11" t="s">
        <v>32</v>
      </c>
      <c r="N958" s="11" t="s">
        <v>635</v>
      </c>
      <c r="O958" s="11" t="s">
        <v>312</v>
      </c>
      <c r="P958" s="11" t="s">
        <v>168</v>
      </c>
      <c r="Q958" s="11" t="s">
        <v>604</v>
      </c>
      <c r="R958" s="11" t="s">
        <v>596</v>
      </c>
      <c r="S958" s="11" t="s">
        <v>35</v>
      </c>
      <c r="T958" s="158">
        <v>0.98699999999999999</v>
      </c>
      <c r="U958" s="11" t="s">
        <v>2188</v>
      </c>
      <c r="V958" s="174">
        <v>3.0499999999999999E-2</v>
      </c>
      <c r="W958" s="189">
        <v>5.5820000000000002E-2</v>
      </c>
      <c r="X958" s="4" t="s">
        <v>602</v>
      </c>
      <c r="Y958" s="4" t="s">
        <v>312</v>
      </c>
      <c r="Z958" s="158">
        <v>12333.33</v>
      </c>
      <c r="AA958" s="158">
        <v>1</v>
      </c>
      <c r="AB958" s="158">
        <v>97.67</v>
      </c>
      <c r="AD958" s="158">
        <v>12.045999999999999</v>
      </c>
      <c r="AG958" s="11" t="s">
        <v>37</v>
      </c>
      <c r="AH958" s="189">
        <v>1.84E-4</v>
      </c>
      <c r="AI958" s="189">
        <v>5.3762877521758398E-4</v>
      </c>
      <c r="AJ958" s="189">
        <v>1.23886809629784E-4</v>
      </c>
    </row>
    <row r="959" spans="1:36">
      <c r="A959" s="11" t="s">
        <v>256</v>
      </c>
      <c r="B959" s="11">
        <v>7207</v>
      </c>
      <c r="C959" s="11" t="s">
        <v>2372</v>
      </c>
      <c r="D959" s="11" t="s">
        <v>2373</v>
      </c>
      <c r="E959" s="4" t="s">
        <v>1552</v>
      </c>
      <c r="F959" s="11" t="s">
        <v>2374</v>
      </c>
      <c r="G959" s="11" t="s">
        <v>2375</v>
      </c>
      <c r="H959" s="11" t="s">
        <v>511</v>
      </c>
      <c r="I959" s="11" t="s">
        <v>945</v>
      </c>
      <c r="J959" s="11" t="s">
        <v>31</v>
      </c>
      <c r="K959" s="11" t="s">
        <v>31</v>
      </c>
      <c r="L959" s="11" t="s">
        <v>517</v>
      </c>
      <c r="M959" s="11" t="s">
        <v>32</v>
      </c>
      <c r="N959" s="11" t="s">
        <v>652</v>
      </c>
      <c r="O959" s="11" t="s">
        <v>312</v>
      </c>
      <c r="P959" s="11" t="s">
        <v>2234</v>
      </c>
      <c r="Q959" s="11" t="s">
        <v>358</v>
      </c>
      <c r="R959" s="11" t="s">
        <v>596</v>
      </c>
      <c r="S959" s="11" t="s">
        <v>35</v>
      </c>
      <c r="T959" s="158">
        <v>3.4430000000000001</v>
      </c>
      <c r="U959" s="11" t="s">
        <v>2376</v>
      </c>
      <c r="V959" s="174">
        <v>2.7E-2</v>
      </c>
      <c r="W959" s="189">
        <v>3.4229999999999997E-2</v>
      </c>
      <c r="X959" s="4" t="s">
        <v>602</v>
      </c>
      <c r="Y959" s="4" t="s">
        <v>312</v>
      </c>
      <c r="Z959" s="158">
        <v>40000</v>
      </c>
      <c r="AA959" s="158">
        <v>1</v>
      </c>
      <c r="AB959" s="158">
        <v>102.95</v>
      </c>
      <c r="AD959" s="158">
        <v>41.18</v>
      </c>
      <c r="AG959" s="11" t="s">
        <v>37</v>
      </c>
      <c r="AH959" s="189">
        <v>9.1000000000000003E-5</v>
      </c>
      <c r="AI959" s="189">
        <v>1.8379229795138601E-3</v>
      </c>
      <c r="AJ959" s="189">
        <v>4.2351604819717702E-4</v>
      </c>
    </row>
    <row r="960" spans="1:36">
      <c r="A960" s="11" t="s">
        <v>256</v>
      </c>
      <c r="B960" s="11">
        <v>7207</v>
      </c>
      <c r="C960" s="11" t="s">
        <v>2377</v>
      </c>
      <c r="D960" s="11" t="s">
        <v>2378</v>
      </c>
      <c r="E960" s="4" t="s">
        <v>504</v>
      </c>
      <c r="F960" s="11" t="s">
        <v>2379</v>
      </c>
      <c r="G960" s="11" t="s">
        <v>2380</v>
      </c>
      <c r="H960" s="11" t="s">
        <v>511</v>
      </c>
      <c r="I960" s="11" t="s">
        <v>1154</v>
      </c>
      <c r="J960" s="11" t="s">
        <v>31</v>
      </c>
      <c r="K960" s="11" t="s">
        <v>489</v>
      </c>
      <c r="L960" s="11" t="s">
        <v>517</v>
      </c>
      <c r="M960" s="11" t="s">
        <v>32</v>
      </c>
      <c r="N960" s="11" t="s">
        <v>653</v>
      </c>
      <c r="O960" s="11" t="s">
        <v>312</v>
      </c>
      <c r="P960" s="11" t="s">
        <v>2381</v>
      </c>
      <c r="Q960" s="11" t="s">
        <v>604</v>
      </c>
      <c r="R960" s="11" t="s">
        <v>596</v>
      </c>
      <c r="S960" s="11" t="s">
        <v>35</v>
      </c>
      <c r="T960" s="158">
        <v>1.5149999999999999</v>
      </c>
      <c r="U960" s="11" t="s">
        <v>2382</v>
      </c>
      <c r="V960" s="174">
        <v>8.9499999999999996E-2</v>
      </c>
      <c r="W960" s="189">
        <v>0.12482</v>
      </c>
      <c r="X960" s="4" t="s">
        <v>602</v>
      </c>
      <c r="Y960" s="4" t="s">
        <v>312</v>
      </c>
      <c r="Z960" s="158">
        <v>36029.39</v>
      </c>
      <c r="AA960" s="158">
        <v>1</v>
      </c>
      <c r="AB960" s="158">
        <v>98.4</v>
      </c>
      <c r="AD960" s="158">
        <v>35.453000000000003</v>
      </c>
      <c r="AG960" s="11" t="s">
        <v>37</v>
      </c>
      <c r="AH960" s="189">
        <v>1.7799999999999999E-4</v>
      </c>
      <c r="AI960" s="189">
        <v>1.5823151024226599E-3</v>
      </c>
      <c r="AJ960" s="189">
        <v>3.6461584443435701E-4</v>
      </c>
    </row>
    <row r="961" spans="1:36">
      <c r="A961" s="11" t="s">
        <v>256</v>
      </c>
      <c r="B961" s="11">
        <v>7207</v>
      </c>
      <c r="C961" s="11" t="s">
        <v>2031</v>
      </c>
      <c r="D961" s="11" t="s">
        <v>2032</v>
      </c>
      <c r="E961" s="4" t="s">
        <v>1552</v>
      </c>
      <c r="F961" s="11" t="s">
        <v>2383</v>
      </c>
      <c r="G961" s="11" t="s">
        <v>2384</v>
      </c>
      <c r="H961" s="11" t="s">
        <v>511</v>
      </c>
      <c r="I961" s="11" t="s">
        <v>1154</v>
      </c>
      <c r="J961" s="11" t="s">
        <v>31</v>
      </c>
      <c r="K961" s="11" t="s">
        <v>31</v>
      </c>
      <c r="L961" s="11" t="s">
        <v>517</v>
      </c>
      <c r="M961" s="11" t="s">
        <v>32</v>
      </c>
      <c r="N961" s="11" t="s">
        <v>652</v>
      </c>
      <c r="O961" s="11" t="s">
        <v>312</v>
      </c>
      <c r="P961" s="11" t="s">
        <v>2169</v>
      </c>
      <c r="Q961" s="11" t="s">
        <v>358</v>
      </c>
      <c r="R961" s="11" t="s">
        <v>596</v>
      </c>
      <c r="S961" s="11" t="s">
        <v>35</v>
      </c>
      <c r="T961" s="158">
        <v>0.98</v>
      </c>
      <c r="U961" s="11" t="s">
        <v>2385</v>
      </c>
      <c r="V961" s="174">
        <v>2.5499999999999998E-2</v>
      </c>
      <c r="W961" s="189">
        <v>4.9250000000000002E-2</v>
      </c>
      <c r="X961" s="4" t="s">
        <v>602</v>
      </c>
      <c r="Y961" s="4" t="s">
        <v>312</v>
      </c>
      <c r="Z961" s="158">
        <v>26000</v>
      </c>
      <c r="AA961" s="158">
        <v>1</v>
      </c>
      <c r="AB961" s="158">
        <v>97.83</v>
      </c>
      <c r="AD961" s="158">
        <v>25.436</v>
      </c>
      <c r="AG961" s="11" t="s">
        <v>37</v>
      </c>
      <c r="AH961" s="189">
        <v>1.2899999999999999E-4</v>
      </c>
      <c r="AI961" s="189">
        <v>1.13523655469448E-3</v>
      </c>
      <c r="AJ961" s="189">
        <v>2.61594693995477E-4</v>
      </c>
    </row>
    <row r="962" spans="1:36">
      <c r="A962" s="11" t="s">
        <v>256</v>
      </c>
      <c r="B962" s="11">
        <v>7207</v>
      </c>
      <c r="C962" s="11" t="s">
        <v>2864</v>
      </c>
      <c r="D962" s="11" t="s">
        <v>2865</v>
      </c>
      <c r="E962" s="4" t="s">
        <v>1552</v>
      </c>
      <c r="F962" s="11" t="s">
        <v>2866</v>
      </c>
      <c r="G962" s="11" t="s">
        <v>2867</v>
      </c>
      <c r="H962" s="11" t="s">
        <v>511</v>
      </c>
      <c r="I962" s="11" t="s">
        <v>945</v>
      </c>
      <c r="J962" s="11" t="s">
        <v>31</v>
      </c>
      <c r="K962" s="11" t="s">
        <v>31</v>
      </c>
      <c r="L962" s="11" t="s">
        <v>517</v>
      </c>
      <c r="M962" s="11" t="s">
        <v>32</v>
      </c>
      <c r="N962" s="11" t="s">
        <v>635</v>
      </c>
      <c r="O962" s="11" t="s">
        <v>312</v>
      </c>
      <c r="P962" s="27" t="s">
        <v>2165</v>
      </c>
      <c r="Q962" s="27" t="s">
        <v>2165</v>
      </c>
      <c r="R962" s="16" t="s">
        <v>2165</v>
      </c>
      <c r="S962" s="11" t="s">
        <v>35</v>
      </c>
      <c r="T962" s="158">
        <v>1.8859999999999999</v>
      </c>
      <c r="U962" s="11" t="s">
        <v>2333</v>
      </c>
      <c r="V962" s="174">
        <v>3.5000000000000003E-2</v>
      </c>
      <c r="W962" s="189">
        <v>3.9109999999999999E-2</v>
      </c>
      <c r="X962" s="4" t="s">
        <v>602</v>
      </c>
      <c r="Y962" s="4" t="s">
        <v>312</v>
      </c>
      <c r="Z962" s="158">
        <v>1000</v>
      </c>
      <c r="AA962" s="158">
        <v>1</v>
      </c>
      <c r="AB962" s="158">
        <v>106.77</v>
      </c>
      <c r="AD962" s="158">
        <v>1.0680000000000001</v>
      </c>
      <c r="AG962" s="11" t="s">
        <v>37</v>
      </c>
      <c r="AH962" s="189">
        <v>6.0000000000000002E-6</v>
      </c>
      <c r="AI962" s="189">
        <v>4.7652995755875498E-5</v>
      </c>
      <c r="AJ962" s="189">
        <v>1.09807694186529E-5</v>
      </c>
    </row>
    <row r="963" spans="1:36">
      <c r="A963" s="11" t="s">
        <v>256</v>
      </c>
      <c r="B963" s="11">
        <v>7207</v>
      </c>
      <c r="C963" s="11" t="s">
        <v>2837</v>
      </c>
      <c r="D963" s="11" t="s">
        <v>2838</v>
      </c>
      <c r="E963" s="4" t="s">
        <v>1552</v>
      </c>
      <c r="F963" s="11" t="s">
        <v>2868</v>
      </c>
      <c r="G963" s="11" t="s">
        <v>2869</v>
      </c>
      <c r="H963" s="11" t="s">
        <v>511</v>
      </c>
      <c r="I963" s="11" t="s">
        <v>1154</v>
      </c>
      <c r="J963" s="11" t="s">
        <v>31</v>
      </c>
      <c r="K963" s="11" t="s">
        <v>31</v>
      </c>
      <c r="L963" s="11" t="s">
        <v>517</v>
      </c>
      <c r="M963" s="11" t="s">
        <v>32</v>
      </c>
      <c r="N963" s="11" t="s">
        <v>635</v>
      </c>
      <c r="O963" s="11" t="s">
        <v>312</v>
      </c>
      <c r="P963" s="27" t="s">
        <v>2165</v>
      </c>
      <c r="Q963" s="27" t="s">
        <v>2165</v>
      </c>
      <c r="R963" s="16" t="s">
        <v>2165</v>
      </c>
      <c r="S963" s="11" t="s">
        <v>35</v>
      </c>
      <c r="T963" s="158">
        <v>1.1040000000000001</v>
      </c>
      <c r="U963" s="11" t="s">
        <v>2203</v>
      </c>
      <c r="V963" s="174">
        <v>4.65E-2</v>
      </c>
      <c r="W963" s="189">
        <v>2.5765500000000001</v>
      </c>
      <c r="X963" s="4" t="s">
        <v>602</v>
      </c>
      <c r="Y963" s="4" t="s">
        <v>312</v>
      </c>
      <c r="Z963" s="158">
        <v>21000</v>
      </c>
      <c r="AA963" s="158">
        <v>1</v>
      </c>
      <c r="AB963" s="158">
        <v>19.86</v>
      </c>
      <c r="AD963" s="158">
        <v>4.1710000000000003</v>
      </c>
      <c r="AG963" s="11" t="s">
        <v>37</v>
      </c>
      <c r="AH963" s="189">
        <v>1.2400000000000001E-4</v>
      </c>
      <c r="AI963" s="189">
        <v>1.8613991205343599E-4</v>
      </c>
      <c r="AJ963" s="189">
        <v>4.2892569951703402E-5</v>
      </c>
    </row>
    <row r="964" spans="1:36">
      <c r="A964" s="11" t="s">
        <v>256</v>
      </c>
      <c r="B964" s="11">
        <v>7207</v>
      </c>
      <c r="C964" s="11" t="s">
        <v>2386</v>
      </c>
      <c r="D964" s="11" t="s">
        <v>2387</v>
      </c>
      <c r="E964" s="4" t="s">
        <v>1552</v>
      </c>
      <c r="F964" s="11" t="s">
        <v>2388</v>
      </c>
      <c r="G964" s="11" t="s">
        <v>2389</v>
      </c>
      <c r="H964" s="11" t="s">
        <v>511</v>
      </c>
      <c r="I964" s="11" t="s">
        <v>1154</v>
      </c>
      <c r="J964" s="11" t="s">
        <v>31</v>
      </c>
      <c r="K964" s="11" t="s">
        <v>31</v>
      </c>
      <c r="L964" s="11" t="s">
        <v>517</v>
      </c>
      <c r="M964" s="11" t="s">
        <v>32</v>
      </c>
      <c r="N964" s="11" t="s">
        <v>647</v>
      </c>
      <c r="O964" s="11" t="s">
        <v>312</v>
      </c>
      <c r="P964" s="11" t="s">
        <v>168</v>
      </c>
      <c r="Q964" s="11" t="s">
        <v>604</v>
      </c>
      <c r="R964" s="11" t="s">
        <v>596</v>
      </c>
      <c r="S964" s="11" t="s">
        <v>35</v>
      </c>
      <c r="T964" s="158">
        <v>0.499</v>
      </c>
      <c r="U964" s="11" t="s">
        <v>2162</v>
      </c>
      <c r="V964" s="174">
        <v>3.2000000000000001E-2</v>
      </c>
      <c r="W964" s="189">
        <v>5.2510000000000001E-2</v>
      </c>
      <c r="X964" s="4" t="s">
        <v>602</v>
      </c>
      <c r="Y964" s="4" t="s">
        <v>312</v>
      </c>
      <c r="Z964" s="158">
        <v>46000</v>
      </c>
      <c r="AA964" s="158">
        <v>1</v>
      </c>
      <c r="AB964" s="158">
        <v>99.04</v>
      </c>
      <c r="AD964" s="158">
        <v>45.558</v>
      </c>
      <c r="AG964" s="11" t="s">
        <v>37</v>
      </c>
      <c r="AH964" s="189">
        <v>2.356E-3</v>
      </c>
      <c r="AI964" s="189">
        <v>2.0333373062138001E-3</v>
      </c>
      <c r="AJ964" s="189">
        <v>4.6854573895547001E-4</v>
      </c>
    </row>
    <row r="965" spans="1:36">
      <c r="A965" s="11" t="s">
        <v>256</v>
      </c>
      <c r="B965" s="11">
        <v>7207</v>
      </c>
      <c r="C965" s="11" t="s">
        <v>2390</v>
      </c>
      <c r="D965" s="11" t="s">
        <v>2391</v>
      </c>
      <c r="E965" s="4" t="s">
        <v>1552</v>
      </c>
      <c r="F965" s="11" t="s">
        <v>2392</v>
      </c>
      <c r="G965" s="11" t="s">
        <v>2393</v>
      </c>
      <c r="H965" s="11" t="s">
        <v>511</v>
      </c>
      <c r="I965" s="11" t="s">
        <v>945</v>
      </c>
      <c r="J965" s="11" t="s">
        <v>31</v>
      </c>
      <c r="K965" s="11" t="s">
        <v>31</v>
      </c>
      <c r="L965" s="11" t="s">
        <v>517</v>
      </c>
      <c r="M965" s="11" t="s">
        <v>32</v>
      </c>
      <c r="N965" s="11" t="s">
        <v>650</v>
      </c>
      <c r="O965" s="11" t="s">
        <v>312</v>
      </c>
      <c r="P965" s="11" t="s">
        <v>2394</v>
      </c>
      <c r="Q965" s="11" t="s">
        <v>358</v>
      </c>
      <c r="R965" s="11" t="s">
        <v>596</v>
      </c>
      <c r="S965" s="11" t="s">
        <v>35</v>
      </c>
      <c r="T965" s="158">
        <v>1.5760000000000001</v>
      </c>
      <c r="U965" s="11" t="s">
        <v>2395</v>
      </c>
      <c r="V965" s="174">
        <v>1.0500000000000001E-2</v>
      </c>
      <c r="W965" s="189">
        <v>2.7009999999999999E-2</v>
      </c>
      <c r="X965" s="4" t="s">
        <v>602</v>
      </c>
      <c r="Y965" s="4" t="s">
        <v>312</v>
      </c>
      <c r="Z965" s="158">
        <v>33810.870000000003</v>
      </c>
      <c r="AA965" s="158">
        <v>1</v>
      </c>
      <c r="AB965" s="158">
        <v>109.95</v>
      </c>
      <c r="AD965" s="158">
        <v>37.174999999999997</v>
      </c>
      <c r="AG965" s="11" t="s">
        <v>37</v>
      </c>
      <c r="AH965" s="189">
        <v>1.4300000000000001E-4</v>
      </c>
      <c r="AI965" s="189">
        <v>1.6591763364722299E-3</v>
      </c>
      <c r="AJ965" s="189">
        <v>3.8232712312615599E-4</v>
      </c>
    </row>
    <row r="966" spans="1:36">
      <c r="A966" s="11" t="s">
        <v>256</v>
      </c>
      <c r="B966" s="11">
        <v>7207</v>
      </c>
      <c r="C966" s="11" t="s">
        <v>2390</v>
      </c>
      <c r="D966" s="11" t="s">
        <v>2391</v>
      </c>
      <c r="E966" s="4" t="s">
        <v>1552</v>
      </c>
      <c r="F966" s="11" t="s">
        <v>2396</v>
      </c>
      <c r="G966" s="11" t="s">
        <v>2397</v>
      </c>
      <c r="H966" s="11" t="s">
        <v>511</v>
      </c>
      <c r="I966" s="11" t="s">
        <v>1154</v>
      </c>
      <c r="J966" s="11" t="s">
        <v>31</v>
      </c>
      <c r="K966" s="11" t="s">
        <v>31</v>
      </c>
      <c r="L966" s="11" t="s">
        <v>517</v>
      </c>
      <c r="M966" s="11" t="s">
        <v>32</v>
      </c>
      <c r="N966" s="11" t="s">
        <v>650</v>
      </c>
      <c r="O966" s="11" t="s">
        <v>312</v>
      </c>
      <c r="P966" s="11" t="s">
        <v>2394</v>
      </c>
      <c r="Q966" s="11" t="s">
        <v>358</v>
      </c>
      <c r="R966" s="11" t="s">
        <v>596</v>
      </c>
      <c r="S966" s="11" t="s">
        <v>35</v>
      </c>
      <c r="T966" s="158">
        <v>2.2210000000000001</v>
      </c>
      <c r="U966" s="11" t="s">
        <v>2398</v>
      </c>
      <c r="V966" s="174">
        <v>2.18E-2</v>
      </c>
      <c r="W966" s="189">
        <v>5.4399999999999997E-2</v>
      </c>
      <c r="X966" s="4" t="s">
        <v>602</v>
      </c>
      <c r="Y966" s="4" t="s">
        <v>312</v>
      </c>
      <c r="Z966" s="158">
        <v>56185.72</v>
      </c>
      <c r="AA966" s="158">
        <v>1</v>
      </c>
      <c r="AB966" s="158">
        <v>93.46</v>
      </c>
      <c r="AD966" s="158">
        <v>52.511000000000003</v>
      </c>
      <c r="AG966" s="11" t="s">
        <v>37</v>
      </c>
      <c r="AH966" s="189">
        <v>1.55E-4</v>
      </c>
      <c r="AI966" s="189">
        <v>2.3436496652285998E-3</v>
      </c>
      <c r="AJ966" s="189">
        <v>5.4005159935417496E-4</v>
      </c>
    </row>
    <row r="967" spans="1:36">
      <c r="A967" s="11" t="s">
        <v>256</v>
      </c>
      <c r="B967" s="11">
        <v>7207</v>
      </c>
      <c r="C967" s="11" t="s">
        <v>2390</v>
      </c>
      <c r="D967" s="11" t="s">
        <v>2391</v>
      </c>
      <c r="E967" s="4" t="s">
        <v>1552</v>
      </c>
      <c r="F967" s="11" t="s">
        <v>2399</v>
      </c>
      <c r="G967" s="11" t="s">
        <v>2400</v>
      </c>
      <c r="H967" s="11" t="s">
        <v>511</v>
      </c>
      <c r="I967" s="11" t="s">
        <v>945</v>
      </c>
      <c r="J967" s="11" t="s">
        <v>31</v>
      </c>
      <c r="K967" s="11" t="s">
        <v>31</v>
      </c>
      <c r="L967" s="11" t="s">
        <v>517</v>
      </c>
      <c r="M967" s="11" t="s">
        <v>32</v>
      </c>
      <c r="N967" s="11" t="s">
        <v>650</v>
      </c>
      <c r="O967" s="11" t="s">
        <v>312</v>
      </c>
      <c r="P967" s="11" t="s">
        <v>2394</v>
      </c>
      <c r="Q967" s="11" t="s">
        <v>358</v>
      </c>
      <c r="R967" s="11" t="s">
        <v>596</v>
      </c>
      <c r="S967" s="11" t="s">
        <v>35</v>
      </c>
      <c r="T967" s="158">
        <v>3.1659999999999999</v>
      </c>
      <c r="U967" s="11" t="s">
        <v>2401</v>
      </c>
      <c r="V967" s="174">
        <v>2.1999999999999999E-2</v>
      </c>
      <c r="W967" s="189">
        <v>3.108E-2</v>
      </c>
      <c r="X967" s="4" t="s">
        <v>602</v>
      </c>
      <c r="Y967" s="4" t="s">
        <v>312</v>
      </c>
      <c r="Z967" s="158">
        <v>33750</v>
      </c>
      <c r="AA967" s="158">
        <v>1</v>
      </c>
      <c r="AB967" s="158">
        <v>102.76</v>
      </c>
      <c r="AD967" s="158">
        <v>34.680999999999997</v>
      </c>
      <c r="AG967" s="11" t="s">
        <v>37</v>
      </c>
      <c r="AH967" s="189">
        <v>9.6000000000000002E-5</v>
      </c>
      <c r="AI967" s="189">
        <v>1.54788552243832E-3</v>
      </c>
      <c r="AJ967" s="189">
        <v>3.5668217157723201E-4</v>
      </c>
    </row>
    <row r="968" spans="1:36">
      <c r="A968" s="11" t="s">
        <v>256</v>
      </c>
      <c r="B968" s="11">
        <v>7207</v>
      </c>
      <c r="C968" s="11" t="s">
        <v>1794</v>
      </c>
      <c r="D968" s="11" t="s">
        <v>1795</v>
      </c>
      <c r="E968" s="4" t="s">
        <v>1552</v>
      </c>
      <c r="F968" s="11" t="s">
        <v>2402</v>
      </c>
      <c r="G968" s="11" t="s">
        <v>2403</v>
      </c>
      <c r="H968" s="11" t="s">
        <v>511</v>
      </c>
      <c r="I968" s="11" t="s">
        <v>364</v>
      </c>
      <c r="J968" s="11" t="s">
        <v>31</v>
      </c>
      <c r="K968" s="11" t="s">
        <v>31</v>
      </c>
      <c r="L968" s="11" t="s">
        <v>517</v>
      </c>
      <c r="M968" s="11" t="s">
        <v>32</v>
      </c>
      <c r="N968" s="11" t="s">
        <v>642</v>
      </c>
      <c r="O968" s="11" t="s">
        <v>312</v>
      </c>
      <c r="P968" s="11" t="s">
        <v>2169</v>
      </c>
      <c r="Q968" s="11" t="s">
        <v>358</v>
      </c>
      <c r="R968" s="11" t="s">
        <v>596</v>
      </c>
      <c r="S968" s="11" t="s">
        <v>35</v>
      </c>
      <c r="T968" s="158">
        <v>3.46</v>
      </c>
      <c r="U968" s="11" t="s">
        <v>2404</v>
      </c>
      <c r="V968" s="174">
        <v>3.7699999999999997E-2</v>
      </c>
      <c r="W968" s="189">
        <v>6.2239999999999997E-2</v>
      </c>
      <c r="X968" s="4" t="s">
        <v>602</v>
      </c>
      <c r="Y968" s="4" t="s">
        <v>312</v>
      </c>
      <c r="Z968" s="158">
        <v>55308.92</v>
      </c>
      <c r="AA968" s="158">
        <v>1</v>
      </c>
      <c r="AB968" s="158">
        <v>102.78</v>
      </c>
      <c r="AD968" s="158">
        <v>56.847000000000001</v>
      </c>
      <c r="AG968" s="11" t="s">
        <v>37</v>
      </c>
      <c r="AH968" s="189">
        <v>3.1599999999999998E-4</v>
      </c>
      <c r="AI968" s="189">
        <v>2.5371418968967601E-3</v>
      </c>
      <c r="AJ968" s="189">
        <v>5.8463837813999095E-4</v>
      </c>
    </row>
    <row r="969" spans="1:36">
      <c r="A969" s="11" t="s">
        <v>256</v>
      </c>
      <c r="B969" s="11">
        <v>7207</v>
      </c>
      <c r="C969" s="11" t="s">
        <v>1794</v>
      </c>
      <c r="D969" s="11" t="s">
        <v>1795</v>
      </c>
      <c r="E969" s="4" t="s">
        <v>1552</v>
      </c>
      <c r="F969" s="11" t="s">
        <v>2405</v>
      </c>
      <c r="G969" s="11" t="s">
        <v>2406</v>
      </c>
      <c r="H969" s="11" t="s">
        <v>511</v>
      </c>
      <c r="I969" s="11" t="s">
        <v>364</v>
      </c>
      <c r="J969" s="11" t="s">
        <v>31</v>
      </c>
      <c r="K969" s="11" t="s">
        <v>31</v>
      </c>
      <c r="L969" s="11" t="s">
        <v>517</v>
      </c>
      <c r="M969" s="11" t="s">
        <v>32</v>
      </c>
      <c r="N969" s="11" t="s">
        <v>642</v>
      </c>
      <c r="O969" s="11" t="s">
        <v>312</v>
      </c>
      <c r="P969" s="11" t="s">
        <v>2169</v>
      </c>
      <c r="Q969" s="11" t="s">
        <v>358</v>
      </c>
      <c r="R969" s="11" t="s">
        <v>596</v>
      </c>
      <c r="S969" s="11" t="s">
        <v>35</v>
      </c>
      <c r="T969" s="158">
        <v>0.79</v>
      </c>
      <c r="U969" s="11" t="s">
        <v>2407</v>
      </c>
      <c r="V969" s="174">
        <v>3.49E-2</v>
      </c>
      <c r="W969" s="189">
        <v>7.4029999999999999E-2</v>
      </c>
      <c r="X969" s="4" t="s">
        <v>602</v>
      </c>
      <c r="Y969" s="4" t="s">
        <v>312</v>
      </c>
      <c r="Z969" s="158">
        <v>180000.28</v>
      </c>
      <c r="AA969" s="158">
        <v>1</v>
      </c>
      <c r="AB969" s="158">
        <v>102.13</v>
      </c>
      <c r="AD969" s="158">
        <v>183.834</v>
      </c>
      <c r="AG969" s="11" t="s">
        <v>37</v>
      </c>
      <c r="AH969" s="189">
        <v>3.57E-4</v>
      </c>
      <c r="AI969" s="189">
        <v>8.2047901553122405E-3</v>
      </c>
      <c r="AJ969" s="189">
        <v>1.89064522376452E-3</v>
      </c>
    </row>
    <row r="970" spans="1:36">
      <c r="A970" s="11" t="s">
        <v>256</v>
      </c>
      <c r="B970" s="11">
        <v>7207</v>
      </c>
      <c r="C970" s="11" t="s">
        <v>2039</v>
      </c>
      <c r="D970" s="11" t="s">
        <v>2040</v>
      </c>
      <c r="E970" s="4" t="s">
        <v>1552</v>
      </c>
      <c r="F970" s="11" t="s">
        <v>2408</v>
      </c>
      <c r="G970" s="11" t="s">
        <v>2409</v>
      </c>
      <c r="H970" s="11" t="s">
        <v>511</v>
      </c>
      <c r="I970" s="11" t="s">
        <v>945</v>
      </c>
      <c r="J970" s="11" t="s">
        <v>31</v>
      </c>
      <c r="K970" s="11" t="s">
        <v>31</v>
      </c>
      <c r="L970" s="11" t="s">
        <v>517</v>
      </c>
      <c r="M970" s="11" t="s">
        <v>32</v>
      </c>
      <c r="N970" s="11" t="s">
        <v>652</v>
      </c>
      <c r="O970" s="11" t="s">
        <v>312</v>
      </c>
      <c r="P970" s="11" t="s">
        <v>2225</v>
      </c>
      <c r="Q970" s="11" t="s">
        <v>604</v>
      </c>
      <c r="R970" s="11" t="s">
        <v>596</v>
      </c>
      <c r="S970" s="11" t="s">
        <v>35</v>
      </c>
      <c r="T970" s="158">
        <v>4.9880000000000004</v>
      </c>
      <c r="U970" s="11" t="s">
        <v>2410</v>
      </c>
      <c r="V970" s="174">
        <v>8.3999999999999995E-3</v>
      </c>
      <c r="W970" s="189">
        <v>3.1829999999999997E-2</v>
      </c>
      <c r="X970" s="4" t="s">
        <v>602</v>
      </c>
      <c r="Y970" s="4" t="s">
        <v>312</v>
      </c>
      <c r="Z970" s="158">
        <v>93000.2</v>
      </c>
      <c r="AA970" s="158">
        <v>1</v>
      </c>
      <c r="AB970" s="158">
        <v>100.43</v>
      </c>
      <c r="AD970" s="158">
        <v>93.4</v>
      </c>
      <c r="AG970" s="11" t="s">
        <v>37</v>
      </c>
      <c r="AH970" s="189">
        <v>1.17E-4</v>
      </c>
      <c r="AI970" s="189">
        <v>4.1685816333051602E-3</v>
      </c>
      <c r="AJ970" s="189">
        <v>9.6057410435757603E-4</v>
      </c>
    </row>
    <row r="971" spans="1:36">
      <c r="A971" s="11" t="s">
        <v>256</v>
      </c>
      <c r="B971" s="11">
        <v>7207</v>
      </c>
      <c r="C971" s="11" t="s">
        <v>1798</v>
      </c>
      <c r="D971" s="11" t="s">
        <v>1799</v>
      </c>
      <c r="E971" s="4" t="s">
        <v>1552</v>
      </c>
      <c r="F971" s="11" t="s">
        <v>2411</v>
      </c>
      <c r="G971" s="11" t="s">
        <v>2412</v>
      </c>
      <c r="H971" s="11" t="s">
        <v>511</v>
      </c>
      <c r="I971" s="11" t="s">
        <v>1155</v>
      </c>
      <c r="J971" s="11" t="s">
        <v>31</v>
      </c>
      <c r="K971" s="11" t="s">
        <v>31</v>
      </c>
      <c r="L971" s="11" t="s">
        <v>517</v>
      </c>
      <c r="M971" s="11" t="s">
        <v>32</v>
      </c>
      <c r="N971" s="11" t="s">
        <v>633</v>
      </c>
      <c r="O971" s="11" t="s">
        <v>312</v>
      </c>
      <c r="P971" s="11" t="s">
        <v>2394</v>
      </c>
      <c r="Q971" s="11" t="s">
        <v>358</v>
      </c>
      <c r="R971" s="11" t="s">
        <v>596</v>
      </c>
      <c r="S971" s="11" t="s">
        <v>35</v>
      </c>
      <c r="T971" s="158">
        <v>3.4940000000000002</v>
      </c>
      <c r="U971" s="11" t="s">
        <v>2413</v>
      </c>
      <c r="V971" s="174">
        <v>2.8000000000000001E-2</v>
      </c>
      <c r="W971" s="189">
        <v>4.4420000000000001E-2</v>
      </c>
      <c r="X971" s="4" t="s">
        <v>602</v>
      </c>
      <c r="Y971" s="4" t="s">
        <v>312</v>
      </c>
      <c r="Z971" s="158">
        <v>15500</v>
      </c>
      <c r="AA971" s="158">
        <v>1</v>
      </c>
      <c r="AB971" s="158">
        <v>95.5</v>
      </c>
      <c r="AD971" s="158">
        <v>14.803000000000001</v>
      </c>
      <c r="AG971" s="11" t="s">
        <v>37</v>
      </c>
      <c r="AH971" s="189">
        <v>1.03E-4</v>
      </c>
      <c r="AI971" s="189">
        <v>6.6065699136119401E-4</v>
      </c>
      <c r="AJ971" s="189">
        <v>1.5223643281784199E-4</v>
      </c>
    </row>
    <row r="972" spans="1:36">
      <c r="A972" s="11" t="s">
        <v>256</v>
      </c>
      <c r="B972" s="11">
        <v>7207</v>
      </c>
      <c r="C972" s="11" t="s">
        <v>2414</v>
      </c>
      <c r="D972" s="11" t="s">
        <v>2415</v>
      </c>
      <c r="E972" s="4" t="s">
        <v>1552</v>
      </c>
      <c r="F972" s="11" t="s">
        <v>2416</v>
      </c>
      <c r="G972" s="11" t="s">
        <v>2417</v>
      </c>
      <c r="H972" s="11" t="s">
        <v>511</v>
      </c>
      <c r="I972" s="11" t="s">
        <v>1154</v>
      </c>
      <c r="J972" s="11" t="s">
        <v>31</v>
      </c>
      <c r="K972" s="11" t="s">
        <v>31</v>
      </c>
      <c r="L972" s="11" t="s">
        <v>517</v>
      </c>
      <c r="M972" s="11" t="s">
        <v>32</v>
      </c>
      <c r="N972" s="11" t="s">
        <v>633</v>
      </c>
      <c r="O972" s="11" t="s">
        <v>312</v>
      </c>
      <c r="P972" s="11" t="s">
        <v>2418</v>
      </c>
      <c r="Q972" s="11" t="s">
        <v>604</v>
      </c>
      <c r="R972" s="11" t="s">
        <v>596</v>
      </c>
      <c r="S972" s="11" t="s">
        <v>35</v>
      </c>
      <c r="T972" s="158">
        <v>7.9000000000000001E-2</v>
      </c>
      <c r="U972" s="11" t="s">
        <v>45</v>
      </c>
      <c r="V972" s="174">
        <v>3.9199999999999999E-2</v>
      </c>
      <c r="W972" s="189">
        <v>5.9880000000000003E-2</v>
      </c>
      <c r="X972" s="4" t="s">
        <v>602</v>
      </c>
      <c r="Y972" s="4" t="s">
        <v>312</v>
      </c>
      <c r="Z972" s="158">
        <v>39000</v>
      </c>
      <c r="AA972" s="158">
        <v>1</v>
      </c>
      <c r="AB972" s="158">
        <v>101.47</v>
      </c>
      <c r="AD972" s="158">
        <v>39.573</v>
      </c>
      <c r="AG972" s="11" t="s">
        <v>37</v>
      </c>
      <c r="AH972" s="189">
        <v>8.6000000000000003E-5</v>
      </c>
      <c r="AI972" s="189">
        <v>1.76621363392899E-3</v>
      </c>
      <c r="AJ972" s="189">
        <v>4.0699192885190299E-4</v>
      </c>
    </row>
    <row r="973" spans="1:36">
      <c r="A973" s="11" t="s">
        <v>256</v>
      </c>
      <c r="B973" s="11">
        <v>7207</v>
      </c>
      <c r="C973" s="11" t="s">
        <v>362</v>
      </c>
      <c r="D973" s="11" t="s">
        <v>1802</v>
      </c>
      <c r="E973" s="4" t="s">
        <v>1552</v>
      </c>
      <c r="F973" s="11" t="s">
        <v>2419</v>
      </c>
      <c r="G973" s="11" t="s">
        <v>2420</v>
      </c>
      <c r="H973" s="11" t="s">
        <v>511</v>
      </c>
      <c r="I973" s="11" t="s">
        <v>945</v>
      </c>
      <c r="J973" s="11" t="s">
        <v>31</v>
      </c>
      <c r="K973" s="11" t="s">
        <v>31</v>
      </c>
      <c r="L973" s="11" t="s">
        <v>517</v>
      </c>
      <c r="M973" s="11" t="s">
        <v>32</v>
      </c>
      <c r="N973" s="11" t="s">
        <v>636</v>
      </c>
      <c r="O973" s="11" t="s">
        <v>312</v>
      </c>
      <c r="P973" s="11" t="s">
        <v>157</v>
      </c>
      <c r="Q973" s="11" t="s">
        <v>604</v>
      </c>
      <c r="R973" s="11" t="s">
        <v>596</v>
      </c>
      <c r="S973" s="11" t="s">
        <v>35</v>
      </c>
      <c r="T973" s="158">
        <v>1.986</v>
      </c>
      <c r="U973" s="11" t="s">
        <v>2203</v>
      </c>
      <c r="V973" s="174">
        <v>8.3000000000000001E-3</v>
      </c>
      <c r="W973" s="189">
        <v>2.0129999999999999E-2</v>
      </c>
      <c r="X973" s="4" t="s">
        <v>602</v>
      </c>
      <c r="Y973" s="4" t="s">
        <v>312</v>
      </c>
      <c r="Z973" s="158">
        <v>249158.5</v>
      </c>
      <c r="AA973" s="158">
        <v>1</v>
      </c>
      <c r="AB973" s="158">
        <v>110.75</v>
      </c>
      <c r="AD973" s="158">
        <v>275.94299999999998</v>
      </c>
      <c r="AG973" s="11" t="s">
        <v>37</v>
      </c>
      <c r="AH973" s="189">
        <v>8.2000000000000001E-5</v>
      </c>
      <c r="AI973" s="189">
        <v>1.2315737055743301E-2</v>
      </c>
      <c r="AJ973" s="189">
        <v>2.83793844824965E-3</v>
      </c>
    </row>
    <row r="974" spans="1:36">
      <c r="A974" s="11" t="s">
        <v>256</v>
      </c>
      <c r="B974" s="11">
        <v>7207</v>
      </c>
      <c r="C974" s="11" t="s">
        <v>362</v>
      </c>
      <c r="D974" s="11" t="s">
        <v>1802</v>
      </c>
      <c r="E974" s="4" t="s">
        <v>1552</v>
      </c>
      <c r="F974" s="11" t="s">
        <v>2421</v>
      </c>
      <c r="G974" s="11" t="s">
        <v>2422</v>
      </c>
      <c r="H974" s="11" t="s">
        <v>511</v>
      </c>
      <c r="I974" s="11" t="s">
        <v>1154</v>
      </c>
      <c r="J974" s="11" t="s">
        <v>31</v>
      </c>
      <c r="K974" s="11" t="s">
        <v>31</v>
      </c>
      <c r="L974" s="11" t="s">
        <v>517</v>
      </c>
      <c r="M974" s="11" t="s">
        <v>32</v>
      </c>
      <c r="N974" s="11" t="s">
        <v>636</v>
      </c>
      <c r="O974" s="11" t="s">
        <v>312</v>
      </c>
      <c r="P974" s="11" t="s">
        <v>357</v>
      </c>
      <c r="Q974" s="11" t="s">
        <v>358</v>
      </c>
      <c r="R974" s="11" t="s">
        <v>596</v>
      </c>
      <c r="S974" s="11" t="s">
        <v>35</v>
      </c>
      <c r="T974" s="158">
        <v>0.66</v>
      </c>
      <c r="U974" s="11" t="s">
        <v>140</v>
      </c>
      <c r="V974" s="174">
        <v>2.0199999999999999E-2</v>
      </c>
      <c r="W974" s="189">
        <v>4.7199999999999999E-2</v>
      </c>
      <c r="X974" s="4" t="s">
        <v>602</v>
      </c>
      <c r="Y974" s="4" t="s">
        <v>312</v>
      </c>
      <c r="Z974" s="158">
        <v>312941</v>
      </c>
      <c r="AA974" s="158">
        <v>1</v>
      </c>
      <c r="AB974" s="158">
        <v>99.11</v>
      </c>
      <c r="AD974" s="158">
        <v>310.15600000000001</v>
      </c>
      <c r="AG974" s="11" t="s">
        <v>37</v>
      </c>
      <c r="AH974" s="189">
        <v>3.6999999999999999E-4</v>
      </c>
      <c r="AI974" s="189">
        <v>1.3842703209843901E-2</v>
      </c>
      <c r="AJ974" s="189">
        <v>3.1898001304440701E-3</v>
      </c>
    </row>
    <row r="975" spans="1:36">
      <c r="A975" s="11" t="s">
        <v>256</v>
      </c>
      <c r="B975" s="11">
        <v>7207</v>
      </c>
      <c r="C975" s="11" t="s">
        <v>362</v>
      </c>
      <c r="D975" s="11" t="s">
        <v>1802</v>
      </c>
      <c r="E975" s="4" t="s">
        <v>1552</v>
      </c>
      <c r="F975" s="11" t="s">
        <v>2423</v>
      </c>
      <c r="G975" s="11" t="s">
        <v>2424</v>
      </c>
      <c r="H975" s="11" t="s">
        <v>511</v>
      </c>
      <c r="I975" s="11" t="s">
        <v>945</v>
      </c>
      <c r="J975" s="11" t="s">
        <v>31</v>
      </c>
      <c r="K975" s="11" t="s">
        <v>31</v>
      </c>
      <c r="L975" s="11" t="s">
        <v>517</v>
      </c>
      <c r="M975" s="11" t="s">
        <v>32</v>
      </c>
      <c r="N975" s="11" t="s">
        <v>636</v>
      </c>
      <c r="O975" s="11" t="s">
        <v>312</v>
      </c>
      <c r="P975" s="11" t="s">
        <v>357</v>
      </c>
      <c r="Q975" s="11" t="s">
        <v>358</v>
      </c>
      <c r="R975" s="11" t="s">
        <v>596</v>
      </c>
      <c r="S975" s="11" t="s">
        <v>35</v>
      </c>
      <c r="T975" s="158">
        <v>2.806</v>
      </c>
      <c r="U975" s="11" t="s">
        <v>2425</v>
      </c>
      <c r="V975" s="174">
        <v>1.8599999999999998E-2</v>
      </c>
      <c r="W975" s="189">
        <v>2.2460000000000001E-2</v>
      </c>
      <c r="X975" s="4" t="s">
        <v>602</v>
      </c>
      <c r="Y975" s="4" t="s">
        <v>312</v>
      </c>
      <c r="Z975" s="158">
        <v>87000</v>
      </c>
      <c r="AA975" s="158">
        <v>1</v>
      </c>
      <c r="AB975" s="158">
        <v>101.33</v>
      </c>
      <c r="AD975" s="158">
        <v>88.156999999999996</v>
      </c>
      <c r="AG975" s="11" t="s">
        <v>37</v>
      </c>
      <c r="AH975" s="189">
        <v>7.1000000000000005E-5</v>
      </c>
      <c r="AI975" s="189">
        <v>3.9345789193128101E-3</v>
      </c>
      <c r="AJ975" s="189">
        <v>9.0665241895394302E-4</v>
      </c>
    </row>
    <row r="976" spans="1:36">
      <c r="A976" s="11" t="s">
        <v>256</v>
      </c>
      <c r="B976" s="11">
        <v>7207</v>
      </c>
      <c r="C976" s="11" t="s">
        <v>362</v>
      </c>
      <c r="D976" s="11" t="s">
        <v>1802</v>
      </c>
      <c r="E976" s="4" t="s">
        <v>1552</v>
      </c>
      <c r="F976" s="11" t="s">
        <v>2870</v>
      </c>
      <c r="G976" s="11" t="s">
        <v>2871</v>
      </c>
      <c r="H976" s="11" t="s">
        <v>511</v>
      </c>
      <c r="I976" s="11" t="s">
        <v>945</v>
      </c>
      <c r="J976" s="11" t="s">
        <v>31</v>
      </c>
      <c r="K976" s="11" t="s">
        <v>31</v>
      </c>
      <c r="L976" s="11" t="s">
        <v>517</v>
      </c>
      <c r="M976" s="11" t="s">
        <v>32</v>
      </c>
      <c r="N976" s="11" t="s">
        <v>636</v>
      </c>
      <c r="O976" s="11" t="s">
        <v>312</v>
      </c>
      <c r="P976" s="11" t="s">
        <v>357</v>
      </c>
      <c r="Q976" s="11" t="s">
        <v>358</v>
      </c>
      <c r="R976" s="11" t="s">
        <v>596</v>
      </c>
      <c r="S976" s="11" t="s">
        <v>35</v>
      </c>
      <c r="T976" s="158">
        <v>3.3940000000000001</v>
      </c>
      <c r="U976" s="11" t="s">
        <v>2872</v>
      </c>
      <c r="V976" s="174">
        <v>1E-3</v>
      </c>
      <c r="W976" s="189">
        <v>2.298E-2</v>
      </c>
      <c r="X976" s="4" t="s">
        <v>602</v>
      </c>
      <c r="Y976" s="4" t="s">
        <v>312</v>
      </c>
      <c r="Z976" s="158">
        <v>269000</v>
      </c>
      <c r="AA976" s="158">
        <v>1</v>
      </c>
      <c r="AB976" s="158">
        <v>102.72</v>
      </c>
      <c r="AD976" s="158">
        <v>276.31700000000001</v>
      </c>
      <c r="AG976" s="11" t="s">
        <v>37</v>
      </c>
      <c r="AH976" s="189">
        <v>8.6000000000000003E-5</v>
      </c>
      <c r="AI976" s="189">
        <v>1.2332418561091201E-2</v>
      </c>
      <c r="AJ976" s="189">
        <v>2.84178239889485E-3</v>
      </c>
    </row>
    <row r="977" spans="1:36">
      <c r="A977" s="11" t="s">
        <v>256</v>
      </c>
      <c r="B977" s="11">
        <v>7207</v>
      </c>
      <c r="C977" s="11" t="s">
        <v>2426</v>
      </c>
      <c r="D977" s="11" t="s">
        <v>2427</v>
      </c>
      <c r="E977" s="4" t="s">
        <v>1552</v>
      </c>
      <c r="F977" s="11" t="s">
        <v>2428</v>
      </c>
      <c r="G977" s="11" t="s">
        <v>2429</v>
      </c>
      <c r="H977" s="11" t="s">
        <v>511</v>
      </c>
      <c r="I977" s="11" t="s">
        <v>1154</v>
      </c>
      <c r="J977" s="11" t="s">
        <v>31</v>
      </c>
      <c r="K977" s="11" t="s">
        <v>31</v>
      </c>
      <c r="L977" s="11" t="s">
        <v>517</v>
      </c>
      <c r="M977" s="11" t="s">
        <v>32</v>
      </c>
      <c r="N977" s="11" t="s">
        <v>635</v>
      </c>
      <c r="O977" s="11" t="s">
        <v>312</v>
      </c>
      <c r="P977" s="27" t="s">
        <v>2165</v>
      </c>
      <c r="Q977" s="27" t="s">
        <v>2165</v>
      </c>
      <c r="R977" s="16" t="s">
        <v>2165</v>
      </c>
      <c r="S977" s="11" t="s">
        <v>35</v>
      </c>
      <c r="T977" s="158">
        <v>4.2640000000000002</v>
      </c>
      <c r="U977" s="11" t="s">
        <v>2430</v>
      </c>
      <c r="V977" s="174">
        <v>6.7299999999999999E-2</v>
      </c>
      <c r="W977" s="189">
        <v>6.8379999999999996E-2</v>
      </c>
      <c r="X977" s="4" t="s">
        <v>602</v>
      </c>
      <c r="Y977" s="4" t="s">
        <v>312</v>
      </c>
      <c r="Z977" s="158">
        <v>51000</v>
      </c>
      <c r="AA977" s="158">
        <v>1</v>
      </c>
      <c r="AB977" s="158">
        <v>100.7</v>
      </c>
      <c r="AD977" s="158">
        <v>51.356999999999999</v>
      </c>
      <c r="AG977" s="11" t="s">
        <v>37</v>
      </c>
      <c r="AH977" s="189">
        <v>1.85E-4</v>
      </c>
      <c r="AI977" s="189">
        <v>2.2921372136690999E-3</v>
      </c>
      <c r="AJ977" s="189">
        <v>5.2818148827737802E-4</v>
      </c>
    </row>
    <row r="978" spans="1:36">
      <c r="A978" s="11" t="s">
        <v>256</v>
      </c>
      <c r="B978" s="11">
        <v>7207</v>
      </c>
      <c r="C978" s="11" t="s">
        <v>2431</v>
      </c>
      <c r="D978" s="11" t="s">
        <v>2432</v>
      </c>
      <c r="E978" s="4" t="s">
        <v>1552</v>
      </c>
      <c r="F978" s="11" t="s">
        <v>2433</v>
      </c>
      <c r="G978" s="11" t="s">
        <v>2434</v>
      </c>
      <c r="H978" s="11" t="s">
        <v>511</v>
      </c>
      <c r="I978" s="11" t="s">
        <v>1154</v>
      </c>
      <c r="J978" s="11" t="s">
        <v>31</v>
      </c>
      <c r="K978" s="11" t="s">
        <v>31</v>
      </c>
      <c r="L978" s="11" t="s">
        <v>517</v>
      </c>
      <c r="M978" s="11" t="s">
        <v>32</v>
      </c>
      <c r="N978" s="11" t="s">
        <v>635</v>
      </c>
      <c r="O978" s="11" t="s">
        <v>312</v>
      </c>
      <c r="P978" s="27" t="s">
        <v>2165</v>
      </c>
      <c r="Q978" s="27" t="s">
        <v>2165</v>
      </c>
      <c r="R978" s="16" t="s">
        <v>2165</v>
      </c>
      <c r="S978" s="11" t="s">
        <v>35</v>
      </c>
      <c r="T978" s="158">
        <v>1.776</v>
      </c>
      <c r="U978" s="11" t="s">
        <v>110</v>
      </c>
      <c r="V978" s="174">
        <v>7.0000000000000007E-2</v>
      </c>
      <c r="W978" s="189">
        <v>9.6860000000000002E-2</v>
      </c>
      <c r="X978" s="4" t="s">
        <v>602</v>
      </c>
      <c r="Y978" s="4" t="s">
        <v>312</v>
      </c>
      <c r="Z978" s="158">
        <v>43664.800000000003</v>
      </c>
      <c r="AA978" s="158">
        <v>1</v>
      </c>
      <c r="AB978" s="158">
        <v>99.94</v>
      </c>
      <c r="AD978" s="158">
        <v>43.639000000000003</v>
      </c>
      <c r="AG978" s="11" t="s">
        <v>37</v>
      </c>
      <c r="AH978" s="189">
        <v>6.4099999999999997E-4</v>
      </c>
      <c r="AI978" s="189">
        <v>1.9476539046208699E-3</v>
      </c>
      <c r="AJ978" s="189">
        <v>4.4880155160746199E-4</v>
      </c>
    </row>
    <row r="979" spans="1:36">
      <c r="A979" s="11" t="s">
        <v>256</v>
      </c>
      <c r="B979" s="11">
        <v>7207</v>
      </c>
      <c r="C979" s="11" t="s">
        <v>1808</v>
      </c>
      <c r="D979" s="11" t="s">
        <v>1809</v>
      </c>
      <c r="E979" s="4" t="s">
        <v>1552</v>
      </c>
      <c r="F979" s="11" t="s">
        <v>2435</v>
      </c>
      <c r="G979" s="11" t="s">
        <v>2436</v>
      </c>
      <c r="H979" s="11" t="s">
        <v>511</v>
      </c>
      <c r="I979" s="11" t="s">
        <v>1154</v>
      </c>
      <c r="J979" s="11" t="s">
        <v>31</v>
      </c>
      <c r="K979" s="11" t="s">
        <v>31</v>
      </c>
      <c r="L979" s="11" t="s">
        <v>517</v>
      </c>
      <c r="M979" s="11" t="s">
        <v>32</v>
      </c>
      <c r="N979" s="11" t="s">
        <v>639</v>
      </c>
      <c r="O979" s="11" t="s">
        <v>312</v>
      </c>
      <c r="P979" s="27" t="s">
        <v>2165</v>
      </c>
      <c r="Q979" s="27" t="s">
        <v>2165</v>
      </c>
      <c r="R979" s="16" t="s">
        <v>2165</v>
      </c>
      <c r="S979" s="11" t="s">
        <v>35</v>
      </c>
      <c r="T979" s="158">
        <v>0.98299999999999998</v>
      </c>
      <c r="U979" s="11" t="s">
        <v>2317</v>
      </c>
      <c r="V979" s="174">
        <v>3.5000000000000003E-2</v>
      </c>
      <c r="W979" s="189">
        <v>4.6519999999999999E-2</v>
      </c>
      <c r="X979" s="4" t="s">
        <v>602</v>
      </c>
      <c r="Y979" s="4" t="s">
        <v>312</v>
      </c>
      <c r="Z979" s="158">
        <v>14658</v>
      </c>
      <c r="AA979" s="158">
        <v>1</v>
      </c>
      <c r="AB979" s="158">
        <v>97.64</v>
      </c>
      <c r="AD979" s="158">
        <v>14.311999999999999</v>
      </c>
      <c r="AG979" s="11" t="s">
        <v>37</v>
      </c>
      <c r="AH979" s="189">
        <v>1.83E-4</v>
      </c>
      <c r="AI979" s="189">
        <v>6.3876844446135396E-4</v>
      </c>
      <c r="AJ979" s="189">
        <v>1.4719261379651799E-4</v>
      </c>
    </row>
    <row r="980" spans="1:36">
      <c r="A980" s="11" t="s">
        <v>256</v>
      </c>
      <c r="B980" s="11">
        <v>7207</v>
      </c>
      <c r="C980" s="11" t="s">
        <v>2437</v>
      </c>
      <c r="D980" s="11" t="s">
        <v>2438</v>
      </c>
      <c r="E980" s="4" t="s">
        <v>1552</v>
      </c>
      <c r="F980" s="11" t="s">
        <v>2439</v>
      </c>
      <c r="G980" s="11" t="s">
        <v>2440</v>
      </c>
      <c r="H980" s="11" t="s">
        <v>511</v>
      </c>
      <c r="I980" s="11" t="s">
        <v>945</v>
      </c>
      <c r="J980" s="11" t="s">
        <v>31</v>
      </c>
      <c r="K980" s="11" t="s">
        <v>31</v>
      </c>
      <c r="L980" s="11" t="s">
        <v>517</v>
      </c>
      <c r="M980" s="11" t="s">
        <v>32</v>
      </c>
      <c r="N980" s="11" t="s">
        <v>652</v>
      </c>
      <c r="O980" s="11" t="s">
        <v>312</v>
      </c>
      <c r="P980" s="27" t="s">
        <v>2165</v>
      </c>
      <c r="Q980" s="27" t="s">
        <v>2165</v>
      </c>
      <c r="R980" s="16" t="s">
        <v>2165</v>
      </c>
      <c r="S980" s="11" t="s">
        <v>35</v>
      </c>
      <c r="T980" s="158">
        <v>3.08</v>
      </c>
      <c r="U980" s="11" t="s">
        <v>2441</v>
      </c>
      <c r="V980" s="174">
        <v>6.0999999999999999E-2</v>
      </c>
      <c r="W980" s="189">
        <v>5.0319999999999997E-2</v>
      </c>
      <c r="X980" s="4" t="s">
        <v>602</v>
      </c>
      <c r="Y980" s="4" t="s">
        <v>312</v>
      </c>
      <c r="Z980" s="158">
        <v>10000</v>
      </c>
      <c r="AA980" s="158">
        <v>1</v>
      </c>
      <c r="AB980" s="158">
        <v>105.52</v>
      </c>
      <c r="AD980" s="158">
        <v>10.552</v>
      </c>
      <c r="AG980" s="11" t="s">
        <v>37</v>
      </c>
      <c r="AH980" s="189">
        <v>1.18E-4</v>
      </c>
      <c r="AI980" s="189">
        <v>4.70951026707875E-4</v>
      </c>
      <c r="AJ980" s="189">
        <v>1.08522130659947E-4</v>
      </c>
    </row>
    <row r="981" spans="1:36">
      <c r="A981" s="11" t="s">
        <v>256</v>
      </c>
      <c r="B981" s="11">
        <v>7207</v>
      </c>
      <c r="C981" s="11" t="s">
        <v>2437</v>
      </c>
      <c r="D981" s="11" t="s">
        <v>2438</v>
      </c>
      <c r="E981" s="4" t="s">
        <v>1552</v>
      </c>
      <c r="F981" s="11" t="s">
        <v>2442</v>
      </c>
      <c r="G981" s="11" t="s">
        <v>2443</v>
      </c>
      <c r="H981" s="11" t="s">
        <v>511</v>
      </c>
      <c r="I981" s="11" t="s">
        <v>945</v>
      </c>
      <c r="J981" s="11" t="s">
        <v>31</v>
      </c>
      <c r="K981" s="11" t="s">
        <v>31</v>
      </c>
      <c r="L981" s="11" t="s">
        <v>517</v>
      </c>
      <c r="M981" s="11" t="s">
        <v>32</v>
      </c>
      <c r="N981" s="11" t="s">
        <v>652</v>
      </c>
      <c r="O981" s="11" t="s">
        <v>312</v>
      </c>
      <c r="P981" s="27" t="s">
        <v>2165</v>
      </c>
      <c r="Q981" s="27" t="s">
        <v>2165</v>
      </c>
      <c r="R981" s="16" t="s">
        <v>2165</v>
      </c>
      <c r="S981" s="11" t="s">
        <v>35</v>
      </c>
      <c r="T981" s="158">
        <v>3.113</v>
      </c>
      <c r="U981" s="11" t="s">
        <v>2166</v>
      </c>
      <c r="V981" s="174">
        <v>0.06</v>
      </c>
      <c r="W981" s="189">
        <v>4.795E-2</v>
      </c>
      <c r="X981" s="4" t="s">
        <v>602</v>
      </c>
      <c r="Y981" s="4" t="s">
        <v>312</v>
      </c>
      <c r="Z981" s="158">
        <v>32000</v>
      </c>
      <c r="AA981" s="158">
        <v>1</v>
      </c>
      <c r="AB981" s="158">
        <v>106.8</v>
      </c>
      <c r="AD981" s="158">
        <v>34.176000000000002</v>
      </c>
      <c r="AG981" s="11" t="s">
        <v>37</v>
      </c>
      <c r="AH981" s="189">
        <v>4.17E-4</v>
      </c>
      <c r="AI981" s="189">
        <v>1.52532432607736E-3</v>
      </c>
      <c r="AJ981" s="189">
        <v>3.5148335267573398E-4</v>
      </c>
    </row>
    <row r="982" spans="1:36">
      <c r="A982" s="11" t="s">
        <v>256</v>
      </c>
      <c r="B982" s="11">
        <v>7207</v>
      </c>
      <c r="C982" s="11" t="s">
        <v>1820</v>
      </c>
      <c r="D982" s="11" t="s">
        <v>1821</v>
      </c>
      <c r="E982" s="4" t="s">
        <v>1552</v>
      </c>
      <c r="F982" s="11" t="s">
        <v>2444</v>
      </c>
      <c r="G982" s="11" t="s">
        <v>2445</v>
      </c>
      <c r="H982" s="11" t="s">
        <v>511</v>
      </c>
      <c r="I982" s="11" t="s">
        <v>945</v>
      </c>
      <c r="J982" s="11" t="s">
        <v>31</v>
      </c>
      <c r="K982" s="11" t="s">
        <v>31</v>
      </c>
      <c r="L982" s="11" t="s">
        <v>517</v>
      </c>
      <c r="M982" s="11" t="s">
        <v>32</v>
      </c>
      <c r="N982" s="11" t="s">
        <v>652</v>
      </c>
      <c r="O982" s="11" t="s">
        <v>312</v>
      </c>
      <c r="P982" s="11" t="s">
        <v>2169</v>
      </c>
      <c r="Q982" s="11" t="s">
        <v>604</v>
      </c>
      <c r="R982" s="11" t="s">
        <v>596</v>
      </c>
      <c r="S982" s="11" t="s">
        <v>35</v>
      </c>
      <c r="T982" s="158">
        <v>2.4700000000000002</v>
      </c>
      <c r="U982" s="11" t="s">
        <v>110</v>
      </c>
      <c r="V982" s="174">
        <v>2.5999999999999999E-2</v>
      </c>
      <c r="W982" s="189">
        <v>2.6950000000000002E-2</v>
      </c>
      <c r="X982" s="4" t="s">
        <v>602</v>
      </c>
      <c r="Y982" s="4" t="s">
        <v>312</v>
      </c>
      <c r="Z982" s="158">
        <v>124000.05</v>
      </c>
      <c r="AA982" s="158">
        <v>1</v>
      </c>
      <c r="AB982" s="158">
        <v>115.09</v>
      </c>
      <c r="AD982" s="158">
        <v>142.71199999999999</v>
      </c>
      <c r="AG982" s="11" t="s">
        <v>37</v>
      </c>
      <c r="AH982" s="189">
        <v>3.4400000000000001E-4</v>
      </c>
      <c r="AI982" s="189">
        <v>6.3694277524640203E-3</v>
      </c>
      <c r="AJ982" s="189">
        <v>1.46771921406331E-3</v>
      </c>
    </row>
    <row r="983" spans="1:36">
      <c r="A983" s="11" t="s">
        <v>256</v>
      </c>
      <c r="B983" s="11">
        <v>7207</v>
      </c>
      <c r="C983" s="11" t="s">
        <v>1820</v>
      </c>
      <c r="D983" s="11" t="s">
        <v>1821</v>
      </c>
      <c r="E983" s="4" t="s">
        <v>1552</v>
      </c>
      <c r="F983" s="11" t="s">
        <v>2446</v>
      </c>
      <c r="G983" s="11" t="s">
        <v>2447</v>
      </c>
      <c r="H983" s="11" t="s">
        <v>511</v>
      </c>
      <c r="I983" s="11" t="s">
        <v>945</v>
      </c>
      <c r="J983" s="11" t="s">
        <v>31</v>
      </c>
      <c r="K983" s="11" t="s">
        <v>31</v>
      </c>
      <c r="L983" s="11" t="s">
        <v>517</v>
      </c>
      <c r="M983" s="11" t="s">
        <v>32</v>
      </c>
      <c r="N983" s="11" t="s">
        <v>652</v>
      </c>
      <c r="O983" s="11" t="s">
        <v>312</v>
      </c>
      <c r="P983" s="11" t="s">
        <v>2169</v>
      </c>
      <c r="Q983" s="11" t="s">
        <v>604</v>
      </c>
      <c r="R983" s="11" t="s">
        <v>596</v>
      </c>
      <c r="S983" s="11" t="s">
        <v>35</v>
      </c>
      <c r="T983" s="158">
        <v>1.988</v>
      </c>
      <c r="U983" s="11" t="s">
        <v>2198</v>
      </c>
      <c r="V983" s="174">
        <v>2.4E-2</v>
      </c>
      <c r="W983" s="189">
        <v>2.647E-2</v>
      </c>
      <c r="X983" s="4" t="s">
        <v>602</v>
      </c>
      <c r="Y983" s="4" t="s">
        <v>312</v>
      </c>
      <c r="Z983" s="158">
        <v>167000.31</v>
      </c>
      <c r="AA983" s="158">
        <v>1</v>
      </c>
      <c r="AB983" s="158">
        <v>114.25</v>
      </c>
      <c r="AD983" s="158">
        <v>190.798</v>
      </c>
      <c r="AG983" s="11" t="s">
        <v>37</v>
      </c>
      <c r="AH983" s="189">
        <v>2.8899999999999998E-4</v>
      </c>
      <c r="AI983" s="189">
        <v>8.5155842795086797E-3</v>
      </c>
      <c r="AJ983" s="189">
        <v>1.9622620982199402E-3</v>
      </c>
    </row>
    <row r="984" spans="1:36">
      <c r="A984" s="11" t="s">
        <v>256</v>
      </c>
      <c r="B984" s="11">
        <v>7207</v>
      </c>
      <c r="C984" s="11" t="s">
        <v>1828</v>
      </c>
      <c r="D984" s="11" t="s">
        <v>1829</v>
      </c>
      <c r="E984" s="4" t="s">
        <v>1552</v>
      </c>
      <c r="F984" s="11" t="s">
        <v>2448</v>
      </c>
      <c r="G984" s="11" t="s">
        <v>2449</v>
      </c>
      <c r="H984" s="11" t="s">
        <v>511</v>
      </c>
      <c r="I984" s="11" t="s">
        <v>945</v>
      </c>
      <c r="J984" s="11" t="s">
        <v>31</v>
      </c>
      <c r="K984" s="11" t="s">
        <v>31</v>
      </c>
      <c r="L984" s="11" t="s">
        <v>517</v>
      </c>
      <c r="M984" s="11" t="s">
        <v>32</v>
      </c>
      <c r="N984" s="11" t="s">
        <v>652</v>
      </c>
      <c r="O984" s="11" t="s">
        <v>312</v>
      </c>
      <c r="P984" s="11" t="s">
        <v>2394</v>
      </c>
      <c r="Q984" s="11" t="s">
        <v>358</v>
      </c>
      <c r="R984" s="11" t="s">
        <v>596</v>
      </c>
      <c r="S984" s="11" t="s">
        <v>35</v>
      </c>
      <c r="T984" s="158">
        <v>1.956</v>
      </c>
      <c r="U984" s="11" t="s">
        <v>110</v>
      </c>
      <c r="V984" s="174">
        <v>1.4E-2</v>
      </c>
      <c r="W984" s="189">
        <v>2.5319999999999999E-2</v>
      </c>
      <c r="X984" s="4" t="s">
        <v>602</v>
      </c>
      <c r="Y984" s="4" t="s">
        <v>312</v>
      </c>
      <c r="Z984" s="158">
        <v>355200</v>
      </c>
      <c r="AA984" s="158">
        <v>1</v>
      </c>
      <c r="AB984" s="158">
        <v>111.84</v>
      </c>
      <c r="AD984" s="158">
        <v>397.25599999999997</v>
      </c>
      <c r="AG984" s="11" t="s">
        <v>37</v>
      </c>
      <c r="AH984" s="189">
        <v>4.4000000000000002E-4</v>
      </c>
      <c r="AI984" s="189">
        <v>1.77300957507141E-2</v>
      </c>
      <c r="AJ984" s="189">
        <v>4.0855793034842696E-3</v>
      </c>
    </row>
    <row r="985" spans="1:36">
      <c r="A985" s="11" t="s">
        <v>256</v>
      </c>
      <c r="B985" s="11">
        <v>7207</v>
      </c>
      <c r="C985" s="11" t="s">
        <v>2450</v>
      </c>
      <c r="D985" s="11" t="s">
        <v>2451</v>
      </c>
      <c r="E985" s="4" t="s">
        <v>1552</v>
      </c>
      <c r="F985" s="11" t="s">
        <v>2452</v>
      </c>
      <c r="G985" s="11" t="s">
        <v>2453</v>
      </c>
      <c r="H985" s="11" t="s">
        <v>511</v>
      </c>
      <c r="I985" s="11" t="s">
        <v>945</v>
      </c>
      <c r="J985" s="11" t="s">
        <v>31</v>
      </c>
      <c r="K985" s="11" t="s">
        <v>31</v>
      </c>
      <c r="L985" s="11" t="s">
        <v>517</v>
      </c>
      <c r="M985" s="11" t="s">
        <v>32</v>
      </c>
      <c r="N985" s="11" t="s">
        <v>652</v>
      </c>
      <c r="O985" s="11" t="s">
        <v>312</v>
      </c>
      <c r="P985" s="11" t="s">
        <v>2327</v>
      </c>
      <c r="Q985" s="11" t="s">
        <v>358</v>
      </c>
      <c r="R985" s="11" t="s">
        <v>596</v>
      </c>
      <c r="S985" s="11" t="s">
        <v>35</v>
      </c>
      <c r="T985" s="158">
        <v>1.498</v>
      </c>
      <c r="U985" s="11" t="s">
        <v>2317</v>
      </c>
      <c r="V985" s="174">
        <v>1E-3</v>
      </c>
      <c r="W985" s="189">
        <v>2.086E-2</v>
      </c>
      <c r="X985" s="4" t="s">
        <v>602</v>
      </c>
      <c r="Y985" s="4" t="s">
        <v>312</v>
      </c>
      <c r="Z985" s="158">
        <v>105000</v>
      </c>
      <c r="AA985" s="158">
        <v>1</v>
      </c>
      <c r="AB985" s="158">
        <v>110.23</v>
      </c>
      <c r="AD985" s="158">
        <v>115.742</v>
      </c>
      <c r="AG985" s="11" t="s">
        <v>37</v>
      </c>
      <c r="AH985" s="189">
        <v>1.8200000000000001E-4</v>
      </c>
      <c r="AI985" s="189">
        <v>5.1657106006169004E-3</v>
      </c>
      <c r="AJ985" s="189">
        <v>1.19034440729513E-3</v>
      </c>
    </row>
    <row r="986" spans="1:36">
      <c r="A986" s="11" t="s">
        <v>256</v>
      </c>
      <c r="B986" s="11">
        <v>7207</v>
      </c>
      <c r="C986" s="11" t="s">
        <v>2450</v>
      </c>
      <c r="D986" s="11" t="s">
        <v>2451</v>
      </c>
      <c r="E986" s="4" t="s">
        <v>1552</v>
      </c>
      <c r="F986" s="11" t="s">
        <v>2454</v>
      </c>
      <c r="G986" s="11" t="s">
        <v>2455</v>
      </c>
      <c r="H986" s="11" t="s">
        <v>511</v>
      </c>
      <c r="I986" s="11" t="s">
        <v>945</v>
      </c>
      <c r="J986" s="11" t="s">
        <v>31</v>
      </c>
      <c r="K986" s="11" t="s">
        <v>31</v>
      </c>
      <c r="L986" s="11" t="s">
        <v>517</v>
      </c>
      <c r="M986" s="11" t="s">
        <v>32</v>
      </c>
      <c r="N986" s="11" t="s">
        <v>652</v>
      </c>
      <c r="O986" s="11" t="s">
        <v>312</v>
      </c>
      <c r="P986" s="11" t="s">
        <v>2327</v>
      </c>
      <c r="Q986" s="11" t="s">
        <v>358</v>
      </c>
      <c r="R986" s="11" t="s">
        <v>596</v>
      </c>
      <c r="S986" s="11" t="s">
        <v>35</v>
      </c>
      <c r="T986" s="158">
        <v>2.7330000000000001</v>
      </c>
      <c r="U986" s="11" t="s">
        <v>110</v>
      </c>
      <c r="V986" s="174">
        <v>3.0000000000000001E-3</v>
      </c>
      <c r="W986" s="189">
        <v>3.356E-2</v>
      </c>
      <c r="X986" s="4" t="s">
        <v>602</v>
      </c>
      <c r="Y986" s="4" t="s">
        <v>312</v>
      </c>
      <c r="Z986" s="158">
        <v>129000</v>
      </c>
      <c r="AA986" s="158">
        <v>1</v>
      </c>
      <c r="AB986" s="158">
        <v>101.03</v>
      </c>
      <c r="AD986" s="158">
        <v>130.32900000000001</v>
      </c>
      <c r="AG986" s="11" t="s">
        <v>37</v>
      </c>
      <c r="AH986" s="189">
        <v>2.5399999999999999E-4</v>
      </c>
      <c r="AI986" s="189">
        <v>5.8167584414805301E-3</v>
      </c>
      <c r="AJ986" s="189">
        <v>1.34036658549479E-3</v>
      </c>
    </row>
    <row r="987" spans="1:36">
      <c r="A987" s="11" t="s">
        <v>256</v>
      </c>
      <c r="B987" s="11">
        <v>7207</v>
      </c>
      <c r="C987" s="11" t="s">
        <v>2450</v>
      </c>
      <c r="D987" s="11" t="s">
        <v>2451</v>
      </c>
      <c r="E987" s="4" t="s">
        <v>1552</v>
      </c>
      <c r="F987" s="11" t="s">
        <v>2456</v>
      </c>
      <c r="G987" s="11" t="s">
        <v>2457</v>
      </c>
      <c r="H987" s="11" t="s">
        <v>511</v>
      </c>
      <c r="I987" s="11" t="s">
        <v>945</v>
      </c>
      <c r="J987" s="11" t="s">
        <v>31</v>
      </c>
      <c r="K987" s="11" t="s">
        <v>31</v>
      </c>
      <c r="L987" s="11" t="s">
        <v>517</v>
      </c>
      <c r="M987" s="11" t="s">
        <v>32</v>
      </c>
      <c r="N987" s="11" t="s">
        <v>652</v>
      </c>
      <c r="O987" s="11" t="s">
        <v>312</v>
      </c>
      <c r="P987" s="11" t="s">
        <v>2327</v>
      </c>
      <c r="Q987" s="11" t="s">
        <v>358</v>
      </c>
      <c r="R987" s="11" t="s">
        <v>596</v>
      </c>
      <c r="S987" s="11" t="s">
        <v>35</v>
      </c>
      <c r="T987" s="158">
        <v>2.2389999999999999</v>
      </c>
      <c r="U987" s="11" t="s">
        <v>2198</v>
      </c>
      <c r="V987" s="174">
        <v>3.0000000000000001E-3</v>
      </c>
      <c r="W987" s="189">
        <v>3.2349999999999997E-2</v>
      </c>
      <c r="X987" s="4" t="s">
        <v>602</v>
      </c>
      <c r="Y987" s="4" t="s">
        <v>312</v>
      </c>
      <c r="Z987" s="158">
        <v>65000</v>
      </c>
      <c r="AA987" s="158">
        <v>1</v>
      </c>
      <c r="AB987" s="158">
        <v>98.78</v>
      </c>
      <c r="AD987" s="158">
        <v>64.206999999999994</v>
      </c>
      <c r="AG987" s="11" t="s">
        <v>37</v>
      </c>
      <c r="AH987" s="189">
        <v>1.5799999999999999E-4</v>
      </c>
      <c r="AI987" s="189">
        <v>2.8656513051395498E-3</v>
      </c>
      <c r="AJ987" s="189">
        <v>6.6033741881000804E-4</v>
      </c>
    </row>
    <row r="988" spans="1:36">
      <c r="A988" s="11" t="s">
        <v>256</v>
      </c>
      <c r="B988" s="11">
        <v>7207</v>
      </c>
      <c r="C988" s="11" t="s">
        <v>2450</v>
      </c>
      <c r="D988" s="11" t="s">
        <v>2451</v>
      </c>
      <c r="E988" s="4" t="s">
        <v>1552</v>
      </c>
      <c r="F988" s="11" t="s">
        <v>2458</v>
      </c>
      <c r="G988" s="11" t="s">
        <v>2459</v>
      </c>
      <c r="H988" s="11" t="s">
        <v>511</v>
      </c>
      <c r="I988" s="11" t="s">
        <v>945</v>
      </c>
      <c r="J988" s="11" t="s">
        <v>31</v>
      </c>
      <c r="K988" s="11" t="s">
        <v>31</v>
      </c>
      <c r="L988" s="11" t="s">
        <v>517</v>
      </c>
      <c r="M988" s="11" t="s">
        <v>32</v>
      </c>
      <c r="N988" s="11" t="s">
        <v>652</v>
      </c>
      <c r="O988" s="11" t="s">
        <v>312</v>
      </c>
      <c r="P988" s="11" t="s">
        <v>2327</v>
      </c>
      <c r="Q988" s="11" t="s">
        <v>358</v>
      </c>
      <c r="R988" s="11" t="s">
        <v>596</v>
      </c>
      <c r="S988" s="11" t="s">
        <v>35</v>
      </c>
      <c r="T988" s="158">
        <v>2.4910000000000001</v>
      </c>
      <c r="U988" s="11" t="s">
        <v>2333</v>
      </c>
      <c r="V988" s="174">
        <v>3.0000000000000001E-3</v>
      </c>
      <c r="W988" s="189">
        <v>3.322E-2</v>
      </c>
      <c r="X988" s="4" t="s">
        <v>602</v>
      </c>
      <c r="Y988" s="4" t="s">
        <v>312</v>
      </c>
      <c r="Z988" s="158">
        <v>22000</v>
      </c>
      <c r="AA988" s="158">
        <v>1</v>
      </c>
      <c r="AB988" s="158">
        <v>94.71</v>
      </c>
      <c r="AD988" s="158">
        <v>20.835999999999999</v>
      </c>
      <c r="AG988" s="11" t="s">
        <v>37</v>
      </c>
      <c r="AH988" s="189">
        <v>7.2999999999999999E-5</v>
      </c>
      <c r="AI988" s="189">
        <v>9.2994975196082402E-4</v>
      </c>
      <c r="AJ988" s="189">
        <v>2.1429007002054401E-4</v>
      </c>
    </row>
    <row r="989" spans="1:36">
      <c r="A989" s="11" t="s">
        <v>256</v>
      </c>
      <c r="B989" s="11">
        <v>7207</v>
      </c>
      <c r="C989" s="11" t="s">
        <v>2460</v>
      </c>
      <c r="D989" s="11" t="s">
        <v>2461</v>
      </c>
      <c r="E989" s="4" t="s">
        <v>1552</v>
      </c>
      <c r="F989" s="11" t="s">
        <v>2462</v>
      </c>
      <c r="G989" s="11" t="s">
        <v>2463</v>
      </c>
      <c r="H989" s="11" t="s">
        <v>511</v>
      </c>
      <c r="I989" s="11" t="s">
        <v>945</v>
      </c>
      <c r="J989" s="11" t="s">
        <v>31</v>
      </c>
      <c r="K989" s="11" t="s">
        <v>31</v>
      </c>
      <c r="L989" s="11" t="s">
        <v>517</v>
      </c>
      <c r="M989" s="11" t="s">
        <v>32</v>
      </c>
      <c r="N989" s="11" t="s">
        <v>636</v>
      </c>
      <c r="O989" s="11" t="s">
        <v>312</v>
      </c>
      <c r="P989" s="11" t="s">
        <v>157</v>
      </c>
      <c r="Q989" s="11" t="s">
        <v>604</v>
      </c>
      <c r="R989" s="11" t="s">
        <v>596</v>
      </c>
      <c r="S989" s="11" t="s">
        <v>35</v>
      </c>
      <c r="T989" s="158">
        <v>3.1680000000000001</v>
      </c>
      <c r="U989" s="11" t="s">
        <v>2464</v>
      </c>
      <c r="V989" s="174">
        <v>1.2200000000000001E-2</v>
      </c>
      <c r="W989" s="189">
        <v>2.3429999999999999E-2</v>
      </c>
      <c r="X989" s="4" t="s">
        <v>602</v>
      </c>
      <c r="Y989" s="4" t="s">
        <v>312</v>
      </c>
      <c r="Z989" s="158">
        <v>178000</v>
      </c>
      <c r="AA989" s="158">
        <v>1</v>
      </c>
      <c r="AB989" s="158">
        <v>111.52</v>
      </c>
      <c r="AD989" s="158">
        <v>198.506</v>
      </c>
      <c r="AG989" s="11" t="s">
        <v>37</v>
      </c>
      <c r="AH989" s="189">
        <v>5.8999999999999998E-5</v>
      </c>
      <c r="AI989" s="189">
        <v>8.8595921272993407E-3</v>
      </c>
      <c r="AJ989" s="189">
        <v>2.0415324734582201E-3</v>
      </c>
    </row>
    <row r="990" spans="1:36">
      <c r="A990" s="11" t="s">
        <v>256</v>
      </c>
      <c r="B990" s="11">
        <v>7207</v>
      </c>
      <c r="C990" s="11" t="s">
        <v>2460</v>
      </c>
      <c r="D990" s="11" t="s">
        <v>2461</v>
      </c>
      <c r="E990" s="4" t="s">
        <v>1552</v>
      </c>
      <c r="F990" s="11" t="s">
        <v>2465</v>
      </c>
      <c r="G990" s="11" t="s">
        <v>2466</v>
      </c>
      <c r="H990" s="11" t="s">
        <v>511</v>
      </c>
      <c r="I990" s="11" t="s">
        <v>945</v>
      </c>
      <c r="J990" s="11" t="s">
        <v>31</v>
      </c>
      <c r="K990" s="11" t="s">
        <v>31</v>
      </c>
      <c r="L990" s="11" t="s">
        <v>517</v>
      </c>
      <c r="M990" s="11" t="s">
        <v>32</v>
      </c>
      <c r="N990" s="11" t="s">
        <v>636</v>
      </c>
      <c r="O990" s="11" t="s">
        <v>312</v>
      </c>
      <c r="P990" s="11" t="s">
        <v>157</v>
      </c>
      <c r="Q990" s="11" t="s">
        <v>604</v>
      </c>
      <c r="R990" s="11" t="s">
        <v>596</v>
      </c>
      <c r="S990" s="11" t="s">
        <v>35</v>
      </c>
      <c r="T990" s="158">
        <v>4.2990000000000004</v>
      </c>
      <c r="U990" s="11" t="s">
        <v>2467</v>
      </c>
      <c r="V990" s="174">
        <v>1E-3</v>
      </c>
      <c r="W990" s="189">
        <v>2.529E-2</v>
      </c>
      <c r="X990" s="4" t="s">
        <v>602</v>
      </c>
      <c r="Y990" s="4" t="s">
        <v>312</v>
      </c>
      <c r="Z990" s="158">
        <v>383000</v>
      </c>
      <c r="AA990" s="158">
        <v>1</v>
      </c>
      <c r="AB990" s="158">
        <v>99.99</v>
      </c>
      <c r="AD990" s="158">
        <v>382.96199999999999</v>
      </c>
      <c r="AG990" s="11" t="s">
        <v>37</v>
      </c>
      <c r="AH990" s="189">
        <v>1.13E-4</v>
      </c>
      <c r="AI990" s="189">
        <v>1.7092134742683202E-2</v>
      </c>
      <c r="AJ990" s="189">
        <v>3.9385727487827298E-3</v>
      </c>
    </row>
    <row r="991" spans="1:36">
      <c r="A991" s="11" t="s">
        <v>256</v>
      </c>
      <c r="B991" s="11">
        <v>7207</v>
      </c>
      <c r="C991" s="11" t="s">
        <v>2460</v>
      </c>
      <c r="D991" s="11" t="s">
        <v>2461</v>
      </c>
      <c r="E991" s="4" t="s">
        <v>1552</v>
      </c>
      <c r="F991" s="11" t="s">
        <v>2468</v>
      </c>
      <c r="G991" s="11" t="s">
        <v>2469</v>
      </c>
      <c r="H991" s="11" t="s">
        <v>511</v>
      </c>
      <c r="I991" s="11" t="s">
        <v>945</v>
      </c>
      <c r="J991" s="11" t="s">
        <v>31</v>
      </c>
      <c r="K991" s="11" t="s">
        <v>31</v>
      </c>
      <c r="L991" s="11" t="s">
        <v>517</v>
      </c>
      <c r="M991" s="11" t="s">
        <v>32</v>
      </c>
      <c r="N991" s="11" t="s">
        <v>636</v>
      </c>
      <c r="O991" s="11" t="s">
        <v>312</v>
      </c>
      <c r="P991" s="11" t="s">
        <v>157</v>
      </c>
      <c r="Q991" s="11" t="s">
        <v>604</v>
      </c>
      <c r="R991" s="11" t="s">
        <v>596</v>
      </c>
      <c r="S991" s="11" t="s">
        <v>35</v>
      </c>
      <c r="T991" s="158">
        <v>4.6559999999999997</v>
      </c>
      <c r="U991" s="11" t="s">
        <v>2470</v>
      </c>
      <c r="V991" s="174">
        <v>2.06E-2</v>
      </c>
      <c r="W991" s="189">
        <v>2.554E-2</v>
      </c>
      <c r="X991" s="4" t="s">
        <v>602</v>
      </c>
      <c r="Y991" s="4" t="s">
        <v>312</v>
      </c>
      <c r="Z991" s="158">
        <v>89100</v>
      </c>
      <c r="AA991" s="158">
        <v>1</v>
      </c>
      <c r="AB991" s="158">
        <v>100.67</v>
      </c>
      <c r="AD991" s="158">
        <v>89.697000000000003</v>
      </c>
      <c r="AG991" s="11" t="s">
        <v>37</v>
      </c>
      <c r="AH991" s="189">
        <v>4.8999999999999998E-5</v>
      </c>
      <c r="AI991" s="189">
        <v>4.0033055453075703E-3</v>
      </c>
      <c r="AJ991" s="189">
        <v>9.2248922461536599E-4</v>
      </c>
    </row>
    <row r="992" spans="1:36">
      <c r="A992" s="11" t="s">
        <v>256</v>
      </c>
      <c r="B992" s="11">
        <v>7207</v>
      </c>
      <c r="C992" s="11" t="s">
        <v>2460</v>
      </c>
      <c r="D992" s="11" t="s">
        <v>2461</v>
      </c>
      <c r="E992" s="4" t="s">
        <v>1552</v>
      </c>
      <c r="F992" s="11" t="s">
        <v>2471</v>
      </c>
      <c r="G992" s="11" t="s">
        <v>2472</v>
      </c>
      <c r="H992" s="11" t="s">
        <v>511</v>
      </c>
      <c r="I992" s="11" t="s">
        <v>945</v>
      </c>
      <c r="J992" s="11" t="s">
        <v>31</v>
      </c>
      <c r="K992" s="11" t="s">
        <v>31</v>
      </c>
      <c r="L992" s="11" t="s">
        <v>517</v>
      </c>
      <c r="M992" s="11" t="s">
        <v>32</v>
      </c>
      <c r="N992" s="11" t="s">
        <v>636</v>
      </c>
      <c r="O992" s="11" t="s">
        <v>312</v>
      </c>
      <c r="P992" s="11" t="s">
        <v>357</v>
      </c>
      <c r="Q992" s="11" t="s">
        <v>358</v>
      </c>
      <c r="R992" s="11" t="s">
        <v>596</v>
      </c>
      <c r="S992" s="11" t="s">
        <v>35</v>
      </c>
      <c r="T992" s="158">
        <v>4.6280000000000001</v>
      </c>
      <c r="U992" s="11" t="s">
        <v>2473</v>
      </c>
      <c r="V992" s="174">
        <v>1.9900000000000001E-2</v>
      </c>
      <c r="W992" s="189">
        <v>2.571E-2</v>
      </c>
      <c r="X992" s="4" t="s">
        <v>602</v>
      </c>
      <c r="Y992" s="4" t="s">
        <v>312</v>
      </c>
      <c r="Z992" s="158">
        <v>230000</v>
      </c>
      <c r="AA992" s="158">
        <v>1</v>
      </c>
      <c r="AB992" s="158">
        <v>100.23</v>
      </c>
      <c r="AD992" s="158">
        <v>230.529</v>
      </c>
      <c r="AG992" s="11" t="s">
        <v>37</v>
      </c>
      <c r="AH992" s="189">
        <v>8.5000000000000006E-5</v>
      </c>
      <c r="AI992" s="189">
        <v>1.02888428009799E-2</v>
      </c>
      <c r="AJ992" s="189">
        <v>2.3708773937553898E-3</v>
      </c>
    </row>
    <row r="993" spans="1:36">
      <c r="A993" s="11" t="s">
        <v>256</v>
      </c>
      <c r="B993" s="11">
        <v>7207</v>
      </c>
      <c r="C993" s="11" t="s">
        <v>2460</v>
      </c>
      <c r="D993" s="11" t="s">
        <v>2461</v>
      </c>
      <c r="E993" s="4" t="s">
        <v>1552</v>
      </c>
      <c r="F993" s="11" t="s">
        <v>2474</v>
      </c>
      <c r="G993" s="11" t="s">
        <v>2475</v>
      </c>
      <c r="H993" s="11" t="s">
        <v>511</v>
      </c>
      <c r="I993" s="11" t="s">
        <v>1154</v>
      </c>
      <c r="J993" s="11" t="s">
        <v>31</v>
      </c>
      <c r="K993" s="11" t="s">
        <v>31</v>
      </c>
      <c r="L993" s="11" t="s">
        <v>517</v>
      </c>
      <c r="M993" s="11" t="s">
        <v>32</v>
      </c>
      <c r="N993" s="11" t="s">
        <v>636</v>
      </c>
      <c r="O993" s="11" t="s">
        <v>312</v>
      </c>
      <c r="P993" s="11" t="s">
        <v>157</v>
      </c>
      <c r="Q993" s="11" t="s">
        <v>604</v>
      </c>
      <c r="R993" s="11" t="s">
        <v>596</v>
      </c>
      <c r="S993" s="11" t="s">
        <v>35</v>
      </c>
      <c r="T993" s="158">
        <v>0.17799999999999999</v>
      </c>
      <c r="U993" s="11" t="s">
        <v>243</v>
      </c>
      <c r="V993" s="174">
        <v>1.09E-2</v>
      </c>
      <c r="W993" s="189">
        <v>4.7379999999999999E-2</v>
      </c>
      <c r="X993" s="4" t="s">
        <v>602</v>
      </c>
      <c r="Y993" s="4" t="s">
        <v>312</v>
      </c>
      <c r="Z993" s="158">
        <v>43000</v>
      </c>
      <c r="AA993" s="158">
        <v>1</v>
      </c>
      <c r="AB993" s="158">
        <v>100.26</v>
      </c>
      <c r="AD993" s="158">
        <v>43.112000000000002</v>
      </c>
      <c r="AG993" s="11" t="s">
        <v>37</v>
      </c>
      <c r="AH993" s="189">
        <v>5.5999999999999999E-5</v>
      </c>
      <c r="AI993" s="189">
        <v>1.9241420084556999E-3</v>
      </c>
      <c r="AJ993" s="189">
        <v>4.4338366116238601E-4</v>
      </c>
    </row>
    <row r="994" spans="1:36">
      <c r="A994" s="11" t="s">
        <v>256</v>
      </c>
      <c r="B994" s="11">
        <v>7207</v>
      </c>
      <c r="C994" s="11" t="s">
        <v>2460</v>
      </c>
      <c r="D994" s="11" t="s">
        <v>2461</v>
      </c>
      <c r="E994" s="4" t="s">
        <v>1552</v>
      </c>
      <c r="F994" s="11" t="s">
        <v>2476</v>
      </c>
      <c r="G994" s="11" t="s">
        <v>2477</v>
      </c>
      <c r="H994" s="11" t="s">
        <v>511</v>
      </c>
      <c r="I994" s="11" t="s">
        <v>945</v>
      </c>
      <c r="J994" s="11" t="s">
        <v>31</v>
      </c>
      <c r="K994" s="11" t="s">
        <v>31</v>
      </c>
      <c r="L994" s="11" t="s">
        <v>517</v>
      </c>
      <c r="M994" s="11" t="s">
        <v>32</v>
      </c>
      <c r="N994" s="11" t="s">
        <v>636</v>
      </c>
      <c r="O994" s="11" t="s">
        <v>312</v>
      </c>
      <c r="P994" s="11" t="s">
        <v>157</v>
      </c>
      <c r="Q994" s="11" t="s">
        <v>604</v>
      </c>
      <c r="R994" s="11" t="s">
        <v>596</v>
      </c>
      <c r="S994" s="11" t="s">
        <v>35</v>
      </c>
      <c r="T994" s="158">
        <v>2.4089999999999998</v>
      </c>
      <c r="U994" s="11" t="s">
        <v>2478</v>
      </c>
      <c r="V994" s="174">
        <v>5.0000000000000001E-3</v>
      </c>
      <c r="W994" s="189">
        <v>2.0039999999999999E-2</v>
      </c>
      <c r="X994" s="4" t="s">
        <v>602</v>
      </c>
      <c r="Y994" s="4" t="s">
        <v>312</v>
      </c>
      <c r="Z994" s="158">
        <v>86000</v>
      </c>
      <c r="AA994" s="158">
        <v>1</v>
      </c>
      <c r="AB994" s="158">
        <v>108.28</v>
      </c>
      <c r="AD994" s="158">
        <v>93.120999999999995</v>
      </c>
      <c r="AG994" s="11" t="s">
        <v>37</v>
      </c>
      <c r="AH994" s="189">
        <v>1.13E-4</v>
      </c>
      <c r="AI994" s="189">
        <v>4.1561160318289098E-3</v>
      </c>
      <c r="AJ994" s="189">
        <v>9.5770163236910395E-4</v>
      </c>
    </row>
    <row r="995" spans="1:36">
      <c r="A995" s="11" t="s">
        <v>256</v>
      </c>
      <c r="B995" s="11">
        <v>7207</v>
      </c>
      <c r="C995" s="11" t="s">
        <v>2460</v>
      </c>
      <c r="D995" s="11" t="s">
        <v>2461</v>
      </c>
      <c r="E995" s="4" t="s">
        <v>1552</v>
      </c>
      <c r="F995" s="11" t="s">
        <v>2479</v>
      </c>
      <c r="G995" s="11" t="s">
        <v>2480</v>
      </c>
      <c r="H995" s="11" t="s">
        <v>511</v>
      </c>
      <c r="I995" s="11" t="s">
        <v>945</v>
      </c>
      <c r="J995" s="11" t="s">
        <v>31</v>
      </c>
      <c r="K995" s="11" t="s">
        <v>31</v>
      </c>
      <c r="L995" s="11" t="s">
        <v>517</v>
      </c>
      <c r="M995" s="11" t="s">
        <v>32</v>
      </c>
      <c r="N995" s="11" t="s">
        <v>636</v>
      </c>
      <c r="O995" s="11" t="s">
        <v>312</v>
      </c>
      <c r="P995" s="11" t="s">
        <v>157</v>
      </c>
      <c r="Q995" s="11" t="s">
        <v>604</v>
      </c>
      <c r="R995" s="11" t="s">
        <v>596</v>
      </c>
      <c r="S995" s="11" t="s">
        <v>35</v>
      </c>
      <c r="T995" s="158">
        <v>0.66600000000000004</v>
      </c>
      <c r="U995" s="11" t="s">
        <v>2481</v>
      </c>
      <c r="V995" s="174">
        <v>9.4999999999999998E-3</v>
      </c>
      <c r="W995" s="189">
        <v>2.8910000000000002E-2</v>
      </c>
      <c r="X995" s="4" t="s">
        <v>602</v>
      </c>
      <c r="Y995" s="4" t="s">
        <v>312</v>
      </c>
      <c r="Z995" s="158">
        <v>121000.47</v>
      </c>
      <c r="AA995" s="158">
        <v>1</v>
      </c>
      <c r="AB995" s="158">
        <v>113.35</v>
      </c>
      <c r="AD995" s="158">
        <v>137.154</v>
      </c>
      <c r="AG995" s="11" t="s">
        <v>37</v>
      </c>
      <c r="AH995" s="189">
        <v>7.5299999999999998E-4</v>
      </c>
      <c r="AI995" s="189">
        <v>6.1213829168293397E-3</v>
      </c>
      <c r="AJ995" s="189">
        <v>1.4105617761648499E-3</v>
      </c>
    </row>
    <row r="996" spans="1:36">
      <c r="A996" s="11" t="s">
        <v>256</v>
      </c>
      <c r="B996" s="11">
        <v>7207</v>
      </c>
      <c r="C996" s="11" t="s">
        <v>2460</v>
      </c>
      <c r="D996" s="11" t="s">
        <v>2461</v>
      </c>
      <c r="E996" s="4" t="s">
        <v>1552</v>
      </c>
      <c r="F996" s="11" t="s">
        <v>2482</v>
      </c>
      <c r="G996" s="11" t="s">
        <v>2483</v>
      </c>
      <c r="H996" s="11" t="s">
        <v>511</v>
      </c>
      <c r="I996" s="11" t="s">
        <v>1154</v>
      </c>
      <c r="J996" s="11" t="s">
        <v>31</v>
      </c>
      <c r="K996" s="11" t="s">
        <v>31</v>
      </c>
      <c r="L996" s="11" t="s">
        <v>517</v>
      </c>
      <c r="M996" s="11" t="s">
        <v>32</v>
      </c>
      <c r="N996" s="11" t="s">
        <v>636</v>
      </c>
      <c r="O996" s="11" t="s">
        <v>312</v>
      </c>
      <c r="P996" s="11" t="s">
        <v>157</v>
      </c>
      <c r="Q996" s="11" t="s">
        <v>604</v>
      </c>
      <c r="R996" s="11" t="s">
        <v>596</v>
      </c>
      <c r="S996" s="11" t="s">
        <v>35</v>
      </c>
      <c r="T996" s="158">
        <v>0.93400000000000005</v>
      </c>
      <c r="U996" s="11" t="s">
        <v>2484</v>
      </c>
      <c r="V996" s="174">
        <v>2.98E-2</v>
      </c>
      <c r="W996" s="189">
        <v>4.4900000000000002E-2</v>
      </c>
      <c r="X996" s="4" t="s">
        <v>602</v>
      </c>
      <c r="Y996" s="4" t="s">
        <v>312</v>
      </c>
      <c r="Z996" s="158">
        <v>170000</v>
      </c>
      <c r="AA996" s="158">
        <v>1</v>
      </c>
      <c r="AB996" s="158">
        <v>98.82</v>
      </c>
      <c r="AD996" s="158">
        <v>167.994</v>
      </c>
      <c r="AG996" s="11" t="s">
        <v>37</v>
      </c>
      <c r="AH996" s="189">
        <v>6.7000000000000002E-5</v>
      </c>
      <c r="AI996" s="189">
        <v>7.4978152749017001E-3</v>
      </c>
      <c r="AJ996" s="189">
        <v>1.72773567267694E-3</v>
      </c>
    </row>
    <row r="997" spans="1:36">
      <c r="A997" s="11" t="s">
        <v>256</v>
      </c>
      <c r="B997" s="11">
        <v>7207</v>
      </c>
      <c r="C997" s="11" t="s">
        <v>2460</v>
      </c>
      <c r="D997" s="11" t="s">
        <v>2461</v>
      </c>
      <c r="E997" s="4" t="s">
        <v>1552</v>
      </c>
      <c r="F997" s="11" t="s">
        <v>2485</v>
      </c>
      <c r="G997" s="11" t="s">
        <v>2486</v>
      </c>
      <c r="H997" s="11" t="s">
        <v>511</v>
      </c>
      <c r="I997" s="11" t="s">
        <v>945</v>
      </c>
      <c r="J997" s="11" t="s">
        <v>31</v>
      </c>
      <c r="K997" s="11" t="s">
        <v>31</v>
      </c>
      <c r="L997" s="11" t="s">
        <v>517</v>
      </c>
      <c r="M997" s="11" t="s">
        <v>32</v>
      </c>
      <c r="N997" s="11" t="s">
        <v>636</v>
      </c>
      <c r="O997" s="11" t="s">
        <v>312</v>
      </c>
      <c r="P997" s="11" t="s">
        <v>157</v>
      </c>
      <c r="Q997" s="11" t="s">
        <v>604</v>
      </c>
      <c r="R997" s="11" t="s">
        <v>596</v>
      </c>
      <c r="S997" s="11" t="s">
        <v>35</v>
      </c>
      <c r="T997" s="158">
        <v>3.73</v>
      </c>
      <c r="U997" s="11" t="s">
        <v>2487</v>
      </c>
      <c r="V997" s="174">
        <v>1.6400000000000001E-2</v>
      </c>
      <c r="W997" s="189">
        <v>2.4680000000000001E-2</v>
      </c>
      <c r="X997" s="4" t="s">
        <v>602</v>
      </c>
      <c r="Y997" s="4" t="s">
        <v>312</v>
      </c>
      <c r="Z997" s="158">
        <v>75556.5</v>
      </c>
      <c r="AA997" s="158">
        <v>1</v>
      </c>
      <c r="AB997" s="158">
        <v>102.97</v>
      </c>
      <c r="AD997" s="158">
        <v>77.801000000000002</v>
      </c>
      <c r="AG997" s="11" t="s">
        <v>37</v>
      </c>
      <c r="AH997" s="189">
        <v>6.9999999999999994E-5</v>
      </c>
      <c r="AI997" s="189">
        <v>3.47235012922311E-3</v>
      </c>
      <c r="AJ997" s="189">
        <v>8.0014016967920403E-4</v>
      </c>
    </row>
    <row r="998" spans="1:36">
      <c r="A998" s="11" t="s">
        <v>256</v>
      </c>
      <c r="B998" s="11">
        <v>7207</v>
      </c>
      <c r="C998" s="11" t="s">
        <v>2460</v>
      </c>
      <c r="D998" s="11" t="s">
        <v>2461</v>
      </c>
      <c r="E998" s="4" t="s">
        <v>1552</v>
      </c>
      <c r="F998" s="11" t="s">
        <v>2488</v>
      </c>
      <c r="G998" s="11" t="s">
        <v>2489</v>
      </c>
      <c r="H998" s="11" t="s">
        <v>511</v>
      </c>
      <c r="I998" s="11" t="s">
        <v>945</v>
      </c>
      <c r="J998" s="11" t="s">
        <v>31</v>
      </c>
      <c r="K998" s="11" t="s">
        <v>31</v>
      </c>
      <c r="L998" s="11" t="s">
        <v>517</v>
      </c>
      <c r="M998" s="11" t="s">
        <v>32</v>
      </c>
      <c r="N998" s="11" t="s">
        <v>636</v>
      </c>
      <c r="O998" s="11" t="s">
        <v>312</v>
      </c>
      <c r="P998" s="11" t="s">
        <v>157</v>
      </c>
      <c r="Q998" s="11" t="s">
        <v>604</v>
      </c>
      <c r="R998" s="11" t="s">
        <v>596</v>
      </c>
      <c r="S998" s="11" t="s">
        <v>35</v>
      </c>
      <c r="T998" s="158">
        <v>0.24399999999999999</v>
      </c>
      <c r="U998" s="11" t="s">
        <v>2490</v>
      </c>
      <c r="V998" s="174">
        <v>8.6E-3</v>
      </c>
      <c r="W998" s="189">
        <v>2.4969999999999999E-2</v>
      </c>
      <c r="X998" s="4" t="s">
        <v>602</v>
      </c>
      <c r="Y998" s="4" t="s">
        <v>312</v>
      </c>
      <c r="Z998" s="158">
        <v>827000</v>
      </c>
      <c r="AA998" s="158">
        <v>1</v>
      </c>
      <c r="AB998" s="158">
        <v>114.94</v>
      </c>
      <c r="AD998" s="158">
        <v>950.55399999999997</v>
      </c>
      <c r="AG998" s="11" t="s">
        <v>37</v>
      </c>
      <c r="AH998" s="189">
        <v>3.3100000000000002E-4</v>
      </c>
      <c r="AI998" s="189">
        <v>4.24245913619287E-2</v>
      </c>
      <c r="AJ998" s="189">
        <v>9.7759783626714392E-3</v>
      </c>
    </row>
    <row r="999" spans="1:36">
      <c r="A999" s="11" t="s">
        <v>256</v>
      </c>
      <c r="B999" s="11">
        <v>7207</v>
      </c>
      <c r="C999" s="11" t="s">
        <v>2460</v>
      </c>
      <c r="D999" s="11" t="s">
        <v>2461</v>
      </c>
      <c r="E999" s="4" t="s">
        <v>1552</v>
      </c>
      <c r="F999" s="11" t="s">
        <v>2491</v>
      </c>
      <c r="G999" s="11" t="s">
        <v>2492</v>
      </c>
      <c r="H999" s="11" t="s">
        <v>511</v>
      </c>
      <c r="I999" s="11" t="s">
        <v>945</v>
      </c>
      <c r="J999" s="11" t="s">
        <v>31</v>
      </c>
      <c r="K999" s="11" t="s">
        <v>31</v>
      </c>
      <c r="L999" s="11" t="s">
        <v>517</v>
      </c>
      <c r="M999" s="11" t="s">
        <v>32</v>
      </c>
      <c r="N999" s="11" t="s">
        <v>636</v>
      </c>
      <c r="O999" s="11" t="s">
        <v>312</v>
      </c>
      <c r="P999" s="11" t="s">
        <v>157</v>
      </c>
      <c r="Q999" s="11" t="s">
        <v>604</v>
      </c>
      <c r="R999" s="11" t="s">
        <v>596</v>
      </c>
      <c r="S999" s="11" t="s">
        <v>35</v>
      </c>
      <c r="T999" s="158">
        <v>1.9710000000000001</v>
      </c>
      <c r="U999" s="11" t="s">
        <v>2493</v>
      </c>
      <c r="V999" s="174">
        <v>3.8E-3</v>
      </c>
      <c r="W999" s="189">
        <v>2.087E-2</v>
      </c>
      <c r="X999" s="4" t="s">
        <v>602</v>
      </c>
      <c r="Y999" s="4" t="s">
        <v>312</v>
      </c>
      <c r="Z999" s="158">
        <v>176740</v>
      </c>
      <c r="AA999" s="158">
        <v>1</v>
      </c>
      <c r="AB999" s="158">
        <v>107.97</v>
      </c>
      <c r="AD999" s="158">
        <v>190.82599999999999</v>
      </c>
      <c r="AG999" s="11" t="s">
        <v>37</v>
      </c>
      <c r="AH999" s="189">
        <v>5.8999999999999998E-5</v>
      </c>
      <c r="AI999" s="189">
        <v>8.5168484127975397E-3</v>
      </c>
      <c r="AJ999" s="189">
        <v>1.9625533948307702E-3</v>
      </c>
    </row>
    <row r="1000" spans="1:36">
      <c r="A1000" s="11" t="s">
        <v>256</v>
      </c>
      <c r="B1000" s="11">
        <v>7207</v>
      </c>
      <c r="C1000" s="11" t="s">
        <v>2460</v>
      </c>
      <c r="D1000" s="11" t="s">
        <v>2461</v>
      </c>
      <c r="E1000" s="4" t="s">
        <v>1552</v>
      </c>
      <c r="F1000" s="11" t="s">
        <v>2494</v>
      </c>
      <c r="G1000" s="11" t="s">
        <v>2495</v>
      </c>
      <c r="H1000" s="11" t="s">
        <v>511</v>
      </c>
      <c r="I1000" s="11" t="s">
        <v>945</v>
      </c>
      <c r="J1000" s="11" t="s">
        <v>31</v>
      </c>
      <c r="K1000" s="11" t="s">
        <v>31</v>
      </c>
      <c r="L1000" s="11" t="s">
        <v>517</v>
      </c>
      <c r="M1000" s="11" t="s">
        <v>32</v>
      </c>
      <c r="N1000" s="11" t="s">
        <v>636</v>
      </c>
      <c r="O1000" s="11" t="s">
        <v>312</v>
      </c>
      <c r="P1000" s="11" t="s">
        <v>157</v>
      </c>
      <c r="Q1000" s="11" t="s">
        <v>604</v>
      </c>
      <c r="R1000" s="11" t="s">
        <v>596</v>
      </c>
      <c r="S1000" s="11" t="s">
        <v>35</v>
      </c>
      <c r="T1000" s="158">
        <v>3.6779999999999999</v>
      </c>
      <c r="U1000" s="11" t="s">
        <v>2496</v>
      </c>
      <c r="V1000" s="174">
        <v>1E-3</v>
      </c>
      <c r="W1000" s="189">
        <v>2.5350000000000001E-2</v>
      </c>
      <c r="X1000" s="4" t="s">
        <v>602</v>
      </c>
      <c r="Y1000" s="4" t="s">
        <v>312</v>
      </c>
      <c r="Z1000" s="158">
        <v>419755.57</v>
      </c>
      <c r="AA1000" s="158">
        <v>1</v>
      </c>
      <c r="AB1000" s="158">
        <v>100.22</v>
      </c>
      <c r="AD1000" s="158">
        <v>420.67899999999997</v>
      </c>
      <c r="AG1000" s="11" t="s">
        <v>37</v>
      </c>
      <c r="AH1000" s="189">
        <v>1.6100000000000001E-4</v>
      </c>
      <c r="AI1000" s="189">
        <v>1.8775513850881002E-2</v>
      </c>
      <c r="AJ1000" s="189">
        <v>4.3264769621084703E-3</v>
      </c>
    </row>
    <row r="1001" spans="1:36">
      <c r="A1001" s="11" t="s">
        <v>256</v>
      </c>
      <c r="B1001" s="11">
        <v>7207</v>
      </c>
      <c r="C1001" s="11" t="s">
        <v>2497</v>
      </c>
      <c r="D1001" s="11" t="s">
        <v>2498</v>
      </c>
      <c r="E1001" s="4" t="s">
        <v>1552</v>
      </c>
      <c r="F1001" s="11" t="s">
        <v>2499</v>
      </c>
      <c r="G1001" s="11" t="s">
        <v>2500</v>
      </c>
      <c r="H1001" s="11" t="s">
        <v>511</v>
      </c>
      <c r="I1001" s="11" t="s">
        <v>945</v>
      </c>
      <c r="J1001" s="11" t="s">
        <v>31</v>
      </c>
      <c r="K1001" s="11" t="s">
        <v>31</v>
      </c>
      <c r="L1001" s="11" t="s">
        <v>517</v>
      </c>
      <c r="M1001" s="11" t="s">
        <v>32</v>
      </c>
      <c r="N1001" s="11" t="s">
        <v>631</v>
      </c>
      <c r="O1001" s="11" t="s">
        <v>312</v>
      </c>
      <c r="P1001" s="11" t="s">
        <v>168</v>
      </c>
      <c r="Q1001" s="11" t="s">
        <v>604</v>
      </c>
      <c r="R1001" s="11" t="s">
        <v>596</v>
      </c>
      <c r="S1001" s="11" t="s">
        <v>35</v>
      </c>
      <c r="T1001" s="158">
        <v>1.0389999999999999</v>
      </c>
      <c r="U1001" s="11" t="s">
        <v>2317</v>
      </c>
      <c r="V1001" s="174">
        <v>1.8499999999999999E-2</v>
      </c>
      <c r="W1001" s="189">
        <v>2.92E-2</v>
      </c>
      <c r="X1001" s="4" t="s">
        <v>602</v>
      </c>
      <c r="Y1001" s="4" t="s">
        <v>312</v>
      </c>
      <c r="Z1001" s="158">
        <v>68625</v>
      </c>
      <c r="AA1001" s="158">
        <v>1</v>
      </c>
      <c r="AB1001" s="158">
        <v>112.32</v>
      </c>
      <c r="AD1001" s="158">
        <v>77.08</v>
      </c>
      <c r="AG1001" s="11" t="s">
        <v>37</v>
      </c>
      <c r="AH1001" s="189">
        <v>1.4300000000000001E-4</v>
      </c>
      <c r="AI1001" s="189">
        <v>3.4401740673078401E-3</v>
      </c>
      <c r="AJ1001" s="189">
        <v>7.9272577922824496E-4</v>
      </c>
    </row>
    <row r="1002" spans="1:36">
      <c r="A1002" s="11" t="s">
        <v>256</v>
      </c>
      <c r="B1002" s="11">
        <v>7207</v>
      </c>
      <c r="C1002" s="11" t="s">
        <v>2497</v>
      </c>
      <c r="D1002" s="11" t="s">
        <v>2498</v>
      </c>
      <c r="E1002" s="4" t="s">
        <v>1552</v>
      </c>
      <c r="F1002" s="11" t="s">
        <v>2501</v>
      </c>
      <c r="G1002" s="11" t="s">
        <v>2502</v>
      </c>
      <c r="H1002" s="11" t="s">
        <v>511</v>
      </c>
      <c r="I1002" s="11" t="s">
        <v>945</v>
      </c>
      <c r="J1002" s="11" t="s">
        <v>31</v>
      </c>
      <c r="K1002" s="11" t="s">
        <v>31</v>
      </c>
      <c r="L1002" s="11" t="s">
        <v>517</v>
      </c>
      <c r="M1002" s="11" t="s">
        <v>32</v>
      </c>
      <c r="N1002" s="11" t="s">
        <v>631</v>
      </c>
      <c r="O1002" s="11" t="s">
        <v>312</v>
      </c>
      <c r="P1002" s="11" t="s">
        <v>168</v>
      </c>
      <c r="Q1002" s="11" t="s">
        <v>604</v>
      </c>
      <c r="R1002" s="11" t="s">
        <v>596</v>
      </c>
      <c r="S1002" s="11" t="s">
        <v>35</v>
      </c>
      <c r="T1002" s="158">
        <v>0.64900000000000002</v>
      </c>
      <c r="U1002" s="11" t="s">
        <v>2503</v>
      </c>
      <c r="V1002" s="174">
        <v>0.01</v>
      </c>
      <c r="W1002" s="189">
        <v>3.1940000000000003E-2</v>
      </c>
      <c r="X1002" s="4" t="s">
        <v>602</v>
      </c>
      <c r="Y1002" s="4" t="s">
        <v>312</v>
      </c>
      <c r="Z1002" s="158">
        <v>28058.82</v>
      </c>
      <c r="AA1002" s="158">
        <v>1</v>
      </c>
      <c r="AB1002" s="158">
        <v>111.26</v>
      </c>
      <c r="AD1002" s="158">
        <v>31.218</v>
      </c>
      <c r="AG1002" s="11" t="s">
        <v>37</v>
      </c>
      <c r="AH1002" s="189">
        <v>6.3999999999999997E-5</v>
      </c>
      <c r="AI1002" s="189">
        <v>1.3933153577550699E-3</v>
      </c>
      <c r="AJ1002" s="189">
        <v>3.2106427787574799E-4</v>
      </c>
    </row>
    <row r="1003" spans="1:36">
      <c r="A1003" s="11" t="s">
        <v>256</v>
      </c>
      <c r="B1003" s="11">
        <v>7207</v>
      </c>
      <c r="C1003" s="11" t="s">
        <v>1852</v>
      </c>
      <c r="D1003" s="11" t="s">
        <v>1853</v>
      </c>
      <c r="E1003" s="4" t="s">
        <v>1552</v>
      </c>
      <c r="F1003" s="11" t="s">
        <v>2504</v>
      </c>
      <c r="G1003" s="11" t="s">
        <v>2505</v>
      </c>
      <c r="H1003" s="11" t="s">
        <v>511</v>
      </c>
      <c r="I1003" s="11" t="s">
        <v>945</v>
      </c>
      <c r="J1003" s="11" t="s">
        <v>31</v>
      </c>
      <c r="K1003" s="11" t="s">
        <v>31</v>
      </c>
      <c r="L1003" s="11" t="s">
        <v>517</v>
      </c>
      <c r="M1003" s="11" t="s">
        <v>32</v>
      </c>
      <c r="N1003" s="11" t="s">
        <v>652</v>
      </c>
      <c r="O1003" s="11" t="s">
        <v>312</v>
      </c>
      <c r="P1003" s="11" t="s">
        <v>2169</v>
      </c>
      <c r="Q1003" s="11" t="s">
        <v>358</v>
      </c>
      <c r="R1003" s="11" t="s">
        <v>596</v>
      </c>
      <c r="S1003" s="11" t="s">
        <v>35</v>
      </c>
      <c r="T1003" s="158">
        <v>4.59</v>
      </c>
      <c r="U1003" s="11" t="s">
        <v>2170</v>
      </c>
      <c r="V1003" s="174">
        <v>1.43E-2</v>
      </c>
      <c r="W1003" s="189">
        <v>3.1870000000000002E-2</v>
      </c>
      <c r="X1003" s="4" t="s">
        <v>602</v>
      </c>
      <c r="Y1003" s="4" t="s">
        <v>312</v>
      </c>
      <c r="Z1003" s="158">
        <v>155617.07999999999</v>
      </c>
      <c r="AA1003" s="158">
        <v>1</v>
      </c>
      <c r="AB1003" s="158">
        <v>104.95</v>
      </c>
      <c r="AC1003" s="158">
        <v>3.1970000000000001</v>
      </c>
      <c r="AD1003" s="158">
        <v>166.517</v>
      </c>
      <c r="AG1003" s="11" t="s">
        <v>37</v>
      </c>
      <c r="AH1003" s="189">
        <v>1.37E-4</v>
      </c>
      <c r="AI1003" s="189">
        <v>7.4319154021209302E-3</v>
      </c>
      <c r="AJ1003" s="189">
        <v>1.71255024107404E-3</v>
      </c>
    </row>
    <row r="1004" spans="1:36">
      <c r="A1004" s="11" t="s">
        <v>256</v>
      </c>
      <c r="B1004" s="11">
        <v>7207</v>
      </c>
      <c r="C1004" s="11" t="s">
        <v>1852</v>
      </c>
      <c r="D1004" s="11" t="s">
        <v>1853</v>
      </c>
      <c r="E1004" s="4" t="s">
        <v>1552</v>
      </c>
      <c r="F1004" s="11" t="s">
        <v>2506</v>
      </c>
      <c r="G1004" s="11" t="s">
        <v>2507</v>
      </c>
      <c r="H1004" s="11" t="s">
        <v>511</v>
      </c>
      <c r="I1004" s="11" t="s">
        <v>945</v>
      </c>
      <c r="J1004" s="11" t="s">
        <v>31</v>
      </c>
      <c r="K1004" s="11" t="s">
        <v>31</v>
      </c>
      <c r="L1004" s="11" t="s">
        <v>517</v>
      </c>
      <c r="M1004" s="11" t="s">
        <v>32</v>
      </c>
      <c r="N1004" s="11" t="s">
        <v>652</v>
      </c>
      <c r="O1004" s="11" t="s">
        <v>312</v>
      </c>
      <c r="P1004" s="11" t="s">
        <v>2169</v>
      </c>
      <c r="Q1004" s="11" t="s">
        <v>358</v>
      </c>
      <c r="R1004" s="11" t="s">
        <v>596</v>
      </c>
      <c r="S1004" s="11" t="s">
        <v>35</v>
      </c>
      <c r="T1004" s="158">
        <v>1.012</v>
      </c>
      <c r="U1004" s="11" t="s">
        <v>2508</v>
      </c>
      <c r="V1004" s="174">
        <v>1.7600000000000001E-2</v>
      </c>
      <c r="W1004" s="189">
        <v>2.5399999999999999E-2</v>
      </c>
      <c r="X1004" s="4" t="s">
        <v>602</v>
      </c>
      <c r="Y1004" s="4" t="s">
        <v>312</v>
      </c>
      <c r="Z1004" s="158">
        <v>58350.45</v>
      </c>
      <c r="AA1004" s="158">
        <v>1</v>
      </c>
      <c r="AB1004" s="158">
        <v>114.44</v>
      </c>
      <c r="AC1004" s="158">
        <v>1.421</v>
      </c>
      <c r="AD1004" s="158">
        <v>68.197000000000003</v>
      </c>
      <c r="AG1004" s="11" t="s">
        <v>37</v>
      </c>
      <c r="AH1004" s="189">
        <v>7.4999999999999993E-5</v>
      </c>
      <c r="AI1004" s="189">
        <v>3.0437211812459398E-3</v>
      </c>
      <c r="AJ1004" s="189">
        <v>7.0137039520355E-4</v>
      </c>
    </row>
    <row r="1005" spans="1:36">
      <c r="A1005" s="11" t="s">
        <v>256</v>
      </c>
      <c r="B1005" s="11">
        <v>7207</v>
      </c>
      <c r="C1005" s="11" t="s">
        <v>1852</v>
      </c>
      <c r="D1005" s="11" t="s">
        <v>1853</v>
      </c>
      <c r="E1005" s="4" t="s">
        <v>1552</v>
      </c>
      <c r="F1005" s="11" t="s">
        <v>2509</v>
      </c>
      <c r="G1005" s="11" t="s">
        <v>2510</v>
      </c>
      <c r="H1005" s="11" t="s">
        <v>511</v>
      </c>
      <c r="I1005" s="11" t="s">
        <v>945</v>
      </c>
      <c r="J1005" s="11" t="s">
        <v>31</v>
      </c>
      <c r="K1005" s="11" t="s">
        <v>31</v>
      </c>
      <c r="L1005" s="11" t="s">
        <v>517</v>
      </c>
      <c r="M1005" s="11" t="s">
        <v>32</v>
      </c>
      <c r="N1005" s="11" t="s">
        <v>652</v>
      </c>
      <c r="O1005" s="11" t="s">
        <v>312</v>
      </c>
      <c r="P1005" s="11" t="s">
        <v>2169</v>
      </c>
      <c r="Q1005" s="11" t="s">
        <v>358</v>
      </c>
      <c r="R1005" s="11" t="s">
        <v>596</v>
      </c>
      <c r="S1005" s="11" t="s">
        <v>35</v>
      </c>
      <c r="T1005" s="158">
        <v>1.752</v>
      </c>
      <c r="U1005" s="11" t="s">
        <v>2511</v>
      </c>
      <c r="V1005" s="174">
        <v>2.1499999999999998E-2</v>
      </c>
      <c r="W1005" s="189">
        <v>2.5180000000000001E-2</v>
      </c>
      <c r="X1005" s="4" t="s">
        <v>602</v>
      </c>
      <c r="Y1005" s="4" t="s">
        <v>312</v>
      </c>
      <c r="Z1005" s="158">
        <v>180847.82</v>
      </c>
      <c r="AA1005" s="158">
        <v>1</v>
      </c>
      <c r="AB1005" s="158">
        <v>115.16</v>
      </c>
      <c r="AD1005" s="158">
        <v>208.26400000000001</v>
      </c>
      <c r="AG1005" s="11" t="s">
        <v>37</v>
      </c>
      <c r="AH1005" s="189">
        <v>1.5200000000000001E-4</v>
      </c>
      <c r="AI1005" s="189">
        <v>9.2951392370473895E-3</v>
      </c>
      <c r="AJ1005" s="189">
        <v>2.1418964129596399E-3</v>
      </c>
    </row>
    <row r="1006" spans="1:36">
      <c r="A1006" s="11" t="s">
        <v>256</v>
      </c>
      <c r="B1006" s="11">
        <v>7207</v>
      </c>
      <c r="C1006" s="11" t="s">
        <v>1852</v>
      </c>
      <c r="D1006" s="11" t="s">
        <v>1853</v>
      </c>
      <c r="E1006" s="4" t="s">
        <v>1552</v>
      </c>
      <c r="F1006" s="11" t="s">
        <v>2512</v>
      </c>
      <c r="G1006" s="11" t="s">
        <v>2513</v>
      </c>
      <c r="H1006" s="11" t="s">
        <v>511</v>
      </c>
      <c r="I1006" s="11" t="s">
        <v>945</v>
      </c>
      <c r="J1006" s="11" t="s">
        <v>31</v>
      </c>
      <c r="K1006" s="11" t="s">
        <v>31</v>
      </c>
      <c r="L1006" s="11" t="s">
        <v>517</v>
      </c>
      <c r="M1006" s="11" t="s">
        <v>32</v>
      </c>
      <c r="N1006" s="11" t="s">
        <v>652</v>
      </c>
      <c r="O1006" s="11" t="s">
        <v>312</v>
      </c>
      <c r="P1006" s="11" t="s">
        <v>2169</v>
      </c>
      <c r="Q1006" s="11" t="s">
        <v>358</v>
      </c>
      <c r="R1006" s="11" t="s">
        <v>596</v>
      </c>
      <c r="S1006" s="11" t="s">
        <v>35</v>
      </c>
      <c r="T1006" s="158">
        <v>2.577</v>
      </c>
      <c r="U1006" s="11" t="s">
        <v>2256</v>
      </c>
      <c r="V1006" s="174">
        <v>2.35E-2</v>
      </c>
      <c r="W1006" s="189">
        <v>2.5690000000000001E-2</v>
      </c>
      <c r="X1006" s="4" t="s">
        <v>602</v>
      </c>
      <c r="Y1006" s="4" t="s">
        <v>312</v>
      </c>
      <c r="Z1006" s="158">
        <v>119000.26</v>
      </c>
      <c r="AA1006" s="158">
        <v>1</v>
      </c>
      <c r="AB1006" s="158">
        <v>114.98</v>
      </c>
      <c r="AD1006" s="158">
        <v>136.82599999999999</v>
      </c>
      <c r="AG1006" s="11" t="s">
        <v>37</v>
      </c>
      <c r="AH1006" s="189">
        <v>1.27E-4</v>
      </c>
      <c r="AI1006" s="189">
        <v>6.1067646095910302E-3</v>
      </c>
      <c r="AJ1006" s="189">
        <v>1.40719325213968E-3</v>
      </c>
    </row>
    <row r="1007" spans="1:36">
      <c r="A1007" s="11" t="s">
        <v>256</v>
      </c>
      <c r="B1007" s="11">
        <v>7207</v>
      </c>
      <c r="C1007" s="11" t="s">
        <v>2514</v>
      </c>
      <c r="D1007" s="11" t="s">
        <v>2515</v>
      </c>
      <c r="E1007" s="4" t="s">
        <v>1552</v>
      </c>
      <c r="F1007" s="11" t="s">
        <v>2516</v>
      </c>
      <c r="G1007" s="11" t="s">
        <v>2517</v>
      </c>
      <c r="H1007" s="11" t="s">
        <v>511</v>
      </c>
      <c r="I1007" s="11" t="s">
        <v>1154</v>
      </c>
      <c r="J1007" s="11" t="s">
        <v>31</v>
      </c>
      <c r="K1007" s="11" t="s">
        <v>31</v>
      </c>
      <c r="L1007" s="11" t="s">
        <v>517</v>
      </c>
      <c r="M1007" s="11" t="s">
        <v>32</v>
      </c>
      <c r="N1007" s="11" t="s">
        <v>666</v>
      </c>
      <c r="O1007" s="11" t="s">
        <v>312</v>
      </c>
      <c r="P1007" s="11" t="s">
        <v>2161</v>
      </c>
      <c r="Q1007" s="11" t="s">
        <v>358</v>
      </c>
      <c r="R1007" s="11" t="s">
        <v>596</v>
      </c>
      <c r="S1007" s="11" t="s">
        <v>35</v>
      </c>
      <c r="T1007" s="158">
        <v>0.499</v>
      </c>
      <c r="U1007" s="11" t="s">
        <v>2162</v>
      </c>
      <c r="V1007" s="174">
        <v>2.9499999999999998E-2</v>
      </c>
      <c r="W1007" s="189">
        <v>5.7180000000000002E-2</v>
      </c>
      <c r="X1007" s="4" t="s">
        <v>602</v>
      </c>
      <c r="Y1007" s="4" t="s">
        <v>312</v>
      </c>
      <c r="Z1007" s="158">
        <v>6000</v>
      </c>
      <c r="AA1007" s="158">
        <v>1</v>
      </c>
      <c r="AB1007" s="158">
        <v>98.7</v>
      </c>
      <c r="AD1007" s="158">
        <v>5.9219999999999997</v>
      </c>
      <c r="AG1007" s="11" t="s">
        <v>37</v>
      </c>
      <c r="AH1007" s="189">
        <v>3.3599999999999998E-4</v>
      </c>
      <c r="AI1007" s="189">
        <v>2.6430742799128399E-4</v>
      </c>
      <c r="AJ1007" s="189">
        <v>6.0904857635349299E-5</v>
      </c>
    </row>
    <row r="1008" spans="1:36">
      <c r="A1008" s="11" t="s">
        <v>256</v>
      </c>
      <c r="B1008" s="11">
        <v>7207</v>
      </c>
      <c r="C1008" s="11" t="s">
        <v>1860</v>
      </c>
      <c r="D1008" s="11" t="s">
        <v>1861</v>
      </c>
      <c r="E1008" s="4" t="s">
        <v>1552</v>
      </c>
      <c r="F1008" s="11" t="s">
        <v>2518</v>
      </c>
      <c r="G1008" s="11" t="s">
        <v>2519</v>
      </c>
      <c r="H1008" s="11" t="s">
        <v>511</v>
      </c>
      <c r="I1008" s="11" t="s">
        <v>945</v>
      </c>
      <c r="J1008" s="11" t="s">
        <v>31</v>
      </c>
      <c r="K1008" s="11" t="s">
        <v>31</v>
      </c>
      <c r="L1008" s="11" t="s">
        <v>517</v>
      </c>
      <c r="M1008" s="11" t="s">
        <v>32</v>
      </c>
      <c r="N1008" s="11" t="s">
        <v>652</v>
      </c>
      <c r="O1008" s="11" t="s">
        <v>312</v>
      </c>
      <c r="P1008" s="11" t="s">
        <v>2418</v>
      </c>
      <c r="Q1008" s="11" t="s">
        <v>604</v>
      </c>
      <c r="R1008" s="11" t="s">
        <v>596</v>
      </c>
      <c r="S1008" s="11" t="s">
        <v>35</v>
      </c>
      <c r="T1008" s="158">
        <v>3.0230000000000001</v>
      </c>
      <c r="U1008" s="11" t="s">
        <v>2441</v>
      </c>
      <c r="V1008" s="174">
        <v>2.75E-2</v>
      </c>
      <c r="W1008" s="189">
        <v>3.124E-2</v>
      </c>
      <c r="X1008" s="4" t="s">
        <v>602</v>
      </c>
      <c r="Y1008" s="4" t="s">
        <v>312</v>
      </c>
      <c r="Z1008" s="158">
        <v>171000.72</v>
      </c>
      <c r="AA1008" s="158">
        <v>1</v>
      </c>
      <c r="AB1008" s="158">
        <v>111.38</v>
      </c>
      <c r="AD1008" s="158">
        <v>190.46100000000001</v>
      </c>
      <c r="AG1008" s="11" t="s">
        <v>37</v>
      </c>
      <c r="AH1008" s="189">
        <v>3.1599999999999998E-4</v>
      </c>
      <c r="AI1008" s="189">
        <v>8.5005322241432004E-3</v>
      </c>
      <c r="AJ1008" s="189">
        <v>1.95879362479821E-3</v>
      </c>
    </row>
    <row r="1009" spans="1:36">
      <c r="A1009" s="11" t="s">
        <v>256</v>
      </c>
      <c r="B1009" s="11">
        <v>7207</v>
      </c>
      <c r="C1009" s="11" t="s">
        <v>1860</v>
      </c>
      <c r="D1009" s="11" t="s">
        <v>1861</v>
      </c>
      <c r="E1009" s="4" t="s">
        <v>1552</v>
      </c>
      <c r="F1009" s="11" t="s">
        <v>2520</v>
      </c>
      <c r="G1009" s="11" t="s">
        <v>2521</v>
      </c>
      <c r="H1009" s="11" t="s">
        <v>511</v>
      </c>
      <c r="I1009" s="11" t="s">
        <v>945</v>
      </c>
      <c r="J1009" s="11" t="s">
        <v>31</v>
      </c>
      <c r="K1009" s="11" t="s">
        <v>31</v>
      </c>
      <c r="L1009" s="11" t="s">
        <v>517</v>
      </c>
      <c r="M1009" s="11" t="s">
        <v>32</v>
      </c>
      <c r="N1009" s="11" t="s">
        <v>652</v>
      </c>
      <c r="O1009" s="11" t="s">
        <v>312</v>
      </c>
      <c r="P1009" s="11" t="s">
        <v>2418</v>
      </c>
      <c r="Q1009" s="11" t="s">
        <v>604</v>
      </c>
      <c r="R1009" s="11" t="s">
        <v>596</v>
      </c>
      <c r="S1009" s="11" t="s">
        <v>35</v>
      </c>
      <c r="T1009" s="158">
        <v>4.4390000000000001</v>
      </c>
      <c r="U1009" s="11" t="s">
        <v>2376</v>
      </c>
      <c r="V1009" s="174">
        <v>8.5000000000000006E-3</v>
      </c>
      <c r="W1009" s="189">
        <v>3.5560000000000001E-2</v>
      </c>
      <c r="X1009" s="4" t="s">
        <v>602</v>
      </c>
      <c r="Y1009" s="4" t="s">
        <v>312</v>
      </c>
      <c r="Z1009" s="158">
        <v>166000</v>
      </c>
      <c r="AA1009" s="158">
        <v>1</v>
      </c>
      <c r="AB1009" s="158">
        <v>99.88</v>
      </c>
      <c r="AD1009" s="158">
        <v>165.80099999999999</v>
      </c>
      <c r="AG1009" s="11" t="s">
        <v>37</v>
      </c>
      <c r="AH1009" s="189">
        <v>2.52E-4</v>
      </c>
      <c r="AI1009" s="189">
        <v>7.3999295857644998E-3</v>
      </c>
      <c r="AJ1009" s="189">
        <v>1.70517968926495E-3</v>
      </c>
    </row>
    <row r="1010" spans="1:36">
      <c r="A1010" s="11" t="s">
        <v>256</v>
      </c>
      <c r="B1010" s="11">
        <v>7207</v>
      </c>
      <c r="C1010" s="11" t="s">
        <v>1860</v>
      </c>
      <c r="D1010" s="11" t="s">
        <v>1861</v>
      </c>
      <c r="E1010" s="4" t="s">
        <v>1552</v>
      </c>
      <c r="F1010" s="11" t="s">
        <v>2522</v>
      </c>
      <c r="G1010" s="11" t="s">
        <v>2523</v>
      </c>
      <c r="H1010" s="11" t="s">
        <v>511</v>
      </c>
      <c r="I1010" s="11" t="s">
        <v>945</v>
      </c>
      <c r="J1010" s="11" t="s">
        <v>31</v>
      </c>
      <c r="K1010" s="11" t="s">
        <v>31</v>
      </c>
      <c r="L1010" s="11" t="s">
        <v>517</v>
      </c>
      <c r="M1010" s="11" t="s">
        <v>32</v>
      </c>
      <c r="N1010" s="11" t="s">
        <v>652</v>
      </c>
      <c r="O1010" s="11" t="s">
        <v>312</v>
      </c>
      <c r="P1010" s="11" t="s">
        <v>2418</v>
      </c>
      <c r="Q1010" s="11" t="s">
        <v>604</v>
      </c>
      <c r="R1010" s="11" t="s">
        <v>596</v>
      </c>
      <c r="S1010" s="11" t="s">
        <v>35</v>
      </c>
      <c r="T1010" s="158">
        <v>5.8849999999999998</v>
      </c>
      <c r="U1010" s="11" t="s">
        <v>2524</v>
      </c>
      <c r="V1010" s="174">
        <v>3.1800000000000002E-2</v>
      </c>
      <c r="W1010" s="189">
        <v>3.8390000000000001E-2</v>
      </c>
      <c r="X1010" s="4" t="s">
        <v>602</v>
      </c>
      <c r="Y1010" s="4" t="s">
        <v>312</v>
      </c>
      <c r="Z1010" s="158">
        <v>136000</v>
      </c>
      <c r="AA1010" s="158">
        <v>1</v>
      </c>
      <c r="AB1010" s="158">
        <v>102.42</v>
      </c>
      <c r="AD1010" s="158">
        <v>139.291</v>
      </c>
      <c r="AG1010" s="11" t="s">
        <v>37</v>
      </c>
      <c r="AH1010" s="189">
        <v>3.1799999999999998E-4</v>
      </c>
      <c r="AI1010" s="189">
        <v>6.2167677834886201E-3</v>
      </c>
      <c r="AJ1010" s="189">
        <v>1.4325414903507199E-3</v>
      </c>
    </row>
    <row r="1011" spans="1:36">
      <c r="A1011" s="11" t="s">
        <v>256</v>
      </c>
      <c r="B1011" s="11">
        <v>7207</v>
      </c>
      <c r="C1011" s="11" t="s">
        <v>2525</v>
      </c>
      <c r="D1011" s="11" t="s">
        <v>2526</v>
      </c>
      <c r="E1011" s="4" t="s">
        <v>1552</v>
      </c>
      <c r="F1011" s="11" t="s">
        <v>2527</v>
      </c>
      <c r="G1011" s="11" t="s">
        <v>2528</v>
      </c>
      <c r="H1011" s="11" t="s">
        <v>511</v>
      </c>
      <c r="I1011" s="11" t="s">
        <v>1154</v>
      </c>
      <c r="J1011" s="11" t="s">
        <v>31</v>
      </c>
      <c r="K1011" s="11" t="s">
        <v>31</v>
      </c>
      <c r="L1011" s="11" t="s">
        <v>517</v>
      </c>
      <c r="M1011" s="11" t="s">
        <v>32</v>
      </c>
      <c r="N1011" s="11" t="s">
        <v>631</v>
      </c>
      <c r="O1011" s="11" t="s">
        <v>312</v>
      </c>
      <c r="P1011" s="11" t="s">
        <v>2206</v>
      </c>
      <c r="Q1011" s="11" t="s">
        <v>604</v>
      </c>
      <c r="R1011" s="11" t="s">
        <v>596</v>
      </c>
      <c r="S1011" s="11" t="s">
        <v>35</v>
      </c>
      <c r="T1011" s="158">
        <v>1.1870000000000001</v>
      </c>
      <c r="U1011" s="11" t="s">
        <v>2198</v>
      </c>
      <c r="V1011" s="174">
        <v>0.114</v>
      </c>
      <c r="W1011" s="189">
        <v>6.7919999999999994E-2</v>
      </c>
      <c r="X1011" s="4" t="s">
        <v>602</v>
      </c>
      <c r="Y1011" s="4" t="s">
        <v>312</v>
      </c>
      <c r="Z1011" s="158">
        <v>30000</v>
      </c>
      <c r="AA1011" s="158">
        <v>1</v>
      </c>
      <c r="AB1011" s="158">
        <v>101.87</v>
      </c>
      <c r="AD1011" s="158">
        <v>30.561</v>
      </c>
      <c r="AG1011" s="11" t="s">
        <v>37</v>
      </c>
      <c r="AH1011" s="189">
        <v>8.2999999999999998E-5</v>
      </c>
      <c r="AI1011" s="189">
        <v>1.3639816458699201E-3</v>
      </c>
      <c r="AJ1011" s="189">
        <v>3.1430485548698199E-4</v>
      </c>
    </row>
    <row r="1012" spans="1:36">
      <c r="A1012" s="11" t="s">
        <v>256</v>
      </c>
      <c r="B1012" s="11">
        <v>7207</v>
      </c>
      <c r="C1012" s="11" t="s">
        <v>2529</v>
      </c>
      <c r="D1012" s="11" t="s">
        <v>2530</v>
      </c>
      <c r="E1012" s="4" t="s">
        <v>1552</v>
      </c>
      <c r="F1012" s="11" t="s">
        <v>2531</v>
      </c>
      <c r="G1012" s="11" t="s">
        <v>2532</v>
      </c>
      <c r="H1012" s="11" t="s">
        <v>511</v>
      </c>
      <c r="I1012" s="11" t="s">
        <v>945</v>
      </c>
      <c r="J1012" s="11" t="s">
        <v>31</v>
      </c>
      <c r="K1012" s="11" t="s">
        <v>31</v>
      </c>
      <c r="L1012" s="11" t="s">
        <v>517</v>
      </c>
      <c r="M1012" s="11" t="s">
        <v>32</v>
      </c>
      <c r="N1012" s="11" t="s">
        <v>666</v>
      </c>
      <c r="O1012" s="11" t="s">
        <v>312</v>
      </c>
      <c r="P1012" s="11" t="s">
        <v>357</v>
      </c>
      <c r="Q1012" s="11" t="s">
        <v>358</v>
      </c>
      <c r="R1012" s="11" t="s">
        <v>596</v>
      </c>
      <c r="S1012" s="11" t="s">
        <v>35</v>
      </c>
      <c r="T1012" s="158">
        <v>1.972</v>
      </c>
      <c r="U1012" s="11" t="s">
        <v>2441</v>
      </c>
      <c r="V1012" s="174">
        <v>1E-3</v>
      </c>
      <c r="W1012" s="189">
        <v>2.1149999999999999E-2</v>
      </c>
      <c r="X1012" s="4" t="s">
        <v>602</v>
      </c>
      <c r="Y1012" s="4" t="s">
        <v>312</v>
      </c>
      <c r="Z1012" s="158">
        <v>654000</v>
      </c>
      <c r="AA1012" s="158">
        <v>1</v>
      </c>
      <c r="AB1012" s="158">
        <v>107.52</v>
      </c>
      <c r="AD1012" s="158">
        <v>703.18100000000004</v>
      </c>
      <c r="AG1012" s="11" t="s">
        <v>37</v>
      </c>
      <c r="AH1012" s="189">
        <v>7.6400000000000003E-4</v>
      </c>
      <c r="AI1012" s="189">
        <v>3.1383976470931101E-2</v>
      </c>
      <c r="AJ1012" s="189">
        <v>7.2318687125820704E-3</v>
      </c>
    </row>
    <row r="1013" spans="1:36">
      <c r="A1013" s="11" t="s">
        <v>256</v>
      </c>
      <c r="B1013" s="11">
        <v>7207</v>
      </c>
      <c r="C1013" s="11" t="s">
        <v>2529</v>
      </c>
      <c r="D1013" s="11" t="s">
        <v>2530</v>
      </c>
      <c r="E1013" s="4" t="s">
        <v>1552</v>
      </c>
      <c r="F1013" s="11" t="s">
        <v>2533</v>
      </c>
      <c r="G1013" s="11" t="s">
        <v>2534</v>
      </c>
      <c r="H1013" s="11" t="s">
        <v>511</v>
      </c>
      <c r="I1013" s="11" t="s">
        <v>945</v>
      </c>
      <c r="J1013" s="11" t="s">
        <v>31</v>
      </c>
      <c r="K1013" s="11" t="s">
        <v>31</v>
      </c>
      <c r="L1013" s="11" t="s">
        <v>517</v>
      </c>
      <c r="M1013" s="11" t="s">
        <v>32</v>
      </c>
      <c r="N1013" s="11" t="s">
        <v>666</v>
      </c>
      <c r="O1013" s="11" t="s">
        <v>312</v>
      </c>
      <c r="P1013" s="11" t="s">
        <v>357</v>
      </c>
      <c r="Q1013" s="11" t="s">
        <v>358</v>
      </c>
      <c r="R1013" s="11" t="s">
        <v>596</v>
      </c>
      <c r="S1013" s="11" t="s">
        <v>35</v>
      </c>
      <c r="T1013" s="158">
        <v>11.7</v>
      </c>
      <c r="U1013" s="11" t="s">
        <v>2535</v>
      </c>
      <c r="V1013" s="174">
        <v>2.07E-2</v>
      </c>
      <c r="W1013" s="189">
        <v>3.2730000000000002E-2</v>
      </c>
      <c r="X1013" s="4" t="s">
        <v>602</v>
      </c>
      <c r="Y1013" s="4" t="s">
        <v>312</v>
      </c>
      <c r="Z1013" s="158">
        <v>302000.11</v>
      </c>
      <c r="AA1013" s="158">
        <v>1</v>
      </c>
      <c r="AB1013" s="158">
        <v>97.32</v>
      </c>
      <c r="AD1013" s="158">
        <v>293.90699999999998</v>
      </c>
      <c r="AG1013" s="11" t="s">
        <v>37</v>
      </c>
      <c r="AH1013" s="189">
        <v>6.6000000000000005E-5</v>
      </c>
      <c r="AI1013" s="189">
        <v>1.3117472635733899E-2</v>
      </c>
      <c r="AJ1013" s="189">
        <v>3.0226838855293499E-3</v>
      </c>
    </row>
    <row r="1014" spans="1:36">
      <c r="A1014" s="11" t="s">
        <v>256</v>
      </c>
      <c r="B1014" s="11">
        <v>7207</v>
      </c>
      <c r="C1014" s="11" t="s">
        <v>2536</v>
      </c>
      <c r="D1014" s="11" t="s">
        <v>2537</v>
      </c>
      <c r="E1014" s="4" t="s">
        <v>1552</v>
      </c>
      <c r="F1014" s="11" t="s">
        <v>2538</v>
      </c>
      <c r="G1014" s="11" t="s">
        <v>2539</v>
      </c>
      <c r="H1014" s="11" t="s">
        <v>511</v>
      </c>
      <c r="I1014" s="11" t="s">
        <v>945</v>
      </c>
      <c r="J1014" s="11" t="s">
        <v>31</v>
      </c>
      <c r="K1014" s="11" t="s">
        <v>31</v>
      </c>
      <c r="L1014" s="11" t="s">
        <v>517</v>
      </c>
      <c r="M1014" s="11" t="s">
        <v>32</v>
      </c>
      <c r="N1014" s="11" t="s">
        <v>636</v>
      </c>
      <c r="O1014" s="11" t="s">
        <v>312</v>
      </c>
      <c r="P1014" s="11" t="s">
        <v>357</v>
      </c>
      <c r="Q1014" s="11" t="s">
        <v>358</v>
      </c>
      <c r="R1014" s="11" t="s">
        <v>596</v>
      </c>
      <c r="S1014" s="11" t="s">
        <v>35</v>
      </c>
      <c r="T1014" s="158">
        <v>2.9769999999999999</v>
      </c>
      <c r="U1014" s="11" t="s">
        <v>2540</v>
      </c>
      <c r="V1014" s="174">
        <v>1.4999999999999999E-2</v>
      </c>
      <c r="W1014" s="189">
        <v>2.426E-2</v>
      </c>
      <c r="X1014" s="4" t="s">
        <v>602</v>
      </c>
      <c r="Y1014" s="4" t="s">
        <v>312</v>
      </c>
      <c r="Z1014" s="158">
        <v>158628.43</v>
      </c>
      <c r="AA1014" s="158">
        <v>1</v>
      </c>
      <c r="AB1014" s="158">
        <v>111.17</v>
      </c>
      <c r="AD1014" s="158">
        <v>176.34700000000001</v>
      </c>
      <c r="AG1014" s="11" t="s">
        <v>37</v>
      </c>
      <c r="AH1014" s="189">
        <v>5.6800000000000004E-4</v>
      </c>
      <c r="AI1014" s="189">
        <v>7.8706318203188696E-3</v>
      </c>
      <c r="AJ1014" s="189">
        <v>1.81364449028113E-3</v>
      </c>
    </row>
    <row r="1015" spans="1:36">
      <c r="A1015" s="11" t="s">
        <v>256</v>
      </c>
      <c r="B1015" s="11">
        <v>7207</v>
      </c>
      <c r="C1015" s="11" t="s">
        <v>2050</v>
      </c>
      <c r="D1015" s="11" t="s">
        <v>2051</v>
      </c>
      <c r="E1015" s="4" t="s">
        <v>1552</v>
      </c>
      <c r="F1015" s="11" t="s">
        <v>2541</v>
      </c>
      <c r="G1015" s="11" t="s">
        <v>2542</v>
      </c>
      <c r="H1015" s="11" t="s">
        <v>511</v>
      </c>
      <c r="I1015" s="11" t="s">
        <v>945</v>
      </c>
      <c r="J1015" s="11" t="s">
        <v>31</v>
      </c>
      <c r="K1015" s="11" t="s">
        <v>31</v>
      </c>
      <c r="L1015" s="11" t="s">
        <v>517</v>
      </c>
      <c r="M1015" s="11" t="s">
        <v>32</v>
      </c>
      <c r="N1015" s="11" t="s">
        <v>628</v>
      </c>
      <c r="O1015" s="11" t="s">
        <v>312</v>
      </c>
      <c r="P1015" s="27" t="s">
        <v>2165</v>
      </c>
      <c r="Q1015" s="27" t="s">
        <v>2165</v>
      </c>
      <c r="R1015" s="16" t="s">
        <v>2165</v>
      </c>
      <c r="S1015" s="11" t="s">
        <v>35</v>
      </c>
      <c r="T1015" s="158">
        <v>1.64</v>
      </c>
      <c r="U1015" s="11" t="s">
        <v>2299</v>
      </c>
      <c r="V1015" s="174">
        <v>1.6400000000000001E-2</v>
      </c>
      <c r="W1015" s="189">
        <v>3.44E-2</v>
      </c>
      <c r="X1015" s="4" t="s">
        <v>602</v>
      </c>
      <c r="Y1015" s="4" t="s">
        <v>312</v>
      </c>
      <c r="Z1015" s="158">
        <v>63177.75</v>
      </c>
      <c r="AA1015" s="158">
        <v>1</v>
      </c>
      <c r="AB1015" s="158">
        <v>110.89</v>
      </c>
      <c r="AD1015" s="158">
        <v>70.058000000000007</v>
      </c>
      <c r="AG1015" s="11" t="s">
        <v>37</v>
      </c>
      <c r="AH1015" s="189">
        <v>2.5300000000000002E-4</v>
      </c>
      <c r="AI1015" s="189">
        <v>3.1267812854225102E-3</v>
      </c>
      <c r="AJ1015" s="189">
        <v>7.20510091195061E-4</v>
      </c>
    </row>
    <row r="1016" spans="1:36">
      <c r="A1016" s="11" t="s">
        <v>256</v>
      </c>
      <c r="B1016" s="11">
        <v>7207</v>
      </c>
      <c r="C1016" s="11" t="s">
        <v>2543</v>
      </c>
      <c r="D1016" s="11" t="s">
        <v>2544</v>
      </c>
      <c r="E1016" s="4" t="s">
        <v>1552</v>
      </c>
      <c r="F1016" s="11" t="s">
        <v>2545</v>
      </c>
      <c r="G1016" s="11" t="s">
        <v>2546</v>
      </c>
      <c r="H1016" s="11" t="s">
        <v>511</v>
      </c>
      <c r="I1016" s="11" t="s">
        <v>1154</v>
      </c>
      <c r="J1016" s="11" t="s">
        <v>31</v>
      </c>
      <c r="K1016" s="11" t="s">
        <v>31</v>
      </c>
      <c r="L1016" s="11" t="s">
        <v>517</v>
      </c>
      <c r="M1016" s="11" t="s">
        <v>50</v>
      </c>
      <c r="N1016" s="11" t="s">
        <v>642</v>
      </c>
      <c r="O1016" s="11" t="s">
        <v>312</v>
      </c>
      <c r="P1016" s="11" t="s">
        <v>2327</v>
      </c>
      <c r="Q1016" s="11" t="s">
        <v>358</v>
      </c>
      <c r="R1016" s="11" t="s">
        <v>596</v>
      </c>
      <c r="S1016" s="11" t="s">
        <v>35</v>
      </c>
      <c r="T1016" s="158">
        <v>3.8690000000000002</v>
      </c>
      <c r="U1016" s="11" t="s">
        <v>2547</v>
      </c>
      <c r="V1016" s="174">
        <v>6.7000000000000004E-2</v>
      </c>
      <c r="W1016" s="189">
        <v>6.6000000000000003E-2</v>
      </c>
      <c r="X1016" s="4" t="s">
        <v>602</v>
      </c>
      <c r="Y1016" s="4" t="s">
        <v>312</v>
      </c>
      <c r="Z1016" s="158">
        <v>28000</v>
      </c>
      <c r="AA1016" s="158">
        <v>1</v>
      </c>
      <c r="AB1016" s="158">
        <v>102.81</v>
      </c>
      <c r="AD1016" s="158">
        <v>28.786999999999999</v>
      </c>
      <c r="AG1016" s="11" t="s">
        <v>37</v>
      </c>
      <c r="AH1016" s="189">
        <v>3.1000000000000001E-5</v>
      </c>
      <c r="AI1016" s="189">
        <v>1.28479653294487E-3</v>
      </c>
      <c r="AJ1016" s="189">
        <v>2.9605808101608802E-4</v>
      </c>
    </row>
    <row r="1017" spans="1:36">
      <c r="A1017" s="11" t="s">
        <v>256</v>
      </c>
      <c r="B1017" s="11">
        <v>7207</v>
      </c>
      <c r="C1017" s="11" t="s">
        <v>2548</v>
      </c>
      <c r="D1017" s="11" t="s">
        <v>2549</v>
      </c>
      <c r="E1017" s="4" t="s">
        <v>1552</v>
      </c>
      <c r="F1017" s="11" t="s">
        <v>2550</v>
      </c>
      <c r="G1017" s="11" t="s">
        <v>2551</v>
      </c>
      <c r="H1017" s="11" t="s">
        <v>511</v>
      </c>
      <c r="I1017" s="11" t="s">
        <v>1155</v>
      </c>
      <c r="J1017" s="11" t="s">
        <v>31</v>
      </c>
      <c r="K1017" s="11" t="s">
        <v>31</v>
      </c>
      <c r="L1017" s="11" t="s">
        <v>517</v>
      </c>
      <c r="M1017" s="11" t="s">
        <v>32</v>
      </c>
      <c r="N1017" s="11" t="s">
        <v>629</v>
      </c>
      <c r="O1017" s="11" t="s">
        <v>312</v>
      </c>
      <c r="P1017" s="27" t="s">
        <v>2165</v>
      </c>
      <c r="Q1017" s="27" t="s">
        <v>2165</v>
      </c>
      <c r="R1017" s="16" t="s">
        <v>2165</v>
      </c>
      <c r="S1017" s="11" t="s">
        <v>35</v>
      </c>
      <c r="T1017" s="158">
        <v>4.0789999999999997</v>
      </c>
      <c r="U1017" s="11" t="s">
        <v>2170</v>
      </c>
      <c r="V1017" s="174">
        <v>0.05</v>
      </c>
      <c r="W1017" s="189">
        <v>5.0389999999999997E-2</v>
      </c>
      <c r="X1017" s="4" t="s">
        <v>602</v>
      </c>
      <c r="Y1017" s="4" t="s">
        <v>312</v>
      </c>
      <c r="Z1017" s="158">
        <v>65000</v>
      </c>
      <c r="AA1017" s="158">
        <v>1</v>
      </c>
      <c r="AB1017" s="158">
        <v>100.1</v>
      </c>
      <c r="AD1017" s="158">
        <v>65.064999999999998</v>
      </c>
      <c r="AG1017" s="11" t="s">
        <v>37</v>
      </c>
      <c r="AH1017" s="189">
        <v>1.5899999999999999E-4</v>
      </c>
      <c r="AI1017" s="189">
        <v>2.9039450864999901E-3</v>
      </c>
      <c r="AJ1017" s="189">
        <v>6.6916152685646702E-4</v>
      </c>
    </row>
    <row r="1018" spans="1:36">
      <c r="A1018" s="11" t="s">
        <v>256</v>
      </c>
      <c r="B1018" s="11">
        <v>7207</v>
      </c>
      <c r="C1018" s="11" t="s">
        <v>2548</v>
      </c>
      <c r="D1018" s="11" t="s">
        <v>2549</v>
      </c>
      <c r="E1018" s="4" t="s">
        <v>1552</v>
      </c>
      <c r="F1018" s="11" t="s">
        <v>2552</v>
      </c>
      <c r="G1018" s="11" t="s">
        <v>2553</v>
      </c>
      <c r="H1018" s="11" t="s">
        <v>511</v>
      </c>
      <c r="I1018" s="11" t="s">
        <v>945</v>
      </c>
      <c r="J1018" s="11" t="s">
        <v>31</v>
      </c>
      <c r="K1018" s="11" t="s">
        <v>31</v>
      </c>
      <c r="L1018" s="11" t="s">
        <v>517</v>
      </c>
      <c r="M1018" s="11" t="s">
        <v>32</v>
      </c>
      <c r="N1018" s="11" t="s">
        <v>629</v>
      </c>
      <c r="O1018" s="11" t="s">
        <v>312</v>
      </c>
      <c r="P1018" s="27" t="s">
        <v>2165</v>
      </c>
      <c r="Q1018" s="27" t="s">
        <v>2165</v>
      </c>
      <c r="R1018" s="16" t="s">
        <v>2165</v>
      </c>
      <c r="S1018" s="11" t="s">
        <v>35</v>
      </c>
      <c r="T1018" s="158">
        <v>2.7309999999999999</v>
      </c>
      <c r="U1018" s="11" t="s">
        <v>2441</v>
      </c>
      <c r="V1018" s="174">
        <v>1.4800000000000001E-2</v>
      </c>
      <c r="W1018" s="189">
        <v>4.2779999999999999E-2</v>
      </c>
      <c r="X1018" s="4" t="s">
        <v>602</v>
      </c>
      <c r="Y1018" s="4" t="s">
        <v>312</v>
      </c>
      <c r="Z1018" s="158">
        <v>133714.29</v>
      </c>
      <c r="AA1018" s="158">
        <v>1</v>
      </c>
      <c r="AB1018" s="158">
        <v>103.41</v>
      </c>
      <c r="AD1018" s="158">
        <v>138.274</v>
      </c>
      <c r="AG1018" s="11" t="s">
        <v>37</v>
      </c>
      <c r="AH1018" s="189">
        <v>1.65E-4</v>
      </c>
      <c r="AI1018" s="189">
        <v>6.1713663232283097E-3</v>
      </c>
      <c r="AJ1018" s="189">
        <v>1.4220795464900901E-3</v>
      </c>
    </row>
    <row r="1019" spans="1:36">
      <c r="A1019" s="11" t="s">
        <v>256</v>
      </c>
      <c r="B1019" s="11">
        <v>7207</v>
      </c>
      <c r="C1019" s="11" t="s">
        <v>2554</v>
      </c>
      <c r="D1019" s="11" t="s">
        <v>2555</v>
      </c>
      <c r="E1019" s="4" t="s">
        <v>1552</v>
      </c>
      <c r="F1019" s="11" t="s">
        <v>2556</v>
      </c>
      <c r="G1019" s="11" t="s">
        <v>2557</v>
      </c>
      <c r="H1019" s="11" t="s">
        <v>511</v>
      </c>
      <c r="I1019" s="11" t="s">
        <v>945</v>
      </c>
      <c r="J1019" s="11" t="s">
        <v>31</v>
      </c>
      <c r="K1019" s="11" t="s">
        <v>31</v>
      </c>
      <c r="L1019" s="11" t="s">
        <v>517</v>
      </c>
      <c r="M1019" s="11" t="s">
        <v>32</v>
      </c>
      <c r="N1019" s="11" t="s">
        <v>652</v>
      </c>
      <c r="O1019" s="11" t="s">
        <v>312</v>
      </c>
      <c r="P1019" s="11" t="s">
        <v>157</v>
      </c>
      <c r="Q1019" s="11" t="s">
        <v>604</v>
      </c>
      <c r="R1019" s="11" t="s">
        <v>596</v>
      </c>
      <c r="S1019" s="11" t="s">
        <v>35</v>
      </c>
      <c r="T1019" s="158">
        <v>5.2370000000000001</v>
      </c>
      <c r="U1019" s="11" t="s">
        <v>2524</v>
      </c>
      <c r="V1019" s="174">
        <v>1.6500000000000001E-2</v>
      </c>
      <c r="W1019" s="189">
        <v>2.8119999999999999E-2</v>
      </c>
      <c r="X1019" s="4" t="s">
        <v>602</v>
      </c>
      <c r="Y1019" s="4" t="s">
        <v>312</v>
      </c>
      <c r="Z1019" s="158">
        <v>313669</v>
      </c>
      <c r="AA1019" s="158">
        <v>1</v>
      </c>
      <c r="AB1019" s="158">
        <v>107.94</v>
      </c>
      <c r="AD1019" s="158">
        <v>338.57400000000001</v>
      </c>
      <c r="AG1019" s="11" t="s">
        <v>37</v>
      </c>
      <c r="AH1019" s="189">
        <v>1.4799999999999999E-4</v>
      </c>
      <c r="AI1019" s="189">
        <v>1.5111061690825401E-2</v>
      </c>
      <c r="AJ1019" s="189">
        <v>3.4820703602361299E-3</v>
      </c>
    </row>
    <row r="1020" spans="1:36">
      <c r="A1020" s="11" t="s">
        <v>256</v>
      </c>
      <c r="B1020" s="11">
        <v>7207</v>
      </c>
      <c r="C1020" s="11" t="s">
        <v>2554</v>
      </c>
      <c r="D1020" s="11" t="s">
        <v>2555</v>
      </c>
      <c r="E1020" s="4" t="s">
        <v>1552</v>
      </c>
      <c r="F1020" s="11" t="s">
        <v>2558</v>
      </c>
      <c r="G1020" s="11" t="s">
        <v>2559</v>
      </c>
      <c r="H1020" s="11" t="s">
        <v>511</v>
      </c>
      <c r="I1020" s="11" t="s">
        <v>945</v>
      </c>
      <c r="J1020" s="11" t="s">
        <v>31</v>
      </c>
      <c r="K1020" s="11" t="s">
        <v>31</v>
      </c>
      <c r="L1020" s="11" t="s">
        <v>517</v>
      </c>
      <c r="M1020" s="11" t="s">
        <v>32</v>
      </c>
      <c r="N1020" s="11" t="s">
        <v>652</v>
      </c>
      <c r="O1020" s="11" t="s">
        <v>312</v>
      </c>
      <c r="P1020" s="11" t="s">
        <v>157</v>
      </c>
      <c r="Q1020" s="11" t="s">
        <v>604</v>
      </c>
      <c r="R1020" s="11" t="s">
        <v>596</v>
      </c>
      <c r="S1020" s="11" t="s">
        <v>35</v>
      </c>
      <c r="T1020" s="158">
        <v>1.7070000000000001</v>
      </c>
      <c r="U1020" s="11" t="s">
        <v>2333</v>
      </c>
      <c r="V1020" s="174">
        <v>8.3000000000000001E-3</v>
      </c>
      <c r="W1020" s="189">
        <v>2.0580000000000001E-2</v>
      </c>
      <c r="X1020" s="4" t="s">
        <v>602</v>
      </c>
      <c r="Y1020" s="4" t="s">
        <v>312</v>
      </c>
      <c r="Z1020" s="158">
        <v>303000.56</v>
      </c>
      <c r="AA1020" s="158">
        <v>1</v>
      </c>
      <c r="AB1020" s="158">
        <v>111.94</v>
      </c>
      <c r="AD1020" s="158">
        <v>339.17899999999997</v>
      </c>
      <c r="AG1020" s="11" t="s">
        <v>37</v>
      </c>
      <c r="AH1020" s="189">
        <v>2.5500000000000002E-4</v>
      </c>
      <c r="AI1020" s="189">
        <v>1.51380417692545E-2</v>
      </c>
      <c r="AJ1020" s="189">
        <v>3.4882874304418602E-3</v>
      </c>
    </row>
    <row r="1021" spans="1:36">
      <c r="A1021" s="11" t="s">
        <v>256</v>
      </c>
      <c r="B1021" s="11">
        <v>7207</v>
      </c>
      <c r="C1021" s="11" t="s">
        <v>2554</v>
      </c>
      <c r="D1021" s="11" t="s">
        <v>2555</v>
      </c>
      <c r="E1021" s="4" t="s">
        <v>1552</v>
      </c>
      <c r="F1021" s="11" t="s">
        <v>2560</v>
      </c>
      <c r="G1021" s="11" t="s">
        <v>2561</v>
      </c>
      <c r="H1021" s="11" t="s">
        <v>511</v>
      </c>
      <c r="I1021" s="11" t="s">
        <v>1154</v>
      </c>
      <c r="J1021" s="11" t="s">
        <v>31</v>
      </c>
      <c r="K1021" s="11" t="s">
        <v>31</v>
      </c>
      <c r="L1021" s="11" t="s">
        <v>517</v>
      </c>
      <c r="M1021" s="11" t="s">
        <v>32</v>
      </c>
      <c r="N1021" s="11" t="s">
        <v>652</v>
      </c>
      <c r="O1021" s="11" t="s">
        <v>312</v>
      </c>
      <c r="P1021" s="11" t="s">
        <v>157</v>
      </c>
      <c r="Q1021" s="11" t="s">
        <v>604</v>
      </c>
      <c r="R1021" s="11" t="s">
        <v>596</v>
      </c>
      <c r="S1021" s="11" t="s">
        <v>35</v>
      </c>
      <c r="T1021" s="158">
        <v>0.499</v>
      </c>
      <c r="U1021" s="11" t="s">
        <v>2162</v>
      </c>
      <c r="V1021" s="174">
        <v>1.6299999999999999E-2</v>
      </c>
      <c r="W1021" s="189">
        <v>4.514E-2</v>
      </c>
      <c r="X1021" s="4" t="s">
        <v>602</v>
      </c>
      <c r="Y1021" s="4" t="s">
        <v>312</v>
      </c>
      <c r="Z1021" s="158">
        <v>153000.16</v>
      </c>
      <c r="AA1021" s="158">
        <v>1</v>
      </c>
      <c r="AB1021" s="158">
        <v>98.62</v>
      </c>
      <c r="AD1021" s="158">
        <v>150.88900000000001</v>
      </c>
      <c r="AG1021" s="11" t="s">
        <v>37</v>
      </c>
      <c r="AH1021" s="189">
        <v>1.469E-3</v>
      </c>
      <c r="AI1021" s="189">
        <v>6.7343835671738296E-3</v>
      </c>
      <c r="AJ1021" s="189">
        <v>1.5518166687093001E-3</v>
      </c>
    </row>
    <row r="1022" spans="1:36">
      <c r="A1022" s="11" t="s">
        <v>256</v>
      </c>
      <c r="B1022" s="11">
        <v>7207</v>
      </c>
      <c r="C1022" s="11" t="s">
        <v>2562</v>
      </c>
      <c r="D1022" s="11" t="s">
        <v>2563</v>
      </c>
      <c r="E1022" s="4" t="s">
        <v>1552</v>
      </c>
      <c r="F1022" s="11" t="s">
        <v>2564</v>
      </c>
      <c r="G1022" s="11" t="s">
        <v>2565</v>
      </c>
      <c r="H1022" s="11" t="s">
        <v>511</v>
      </c>
      <c r="I1022" s="11" t="s">
        <v>1154</v>
      </c>
      <c r="J1022" s="11" t="s">
        <v>31</v>
      </c>
      <c r="K1022" s="11" t="s">
        <v>31</v>
      </c>
      <c r="L1022" s="11" t="s">
        <v>517</v>
      </c>
      <c r="M1022" s="11" t="s">
        <v>32</v>
      </c>
      <c r="N1022" s="11" t="s">
        <v>642</v>
      </c>
      <c r="O1022" s="11" t="s">
        <v>312</v>
      </c>
      <c r="P1022" s="11" t="s">
        <v>2169</v>
      </c>
      <c r="Q1022" s="11" t="s">
        <v>358</v>
      </c>
      <c r="R1022" s="11" t="s">
        <v>596</v>
      </c>
      <c r="S1022" s="11" t="s">
        <v>35</v>
      </c>
      <c r="T1022" s="158">
        <v>0.312</v>
      </c>
      <c r="U1022" s="11" t="s">
        <v>2566</v>
      </c>
      <c r="V1022" s="174">
        <v>2.3599999999999999E-2</v>
      </c>
      <c r="W1022" s="189">
        <v>4.9520000000000002E-2</v>
      </c>
      <c r="X1022" s="4" t="s">
        <v>602</v>
      </c>
      <c r="Y1022" s="4" t="s">
        <v>312</v>
      </c>
      <c r="Z1022" s="158">
        <v>139000.6</v>
      </c>
      <c r="AA1022" s="158">
        <v>1</v>
      </c>
      <c r="AB1022" s="158">
        <v>100.24</v>
      </c>
      <c r="AD1022" s="158">
        <v>139.334</v>
      </c>
      <c r="AG1022" s="11" t="s">
        <v>37</v>
      </c>
      <c r="AH1022" s="189">
        <v>2.2060000000000001E-3</v>
      </c>
      <c r="AI1022" s="189">
        <v>6.21868699997061E-3</v>
      </c>
      <c r="AJ1022" s="189">
        <v>1.4329837390135601E-3</v>
      </c>
    </row>
    <row r="1023" spans="1:36">
      <c r="A1023" s="11" t="s">
        <v>256</v>
      </c>
      <c r="B1023" s="11">
        <v>7207</v>
      </c>
      <c r="C1023" s="11" t="s">
        <v>2567</v>
      </c>
      <c r="D1023" s="11" t="s">
        <v>2568</v>
      </c>
      <c r="E1023" s="4" t="s">
        <v>1552</v>
      </c>
      <c r="F1023" s="11" t="s">
        <v>2569</v>
      </c>
      <c r="G1023" s="11" t="s">
        <v>2570</v>
      </c>
      <c r="H1023" s="11" t="s">
        <v>511</v>
      </c>
      <c r="I1023" s="11" t="s">
        <v>945</v>
      </c>
      <c r="J1023" s="11" t="s">
        <v>31</v>
      </c>
      <c r="K1023" s="11" t="s">
        <v>31</v>
      </c>
      <c r="L1023" s="11" t="s">
        <v>517</v>
      </c>
      <c r="M1023" s="11" t="s">
        <v>32</v>
      </c>
      <c r="N1023" s="11" t="s">
        <v>666</v>
      </c>
      <c r="O1023" s="11" t="s">
        <v>312</v>
      </c>
      <c r="P1023" s="11" t="s">
        <v>2571</v>
      </c>
      <c r="Q1023" s="11" t="s">
        <v>358</v>
      </c>
      <c r="R1023" s="11" t="s">
        <v>596</v>
      </c>
      <c r="S1023" s="11" t="s">
        <v>35</v>
      </c>
      <c r="T1023" s="158">
        <v>5.72</v>
      </c>
      <c r="U1023" s="11" t="s">
        <v>2572</v>
      </c>
      <c r="V1023" s="174">
        <v>2.6499999999999999E-2</v>
      </c>
      <c r="W1023" s="189">
        <v>2.7709999999999999E-2</v>
      </c>
      <c r="X1023" s="4" t="s">
        <v>602</v>
      </c>
      <c r="Y1023" s="4" t="s">
        <v>312</v>
      </c>
      <c r="Z1023" s="158">
        <v>452338.03</v>
      </c>
      <c r="AA1023" s="158">
        <v>1</v>
      </c>
      <c r="AB1023" s="158">
        <v>113.29</v>
      </c>
      <c r="AD1023" s="158">
        <v>512.45399999999995</v>
      </c>
      <c r="AG1023" s="11" t="s">
        <v>37</v>
      </c>
      <c r="AH1023" s="189">
        <v>3.0699999999999998E-4</v>
      </c>
      <c r="AI1023" s="189">
        <v>2.28715524710645E-2</v>
      </c>
      <c r="AJ1023" s="189">
        <v>5.27033484354264E-3</v>
      </c>
    </row>
    <row r="1024" spans="1:36">
      <c r="A1024" s="11" t="s">
        <v>256</v>
      </c>
      <c r="B1024" s="11">
        <v>7207</v>
      </c>
      <c r="C1024" s="11" t="s">
        <v>2878</v>
      </c>
      <c r="D1024" s="11" t="s">
        <v>2879</v>
      </c>
      <c r="E1024" s="4" t="s">
        <v>1552</v>
      </c>
      <c r="F1024" s="11" t="s">
        <v>2880</v>
      </c>
      <c r="G1024" s="11" t="s">
        <v>2881</v>
      </c>
      <c r="H1024" s="11" t="s">
        <v>511</v>
      </c>
      <c r="I1024" s="11" t="s">
        <v>1154</v>
      </c>
      <c r="J1024" s="11" t="s">
        <v>31</v>
      </c>
      <c r="K1024" s="11" t="s">
        <v>31</v>
      </c>
      <c r="L1024" s="11" t="s">
        <v>517</v>
      </c>
      <c r="M1024" s="11" t="s">
        <v>32</v>
      </c>
      <c r="N1024" s="11" t="s">
        <v>635</v>
      </c>
      <c r="O1024" s="11" t="s">
        <v>312</v>
      </c>
      <c r="P1024" s="27" t="s">
        <v>2165</v>
      </c>
      <c r="Q1024" s="27" t="s">
        <v>2165</v>
      </c>
      <c r="R1024" s="16" t="s">
        <v>2165</v>
      </c>
      <c r="S1024" s="11" t="s">
        <v>35</v>
      </c>
      <c r="T1024" s="158">
        <v>2.2120000000000002</v>
      </c>
      <c r="U1024" s="11" t="s">
        <v>2882</v>
      </c>
      <c r="V1024" s="174">
        <v>4.4999999999999998E-2</v>
      </c>
      <c r="W1024" s="189">
        <v>8.5319999999999993E-2</v>
      </c>
      <c r="X1024" s="4" t="s">
        <v>602</v>
      </c>
      <c r="Y1024" s="4" t="s">
        <v>312</v>
      </c>
      <c r="Z1024" s="158">
        <v>7000</v>
      </c>
      <c r="AA1024" s="158">
        <v>1</v>
      </c>
      <c r="AB1024" s="158">
        <v>92.31</v>
      </c>
      <c r="AD1024" s="158">
        <v>6.4619999999999997</v>
      </c>
      <c r="AG1024" s="11" t="s">
        <v>37</v>
      </c>
      <c r="AH1024" s="189">
        <v>3.8999999999999999E-5</v>
      </c>
      <c r="AI1024" s="189">
        <v>2.8839501983304302E-4</v>
      </c>
      <c r="AJ1024" s="189">
        <v>6.6455406717719697E-5</v>
      </c>
    </row>
    <row r="1025" spans="1:36">
      <c r="A1025" s="11" t="s">
        <v>256</v>
      </c>
      <c r="B1025" s="11">
        <v>7207</v>
      </c>
      <c r="C1025" s="11" t="s">
        <v>1888</v>
      </c>
      <c r="D1025" s="11" t="s">
        <v>1889</v>
      </c>
      <c r="E1025" s="4" t="s">
        <v>1552</v>
      </c>
      <c r="F1025" s="11" t="s">
        <v>2573</v>
      </c>
      <c r="G1025" s="11" t="s">
        <v>2574</v>
      </c>
      <c r="H1025" s="11" t="s">
        <v>511</v>
      </c>
      <c r="I1025" s="11" t="s">
        <v>1154</v>
      </c>
      <c r="J1025" s="11" t="s">
        <v>31</v>
      </c>
      <c r="K1025" s="11" t="s">
        <v>489</v>
      </c>
      <c r="L1025" s="11" t="s">
        <v>517</v>
      </c>
      <c r="M1025" s="11" t="s">
        <v>32</v>
      </c>
      <c r="N1025" s="11" t="s">
        <v>653</v>
      </c>
      <c r="O1025" s="11" t="s">
        <v>312</v>
      </c>
      <c r="P1025" s="11" t="s">
        <v>2571</v>
      </c>
      <c r="Q1025" s="11" t="s">
        <v>604</v>
      </c>
      <c r="R1025" s="11" t="s">
        <v>596</v>
      </c>
      <c r="S1025" s="11" t="s">
        <v>35</v>
      </c>
      <c r="T1025" s="158">
        <v>2.2549999999999999</v>
      </c>
      <c r="U1025" s="11" t="s">
        <v>2333</v>
      </c>
      <c r="V1025" s="174">
        <v>2.75E-2</v>
      </c>
      <c r="W1025" s="189">
        <v>5.3969999999999997E-2</v>
      </c>
      <c r="X1025" s="4" t="s">
        <v>602</v>
      </c>
      <c r="Y1025" s="4" t="s">
        <v>312</v>
      </c>
      <c r="Z1025" s="158">
        <v>4522.97</v>
      </c>
      <c r="AA1025" s="158">
        <v>1</v>
      </c>
      <c r="AB1025" s="158">
        <v>94.46</v>
      </c>
      <c r="AD1025" s="158">
        <v>4.2720000000000002</v>
      </c>
      <c r="AG1025" s="11" t="s">
        <v>37</v>
      </c>
      <c r="AH1025" s="189">
        <v>5.5000000000000002E-5</v>
      </c>
      <c r="AI1025" s="189">
        <v>1.9068328006378101E-4</v>
      </c>
      <c r="AJ1025" s="189">
        <v>4.3939506785670003E-5</v>
      </c>
    </row>
    <row r="1026" spans="1:36">
      <c r="A1026" s="11" t="s">
        <v>256</v>
      </c>
      <c r="B1026" s="11">
        <v>7207</v>
      </c>
      <c r="C1026" s="11" t="s">
        <v>2575</v>
      </c>
      <c r="D1026" s="11" t="s">
        <v>2576</v>
      </c>
      <c r="E1026" s="4" t="s">
        <v>1552</v>
      </c>
      <c r="F1026" s="11" t="s">
        <v>2577</v>
      </c>
      <c r="G1026" s="11" t="s">
        <v>2578</v>
      </c>
      <c r="H1026" s="11" t="s">
        <v>511</v>
      </c>
      <c r="I1026" s="11" t="s">
        <v>945</v>
      </c>
      <c r="J1026" s="11" t="s">
        <v>31</v>
      </c>
      <c r="K1026" s="11" t="s">
        <v>31</v>
      </c>
      <c r="L1026" s="11" t="s">
        <v>517</v>
      </c>
      <c r="M1026" s="11" t="s">
        <v>32</v>
      </c>
      <c r="N1026" s="11" t="s">
        <v>629</v>
      </c>
      <c r="O1026" s="11" t="s">
        <v>312</v>
      </c>
      <c r="P1026" s="27" t="s">
        <v>2165</v>
      </c>
      <c r="Q1026" s="27" t="s">
        <v>2165</v>
      </c>
      <c r="R1026" s="16" t="s">
        <v>2165</v>
      </c>
      <c r="S1026" s="11" t="s">
        <v>35</v>
      </c>
      <c r="T1026" s="158">
        <v>2.33</v>
      </c>
      <c r="U1026" s="11" t="s">
        <v>2441</v>
      </c>
      <c r="V1026" s="174">
        <v>2.3E-2</v>
      </c>
      <c r="W1026" s="189">
        <v>5.7480000000000003E-2</v>
      </c>
      <c r="X1026" s="4" t="s">
        <v>602</v>
      </c>
      <c r="Y1026" s="4" t="s">
        <v>312</v>
      </c>
      <c r="Z1026" s="158">
        <v>135400</v>
      </c>
      <c r="AA1026" s="158">
        <v>1</v>
      </c>
      <c r="AB1026" s="158">
        <v>102.42</v>
      </c>
      <c r="AD1026" s="158">
        <v>138.67699999999999</v>
      </c>
      <c r="AG1026" s="11" t="s">
        <v>37</v>
      </c>
      <c r="AH1026" s="189">
        <v>3.57E-4</v>
      </c>
      <c r="AI1026" s="189">
        <v>6.18934086679676E-3</v>
      </c>
      <c r="AJ1026" s="189">
        <v>1.4262214543638799E-3</v>
      </c>
    </row>
    <row r="1027" spans="1:36">
      <c r="A1027" s="11" t="s">
        <v>256</v>
      </c>
      <c r="B1027" s="11">
        <v>7207</v>
      </c>
      <c r="C1027" s="11" t="s">
        <v>2575</v>
      </c>
      <c r="D1027" s="11" t="s">
        <v>2576</v>
      </c>
      <c r="E1027" s="4" t="s">
        <v>1552</v>
      </c>
      <c r="F1027" s="11" t="s">
        <v>2579</v>
      </c>
      <c r="G1027" s="11" t="s">
        <v>2578</v>
      </c>
      <c r="H1027" s="11" t="s">
        <v>511</v>
      </c>
      <c r="I1027" s="11" t="s">
        <v>945</v>
      </c>
      <c r="J1027" s="11" t="s">
        <v>31</v>
      </c>
      <c r="K1027" s="11" t="s">
        <v>489</v>
      </c>
      <c r="L1027" s="16" t="s">
        <v>519</v>
      </c>
      <c r="M1027" s="11" t="s">
        <v>342</v>
      </c>
      <c r="N1027" s="11" t="s">
        <v>629</v>
      </c>
      <c r="O1027" s="11" t="s">
        <v>312</v>
      </c>
      <c r="P1027" s="27" t="s">
        <v>2165</v>
      </c>
      <c r="Q1027" s="27" t="s">
        <v>2165</v>
      </c>
      <c r="R1027" s="16" t="s">
        <v>2165</v>
      </c>
      <c r="S1027" s="11" t="s">
        <v>35</v>
      </c>
      <c r="T1027" s="158">
        <v>2.33</v>
      </c>
      <c r="U1027" s="11" t="s">
        <v>2441</v>
      </c>
      <c r="V1027" s="174">
        <v>2.3E-2</v>
      </c>
      <c r="W1027" s="189">
        <v>5.6239999999999998E-2</v>
      </c>
      <c r="X1027" s="4" t="s">
        <v>602</v>
      </c>
      <c r="Y1027" s="4" t="s">
        <v>312</v>
      </c>
      <c r="Z1027" s="158">
        <v>10000</v>
      </c>
      <c r="AA1027" s="158">
        <v>1</v>
      </c>
      <c r="AB1027" s="158">
        <v>101.483</v>
      </c>
      <c r="AD1027" s="158">
        <v>10.148</v>
      </c>
      <c r="AG1027" s="11" t="s">
        <v>37</v>
      </c>
      <c r="AH1027" s="189">
        <v>0</v>
      </c>
      <c r="AI1027" s="189">
        <v>4.5293130205634901E-4</v>
      </c>
      <c r="AJ1027" s="189">
        <v>1.04369811624231E-4</v>
      </c>
    </row>
    <row r="1028" spans="1:36">
      <c r="A1028" s="11" t="s">
        <v>256</v>
      </c>
      <c r="B1028" s="11">
        <v>7207</v>
      </c>
      <c r="C1028" s="11" t="s">
        <v>2883</v>
      </c>
      <c r="D1028" s="11" t="s">
        <v>2884</v>
      </c>
      <c r="E1028" s="4" t="s">
        <v>1552</v>
      </c>
      <c r="F1028" s="11" t="s">
        <v>2885</v>
      </c>
      <c r="G1028" s="11" t="s">
        <v>2886</v>
      </c>
      <c r="H1028" s="11" t="s">
        <v>511</v>
      </c>
      <c r="I1028" s="11" t="s">
        <v>945</v>
      </c>
      <c r="J1028" s="11" t="s">
        <v>31</v>
      </c>
      <c r="K1028" s="11" t="s">
        <v>31</v>
      </c>
      <c r="L1028" s="11" t="s">
        <v>517</v>
      </c>
      <c r="M1028" s="11" t="s">
        <v>32</v>
      </c>
      <c r="N1028" s="11" t="s">
        <v>629</v>
      </c>
      <c r="O1028" s="11" t="s">
        <v>312</v>
      </c>
      <c r="P1028" s="27" t="s">
        <v>2165</v>
      </c>
      <c r="Q1028" s="27" t="s">
        <v>2165</v>
      </c>
      <c r="R1028" s="16" t="s">
        <v>2165</v>
      </c>
      <c r="S1028" s="11" t="s">
        <v>35</v>
      </c>
      <c r="T1028" s="158">
        <v>2.3460000000000001</v>
      </c>
      <c r="U1028" s="11" t="s">
        <v>2441</v>
      </c>
      <c r="V1028" s="174">
        <v>2.9499999999999998E-2</v>
      </c>
      <c r="W1028" s="189">
        <v>4.1820000000000003E-2</v>
      </c>
      <c r="X1028" s="4" t="s">
        <v>602</v>
      </c>
      <c r="Y1028" s="4" t="s">
        <v>312</v>
      </c>
      <c r="Z1028" s="158">
        <v>15604</v>
      </c>
      <c r="AA1028" s="158">
        <v>1</v>
      </c>
      <c r="AB1028" s="158">
        <v>106</v>
      </c>
      <c r="AD1028" s="158">
        <v>16.54</v>
      </c>
      <c r="AG1028" s="11" t="s">
        <v>37</v>
      </c>
      <c r="AH1028" s="189">
        <v>6.8999999999999997E-5</v>
      </c>
      <c r="AI1028" s="189">
        <v>7.3821484173565801E-4</v>
      </c>
      <c r="AJ1028" s="189">
        <v>1.7010823411930199E-4</v>
      </c>
    </row>
    <row r="1029" spans="1:36">
      <c r="A1029" s="11" t="s">
        <v>256</v>
      </c>
      <c r="B1029" s="11">
        <v>7207</v>
      </c>
      <c r="C1029" s="11" t="s">
        <v>2584</v>
      </c>
      <c r="D1029" s="11" t="s">
        <v>2585</v>
      </c>
      <c r="E1029" s="4" t="s">
        <v>34</v>
      </c>
      <c r="F1029" s="11" t="s">
        <v>2586</v>
      </c>
      <c r="G1029" s="11" t="s">
        <v>2587</v>
      </c>
      <c r="H1029" s="11" t="s">
        <v>511</v>
      </c>
      <c r="I1029" s="11" t="s">
        <v>364</v>
      </c>
      <c r="J1029" s="11" t="s">
        <v>31</v>
      </c>
      <c r="K1029" s="11" t="s">
        <v>155</v>
      </c>
      <c r="L1029" s="11" t="s">
        <v>517</v>
      </c>
      <c r="M1029" s="11" t="s">
        <v>32</v>
      </c>
      <c r="N1029" s="11" t="s">
        <v>631</v>
      </c>
      <c r="O1029" s="11" t="s">
        <v>312</v>
      </c>
      <c r="P1029" s="11" t="s">
        <v>168</v>
      </c>
      <c r="Q1029" s="11" t="s">
        <v>604</v>
      </c>
      <c r="R1029" s="11" t="s">
        <v>596</v>
      </c>
      <c r="S1029" s="11" t="s">
        <v>35</v>
      </c>
      <c r="T1029" s="158">
        <v>2</v>
      </c>
      <c r="U1029" s="11" t="s">
        <v>2588</v>
      </c>
      <c r="V1029" s="174">
        <v>8.9242000000000002E-2</v>
      </c>
      <c r="W1029" s="189">
        <v>8.5949999999999999E-2</v>
      </c>
      <c r="X1029" s="4" t="s">
        <v>602</v>
      </c>
      <c r="Y1029" s="4" t="s">
        <v>312</v>
      </c>
      <c r="Z1029" s="158">
        <v>25000</v>
      </c>
      <c r="AA1029" s="158">
        <v>1</v>
      </c>
      <c r="AB1029" s="158">
        <v>105</v>
      </c>
      <c r="AD1029" s="158">
        <v>26.25</v>
      </c>
      <c r="AG1029" s="11" t="s">
        <v>37</v>
      </c>
      <c r="AH1029" s="189">
        <v>5.8999999999999998E-5</v>
      </c>
      <c r="AI1029" s="189">
        <v>1.17157547868477E-3</v>
      </c>
      <c r="AJ1029" s="189">
        <v>2.6996834058222203E-4</v>
      </c>
    </row>
    <row r="1030" spans="1:36">
      <c r="A1030" s="11" t="s">
        <v>256</v>
      </c>
      <c r="B1030" s="11">
        <v>7207</v>
      </c>
      <c r="C1030" s="11" t="s">
        <v>2589</v>
      </c>
      <c r="D1030" s="11" t="s">
        <v>2590</v>
      </c>
      <c r="E1030" s="4" t="s">
        <v>1552</v>
      </c>
      <c r="F1030" s="11" t="s">
        <v>2591</v>
      </c>
      <c r="G1030" s="11" t="s">
        <v>2592</v>
      </c>
      <c r="H1030" s="11" t="s">
        <v>511</v>
      </c>
      <c r="I1030" s="11" t="s">
        <v>945</v>
      </c>
      <c r="J1030" s="11" t="s">
        <v>31</v>
      </c>
      <c r="K1030" s="11" t="s">
        <v>31</v>
      </c>
      <c r="L1030" s="11" t="s">
        <v>517</v>
      </c>
      <c r="M1030" s="11" t="s">
        <v>32</v>
      </c>
      <c r="N1030" s="11" t="s">
        <v>652</v>
      </c>
      <c r="O1030" s="11" t="s">
        <v>312</v>
      </c>
      <c r="P1030" s="11" t="s">
        <v>2418</v>
      </c>
      <c r="Q1030" s="11" t="s">
        <v>604</v>
      </c>
      <c r="R1030" s="11" t="s">
        <v>596</v>
      </c>
      <c r="S1030" s="11" t="s">
        <v>35</v>
      </c>
      <c r="T1030" s="158">
        <v>0.53400000000000003</v>
      </c>
      <c r="U1030" s="11" t="s">
        <v>2593</v>
      </c>
      <c r="V1030" s="174">
        <v>2.75E-2</v>
      </c>
      <c r="W1030" s="189">
        <v>3.2379999999999999E-2</v>
      </c>
      <c r="X1030" s="4" t="s">
        <v>602</v>
      </c>
      <c r="Y1030" s="4" t="s">
        <v>312</v>
      </c>
      <c r="Z1030" s="158">
        <v>112500.26</v>
      </c>
      <c r="AA1030" s="158">
        <v>1</v>
      </c>
      <c r="AB1030" s="158">
        <v>114.52</v>
      </c>
      <c r="AD1030" s="158">
        <v>128.83500000000001</v>
      </c>
      <c r="AG1030" s="11" t="s">
        <v>37</v>
      </c>
      <c r="AH1030" s="189">
        <v>8.1400000000000005E-4</v>
      </c>
      <c r="AI1030" s="189">
        <v>5.7501057384874103E-3</v>
      </c>
      <c r="AJ1030" s="189">
        <v>1.32500767781043E-3</v>
      </c>
    </row>
    <row r="1031" spans="1:36">
      <c r="A1031" s="11" t="s">
        <v>256</v>
      </c>
      <c r="B1031" s="11">
        <v>7207</v>
      </c>
      <c r="C1031" s="11" t="s">
        <v>2589</v>
      </c>
      <c r="D1031" s="11" t="s">
        <v>2590</v>
      </c>
      <c r="E1031" s="4" t="s">
        <v>1552</v>
      </c>
      <c r="F1031" s="11" t="s">
        <v>2594</v>
      </c>
      <c r="G1031" s="11" t="s">
        <v>2595</v>
      </c>
      <c r="H1031" s="11" t="s">
        <v>511</v>
      </c>
      <c r="I1031" s="11" t="s">
        <v>945</v>
      </c>
      <c r="J1031" s="11" t="s">
        <v>31</v>
      </c>
      <c r="K1031" s="11" t="s">
        <v>31</v>
      </c>
      <c r="L1031" s="11" t="s">
        <v>517</v>
      </c>
      <c r="M1031" s="11" t="s">
        <v>32</v>
      </c>
      <c r="N1031" s="11" t="s">
        <v>652</v>
      </c>
      <c r="O1031" s="11" t="s">
        <v>312</v>
      </c>
      <c r="P1031" s="11" t="s">
        <v>2418</v>
      </c>
      <c r="Q1031" s="11" t="s">
        <v>604</v>
      </c>
      <c r="R1031" s="11" t="s">
        <v>596</v>
      </c>
      <c r="S1031" s="11" t="s">
        <v>35</v>
      </c>
      <c r="T1031" s="158">
        <v>3.157</v>
      </c>
      <c r="U1031" s="11" t="s">
        <v>2596</v>
      </c>
      <c r="V1031" s="174">
        <v>1.9599999999999999E-2</v>
      </c>
      <c r="W1031" s="189">
        <v>2.9319999999999999E-2</v>
      </c>
      <c r="X1031" s="4" t="s">
        <v>602</v>
      </c>
      <c r="Y1031" s="4" t="s">
        <v>312</v>
      </c>
      <c r="Z1031" s="158">
        <v>196000.06</v>
      </c>
      <c r="AA1031" s="158">
        <v>1</v>
      </c>
      <c r="AB1031" s="158">
        <v>111.11</v>
      </c>
      <c r="AD1031" s="158">
        <v>217.77600000000001</v>
      </c>
      <c r="AG1031" s="11" t="s">
        <v>37</v>
      </c>
      <c r="AH1031" s="189">
        <v>1.7100000000000001E-4</v>
      </c>
      <c r="AI1031" s="189">
        <v>9.7196430826710194E-3</v>
      </c>
      <c r="AJ1031" s="189">
        <v>2.2397156323431299E-3</v>
      </c>
    </row>
    <row r="1032" spans="1:36">
      <c r="A1032" s="11" t="s">
        <v>256</v>
      </c>
      <c r="B1032" s="11">
        <v>7207</v>
      </c>
      <c r="C1032" s="11" t="s">
        <v>2589</v>
      </c>
      <c r="D1032" s="11" t="s">
        <v>2590</v>
      </c>
      <c r="E1032" s="4" t="s">
        <v>1552</v>
      </c>
      <c r="F1032" s="11" t="s">
        <v>2597</v>
      </c>
      <c r="G1032" s="11" t="s">
        <v>2598</v>
      </c>
      <c r="H1032" s="11" t="s">
        <v>511</v>
      </c>
      <c r="I1032" s="11" t="s">
        <v>945</v>
      </c>
      <c r="J1032" s="11" t="s">
        <v>31</v>
      </c>
      <c r="K1032" s="11" t="s">
        <v>31</v>
      </c>
      <c r="L1032" s="11" t="s">
        <v>517</v>
      </c>
      <c r="M1032" s="11" t="s">
        <v>32</v>
      </c>
      <c r="N1032" s="11" t="s">
        <v>652</v>
      </c>
      <c r="O1032" s="11" t="s">
        <v>312</v>
      </c>
      <c r="P1032" s="11" t="s">
        <v>2418</v>
      </c>
      <c r="Q1032" s="11" t="s">
        <v>604</v>
      </c>
      <c r="R1032" s="11" t="s">
        <v>596</v>
      </c>
      <c r="S1032" s="11" t="s">
        <v>35</v>
      </c>
      <c r="T1032" s="158">
        <v>6.0330000000000004</v>
      </c>
      <c r="U1032" s="11" t="s">
        <v>2599</v>
      </c>
      <c r="V1032" s="174">
        <v>1.5800000000000002E-2</v>
      </c>
      <c r="W1032" s="189">
        <v>3.5290000000000002E-2</v>
      </c>
      <c r="X1032" s="4" t="s">
        <v>602</v>
      </c>
      <c r="Y1032" s="4" t="s">
        <v>312</v>
      </c>
      <c r="Z1032" s="158">
        <v>221926.34</v>
      </c>
      <c r="AA1032" s="158">
        <v>1</v>
      </c>
      <c r="AB1032" s="158">
        <v>101.56</v>
      </c>
      <c r="AD1032" s="158">
        <v>225.38800000000001</v>
      </c>
      <c r="AG1032" s="11" t="s">
        <v>37</v>
      </c>
      <c r="AH1032" s="189">
        <v>1.7899999999999999E-4</v>
      </c>
      <c r="AI1032" s="189">
        <v>1.0059409979556001E-2</v>
      </c>
      <c r="AJ1032" s="189">
        <v>2.31800875728953E-3</v>
      </c>
    </row>
    <row r="1033" spans="1:36">
      <c r="A1033" s="11" t="s">
        <v>256</v>
      </c>
      <c r="B1033" s="11">
        <v>7207</v>
      </c>
      <c r="C1033" s="11" t="s">
        <v>2604</v>
      </c>
      <c r="D1033" s="11" t="s">
        <v>2605</v>
      </c>
      <c r="E1033" s="4" t="s">
        <v>504</v>
      </c>
      <c r="F1033" s="11" t="s">
        <v>2606</v>
      </c>
      <c r="G1033" s="11" t="s">
        <v>2607</v>
      </c>
      <c r="H1033" s="11" t="s">
        <v>511</v>
      </c>
      <c r="I1033" s="11" t="s">
        <v>1154</v>
      </c>
      <c r="J1033" s="11" t="s">
        <v>154</v>
      </c>
      <c r="K1033" s="11" t="s">
        <v>155</v>
      </c>
      <c r="L1033" s="11" t="s">
        <v>517</v>
      </c>
      <c r="M1033" s="11" t="s">
        <v>32</v>
      </c>
      <c r="N1033" s="11" t="s">
        <v>653</v>
      </c>
      <c r="O1033" s="11" t="s">
        <v>312</v>
      </c>
      <c r="P1033" s="11" t="s">
        <v>2161</v>
      </c>
      <c r="Q1033" s="11" t="s">
        <v>358</v>
      </c>
      <c r="R1033" s="11" t="s">
        <v>596</v>
      </c>
      <c r="S1033" s="11" t="s">
        <v>35</v>
      </c>
      <c r="T1033" s="158">
        <v>0.41599999999999998</v>
      </c>
      <c r="U1033" s="11" t="s">
        <v>2608</v>
      </c>
      <c r="V1033" s="174">
        <v>3.9E-2</v>
      </c>
      <c r="W1033" s="189">
        <v>5.9380000000000002E-2</v>
      </c>
      <c r="X1033" s="4" t="s">
        <v>602</v>
      </c>
      <c r="Y1033" s="4" t="s">
        <v>312</v>
      </c>
      <c r="Z1033" s="158">
        <v>144708.87</v>
      </c>
      <c r="AA1033" s="158">
        <v>1</v>
      </c>
      <c r="AB1033" s="158">
        <v>99.53</v>
      </c>
      <c r="AD1033" s="158">
        <v>144.029</v>
      </c>
      <c r="AG1033" s="11" t="s">
        <v>37</v>
      </c>
      <c r="AH1033" s="189">
        <v>3.7399999999999998E-4</v>
      </c>
      <c r="AI1033" s="189">
        <v>6.4282109726123198E-3</v>
      </c>
      <c r="AJ1033" s="189">
        <v>1.48126474201797E-3</v>
      </c>
    </row>
    <row r="1034" spans="1:36">
      <c r="A1034" s="11" t="s">
        <v>256</v>
      </c>
      <c r="B1034" s="11">
        <v>7207</v>
      </c>
      <c r="C1034" s="11" t="s">
        <v>1895</v>
      </c>
      <c r="D1034" s="11" t="s">
        <v>1896</v>
      </c>
      <c r="E1034" s="4" t="s">
        <v>1552</v>
      </c>
      <c r="F1034" s="11" t="s">
        <v>2609</v>
      </c>
      <c r="G1034" s="11" t="s">
        <v>2610</v>
      </c>
      <c r="H1034" s="11" t="s">
        <v>511</v>
      </c>
      <c r="I1034" s="11" t="s">
        <v>945</v>
      </c>
      <c r="J1034" s="11" t="s">
        <v>31</v>
      </c>
      <c r="K1034" s="11" t="s">
        <v>31</v>
      </c>
      <c r="L1034" s="11" t="s">
        <v>517</v>
      </c>
      <c r="M1034" s="11" t="s">
        <v>32</v>
      </c>
      <c r="N1034" s="11" t="s">
        <v>652</v>
      </c>
      <c r="O1034" s="11" t="s">
        <v>312</v>
      </c>
      <c r="P1034" s="11" t="s">
        <v>2571</v>
      </c>
      <c r="Q1034" s="11" t="s">
        <v>604</v>
      </c>
      <c r="R1034" s="11" t="s">
        <v>596</v>
      </c>
      <c r="S1034" s="11" t="s">
        <v>35</v>
      </c>
      <c r="T1034" s="158">
        <v>3.1429999999999998</v>
      </c>
      <c r="U1034" s="11" t="s">
        <v>2611</v>
      </c>
      <c r="V1034" s="174">
        <v>1.34E-2</v>
      </c>
      <c r="W1034" s="189">
        <v>2.777E-2</v>
      </c>
      <c r="X1034" s="4" t="s">
        <v>602</v>
      </c>
      <c r="Y1034" s="4" t="s">
        <v>312</v>
      </c>
      <c r="Z1034" s="158">
        <v>259385.38</v>
      </c>
      <c r="AA1034" s="158">
        <v>1</v>
      </c>
      <c r="AB1034" s="158">
        <v>110</v>
      </c>
      <c r="AC1034" s="158">
        <v>27.026</v>
      </c>
      <c r="AD1034" s="158">
        <v>312.35000000000002</v>
      </c>
      <c r="AG1034" s="11" t="s">
        <v>37</v>
      </c>
      <c r="AH1034" s="189">
        <v>9.0000000000000006E-5</v>
      </c>
      <c r="AI1034" s="189">
        <v>1.39406260725132E-2</v>
      </c>
      <c r="AJ1034" s="189">
        <v>3.2123646798229602E-3</v>
      </c>
    </row>
    <row r="1035" spans="1:36">
      <c r="A1035" s="11" t="s">
        <v>256</v>
      </c>
      <c r="B1035" s="11">
        <v>7207</v>
      </c>
      <c r="C1035" s="11" t="s">
        <v>1895</v>
      </c>
      <c r="D1035" s="11" t="s">
        <v>1896</v>
      </c>
      <c r="E1035" s="4" t="s">
        <v>1552</v>
      </c>
      <c r="F1035" s="11" t="s">
        <v>2612</v>
      </c>
      <c r="G1035" s="11" t="s">
        <v>2613</v>
      </c>
      <c r="H1035" s="11" t="s">
        <v>511</v>
      </c>
      <c r="I1035" s="11" t="s">
        <v>945</v>
      </c>
      <c r="J1035" s="11" t="s">
        <v>31</v>
      </c>
      <c r="K1035" s="11" t="s">
        <v>31</v>
      </c>
      <c r="L1035" s="11" t="s">
        <v>517</v>
      </c>
      <c r="M1035" s="11" t="s">
        <v>32</v>
      </c>
      <c r="N1035" s="11" t="s">
        <v>652</v>
      </c>
      <c r="O1035" s="11" t="s">
        <v>312</v>
      </c>
      <c r="P1035" s="11" t="s">
        <v>2571</v>
      </c>
      <c r="Q1035" s="11" t="s">
        <v>604</v>
      </c>
      <c r="R1035" s="11" t="s">
        <v>596</v>
      </c>
      <c r="S1035" s="11" t="s">
        <v>35</v>
      </c>
      <c r="T1035" s="158">
        <v>2.7959999999999998</v>
      </c>
      <c r="U1035" s="11" t="s">
        <v>2166</v>
      </c>
      <c r="V1035" s="174">
        <v>1.77E-2</v>
      </c>
      <c r="W1035" s="189">
        <v>2.615E-2</v>
      </c>
      <c r="X1035" s="4" t="s">
        <v>602</v>
      </c>
      <c r="Y1035" s="4" t="s">
        <v>312</v>
      </c>
      <c r="Z1035" s="158">
        <v>144000.68</v>
      </c>
      <c r="AA1035" s="158">
        <v>1</v>
      </c>
      <c r="AB1035" s="158">
        <v>110.8</v>
      </c>
      <c r="AD1035" s="158">
        <v>159.553</v>
      </c>
      <c r="AG1035" s="11" t="s">
        <v>37</v>
      </c>
      <c r="AH1035" s="189">
        <v>5.1999999999999997E-5</v>
      </c>
      <c r="AI1035" s="189">
        <v>7.1210702280739601E-3</v>
      </c>
      <c r="AJ1035" s="189">
        <v>1.6409216031055701E-3</v>
      </c>
    </row>
    <row r="1036" spans="1:36">
      <c r="A1036" s="11" t="s">
        <v>256</v>
      </c>
      <c r="B1036" s="11">
        <v>7207</v>
      </c>
      <c r="C1036" s="11" t="s">
        <v>2614</v>
      </c>
      <c r="D1036" s="11" t="s">
        <v>2615</v>
      </c>
      <c r="E1036" s="4" t="s">
        <v>1552</v>
      </c>
      <c r="F1036" s="11" t="s">
        <v>2616</v>
      </c>
      <c r="G1036" s="11" t="s">
        <v>2617</v>
      </c>
      <c r="H1036" s="11" t="s">
        <v>511</v>
      </c>
      <c r="I1036" s="11" t="s">
        <v>1154</v>
      </c>
      <c r="J1036" s="11" t="s">
        <v>31</v>
      </c>
      <c r="K1036" s="11" t="s">
        <v>31</v>
      </c>
      <c r="L1036" s="11" t="s">
        <v>517</v>
      </c>
      <c r="M1036" s="11" t="s">
        <v>32</v>
      </c>
      <c r="N1036" s="11" t="s">
        <v>652</v>
      </c>
      <c r="O1036" s="11" t="s">
        <v>312</v>
      </c>
      <c r="P1036" s="11" t="s">
        <v>157</v>
      </c>
      <c r="Q1036" s="11" t="s">
        <v>604</v>
      </c>
      <c r="R1036" s="11" t="s">
        <v>596</v>
      </c>
      <c r="S1036" s="11" t="s">
        <v>35</v>
      </c>
      <c r="T1036" s="158">
        <v>1.917</v>
      </c>
      <c r="U1036" s="11" t="s">
        <v>2618</v>
      </c>
      <c r="V1036" s="174">
        <v>1.44E-2</v>
      </c>
      <c r="W1036" s="189">
        <v>4.7489999999999997E-2</v>
      </c>
      <c r="X1036" s="4" t="s">
        <v>602</v>
      </c>
      <c r="Y1036" s="4" t="s">
        <v>312</v>
      </c>
      <c r="Z1036" s="158">
        <v>56000.72</v>
      </c>
      <c r="AA1036" s="158">
        <v>1</v>
      </c>
      <c r="AB1036" s="158">
        <v>94.32</v>
      </c>
      <c r="AD1036" s="158">
        <v>52.82</v>
      </c>
      <c r="AG1036" s="11" t="s">
        <v>37</v>
      </c>
      <c r="AH1036" s="189">
        <v>1.3999999999999999E-4</v>
      </c>
      <c r="AI1036" s="189">
        <v>2.3574276245843999E-3</v>
      </c>
      <c r="AJ1036" s="189">
        <v>5.4322648043658901E-4</v>
      </c>
    </row>
    <row r="1037" spans="1:36">
      <c r="A1037" s="11" t="s">
        <v>256</v>
      </c>
      <c r="B1037" s="11">
        <v>7207</v>
      </c>
      <c r="C1037" s="11" t="s">
        <v>1903</v>
      </c>
      <c r="D1037" s="11" t="s">
        <v>1904</v>
      </c>
      <c r="E1037" s="4" t="s">
        <v>1552</v>
      </c>
      <c r="F1037" s="11" t="s">
        <v>2619</v>
      </c>
      <c r="G1037" s="11" t="s">
        <v>2620</v>
      </c>
      <c r="H1037" s="11" t="s">
        <v>511</v>
      </c>
      <c r="I1037" s="11" t="s">
        <v>1154</v>
      </c>
      <c r="J1037" s="11" t="s">
        <v>31</v>
      </c>
      <c r="K1037" s="11" t="s">
        <v>31</v>
      </c>
      <c r="L1037" s="11" t="s">
        <v>517</v>
      </c>
      <c r="M1037" s="11" t="s">
        <v>32</v>
      </c>
      <c r="N1037" s="11" t="s">
        <v>636</v>
      </c>
      <c r="O1037" s="11" t="s">
        <v>312</v>
      </c>
      <c r="P1037" s="11" t="s">
        <v>157</v>
      </c>
      <c r="Q1037" s="11" t="s">
        <v>604</v>
      </c>
      <c r="R1037" s="11" t="s">
        <v>596</v>
      </c>
      <c r="S1037" s="11" t="s">
        <v>35</v>
      </c>
      <c r="T1037" s="158">
        <v>0.89800000000000002</v>
      </c>
      <c r="U1037" s="11" t="s">
        <v>2621</v>
      </c>
      <c r="V1037" s="174">
        <v>3.7600000000000001E-2</v>
      </c>
      <c r="W1037" s="189">
        <v>4.4880000000000003E-2</v>
      </c>
      <c r="X1037" s="4" t="s">
        <v>602</v>
      </c>
      <c r="Y1037" s="4" t="s">
        <v>312</v>
      </c>
      <c r="Z1037" s="158">
        <v>245000</v>
      </c>
      <c r="AA1037" s="158">
        <v>1</v>
      </c>
      <c r="AB1037" s="158">
        <v>99.71</v>
      </c>
      <c r="AD1037" s="158">
        <v>244.28899999999999</v>
      </c>
      <c r="AG1037" s="11" t="s">
        <v>37</v>
      </c>
      <c r="AH1037" s="189">
        <v>2.03E-4</v>
      </c>
      <c r="AI1037" s="189">
        <v>1.0902993824768101E-2</v>
      </c>
      <c r="AJ1037" s="189">
        <v>2.51239736901565E-3</v>
      </c>
    </row>
    <row r="1038" spans="1:36">
      <c r="A1038" s="11" t="s">
        <v>256</v>
      </c>
      <c r="B1038" s="11">
        <v>7207</v>
      </c>
      <c r="C1038" s="11" t="s">
        <v>1903</v>
      </c>
      <c r="D1038" s="11" t="s">
        <v>1904</v>
      </c>
      <c r="E1038" s="4" t="s">
        <v>1552</v>
      </c>
      <c r="F1038" s="11" t="s">
        <v>2622</v>
      </c>
      <c r="G1038" s="11" t="s">
        <v>2623</v>
      </c>
      <c r="H1038" s="11" t="s">
        <v>511</v>
      </c>
      <c r="I1038" s="11" t="s">
        <v>945</v>
      </c>
      <c r="J1038" s="11" t="s">
        <v>31</v>
      </c>
      <c r="K1038" s="11" t="s">
        <v>31</v>
      </c>
      <c r="L1038" s="11" t="s">
        <v>517</v>
      </c>
      <c r="M1038" s="11" t="s">
        <v>32</v>
      </c>
      <c r="N1038" s="11" t="s">
        <v>636</v>
      </c>
      <c r="O1038" s="11" t="s">
        <v>312</v>
      </c>
      <c r="P1038" s="11" t="s">
        <v>157</v>
      </c>
      <c r="Q1038" s="11" t="s">
        <v>604</v>
      </c>
      <c r="R1038" s="11" t="s">
        <v>596</v>
      </c>
      <c r="S1038" s="11" t="s">
        <v>35</v>
      </c>
      <c r="T1038" s="158">
        <v>3.806</v>
      </c>
      <c r="U1038" s="11" t="s">
        <v>2624</v>
      </c>
      <c r="V1038" s="174">
        <v>1E-3</v>
      </c>
      <c r="W1038" s="189">
        <v>2.4920000000000001E-2</v>
      </c>
      <c r="X1038" s="4" t="s">
        <v>602</v>
      </c>
      <c r="Y1038" s="4" t="s">
        <v>312</v>
      </c>
      <c r="Z1038" s="158">
        <v>188666.67</v>
      </c>
      <c r="AA1038" s="158">
        <v>1</v>
      </c>
      <c r="AB1038" s="158">
        <v>100.97</v>
      </c>
      <c r="AD1038" s="158">
        <v>190.49700000000001</v>
      </c>
      <c r="AG1038" s="11" t="s">
        <v>37</v>
      </c>
      <c r="AH1038" s="189">
        <v>1.6799999999999999E-4</v>
      </c>
      <c r="AI1038" s="189">
        <v>8.5021449708959206E-3</v>
      </c>
      <c r="AJ1038" s="189">
        <v>1.9591652530650499E-3</v>
      </c>
    </row>
    <row r="1039" spans="1:36">
      <c r="A1039" s="11" t="s">
        <v>256</v>
      </c>
      <c r="B1039" s="11">
        <v>7207</v>
      </c>
      <c r="C1039" s="11" t="s">
        <v>1903</v>
      </c>
      <c r="D1039" s="11" t="s">
        <v>1904</v>
      </c>
      <c r="E1039" s="4" t="s">
        <v>1552</v>
      </c>
      <c r="F1039" s="11" t="s">
        <v>2625</v>
      </c>
      <c r="G1039" s="11" t="s">
        <v>2626</v>
      </c>
      <c r="H1039" s="11" t="s">
        <v>511</v>
      </c>
      <c r="I1039" s="11" t="s">
        <v>945</v>
      </c>
      <c r="J1039" s="11" t="s">
        <v>31</v>
      </c>
      <c r="K1039" s="11" t="s">
        <v>31</v>
      </c>
      <c r="L1039" s="11" t="s">
        <v>517</v>
      </c>
      <c r="M1039" s="11" t="s">
        <v>32</v>
      </c>
      <c r="N1039" s="11" t="s">
        <v>636</v>
      </c>
      <c r="O1039" s="11" t="s">
        <v>312</v>
      </c>
      <c r="P1039" s="11" t="s">
        <v>157</v>
      </c>
      <c r="Q1039" s="11" t="s">
        <v>604</v>
      </c>
      <c r="R1039" s="11" t="s">
        <v>596</v>
      </c>
      <c r="S1039" s="11" t="s">
        <v>35</v>
      </c>
      <c r="T1039" s="158">
        <v>4.1619999999999999</v>
      </c>
      <c r="U1039" s="11" t="s">
        <v>2627</v>
      </c>
      <c r="V1039" s="174">
        <v>1.3899999999999999E-2</v>
      </c>
      <c r="W1039" s="189">
        <v>2.504E-2</v>
      </c>
      <c r="X1039" s="4" t="s">
        <v>602</v>
      </c>
      <c r="Y1039" s="4" t="s">
        <v>312</v>
      </c>
      <c r="Z1039" s="158">
        <v>273600</v>
      </c>
      <c r="AA1039" s="158">
        <v>1</v>
      </c>
      <c r="AB1039" s="158">
        <v>101.46</v>
      </c>
      <c r="AD1039" s="158">
        <v>277.59500000000003</v>
      </c>
      <c r="AG1039" s="11" t="s">
        <v>37</v>
      </c>
      <c r="AH1039" s="189">
        <v>1.5200000000000001E-4</v>
      </c>
      <c r="AI1039" s="189">
        <v>1.2389446838563399E-2</v>
      </c>
      <c r="AJ1039" s="189">
        <v>2.8549235321086502E-3</v>
      </c>
    </row>
    <row r="1040" spans="1:36">
      <c r="A1040" s="11" t="s">
        <v>256</v>
      </c>
      <c r="B1040" s="11">
        <v>7207</v>
      </c>
      <c r="C1040" s="11" t="s">
        <v>1903</v>
      </c>
      <c r="D1040" s="11" t="s">
        <v>1904</v>
      </c>
      <c r="E1040" s="4" t="s">
        <v>1552</v>
      </c>
      <c r="F1040" s="11" t="s">
        <v>2628</v>
      </c>
      <c r="G1040" s="11" t="s">
        <v>2629</v>
      </c>
      <c r="H1040" s="11" t="s">
        <v>511</v>
      </c>
      <c r="I1040" s="11" t="s">
        <v>945</v>
      </c>
      <c r="J1040" s="11" t="s">
        <v>31</v>
      </c>
      <c r="K1040" s="11" t="s">
        <v>31</v>
      </c>
      <c r="L1040" s="11" t="s">
        <v>517</v>
      </c>
      <c r="M1040" s="11" t="s">
        <v>32</v>
      </c>
      <c r="N1040" s="11" t="s">
        <v>636</v>
      </c>
      <c r="O1040" s="11" t="s">
        <v>312</v>
      </c>
      <c r="P1040" s="11" t="s">
        <v>157</v>
      </c>
      <c r="Q1040" s="11" t="s">
        <v>604</v>
      </c>
      <c r="R1040" s="11" t="s">
        <v>596</v>
      </c>
      <c r="S1040" s="11" t="s">
        <v>35</v>
      </c>
      <c r="T1040" s="158">
        <v>2.2930000000000001</v>
      </c>
      <c r="U1040" s="11" t="s">
        <v>2630</v>
      </c>
      <c r="V1040" s="174">
        <v>6.0000000000000001E-3</v>
      </c>
      <c r="W1040" s="189">
        <v>2.052E-2</v>
      </c>
      <c r="X1040" s="4" t="s">
        <v>602</v>
      </c>
      <c r="Y1040" s="4" t="s">
        <v>312</v>
      </c>
      <c r="Z1040" s="158">
        <v>124000.26</v>
      </c>
      <c r="AA1040" s="158">
        <v>1</v>
      </c>
      <c r="AB1040" s="158">
        <v>110.68</v>
      </c>
      <c r="AD1040" s="158">
        <v>137.24299999999999</v>
      </c>
      <c r="AG1040" s="11" t="s">
        <v>37</v>
      </c>
      <c r="AH1040" s="189">
        <v>1.3899999999999999E-4</v>
      </c>
      <c r="AI1040" s="189">
        <v>6.1253754239299898E-3</v>
      </c>
      <c r="AJ1040" s="189">
        <v>1.4114817770835601E-3</v>
      </c>
    </row>
    <row r="1041" spans="1:36">
      <c r="A1041" s="11" t="s">
        <v>256</v>
      </c>
      <c r="B1041" s="11">
        <v>7207</v>
      </c>
      <c r="C1041" s="11" t="s">
        <v>1903</v>
      </c>
      <c r="D1041" s="11" t="s">
        <v>1904</v>
      </c>
      <c r="E1041" s="4" t="s">
        <v>1552</v>
      </c>
      <c r="F1041" s="11" t="s">
        <v>2631</v>
      </c>
      <c r="G1041" s="11" t="s">
        <v>2632</v>
      </c>
      <c r="H1041" s="11" t="s">
        <v>511</v>
      </c>
      <c r="I1041" s="11" t="s">
        <v>945</v>
      </c>
      <c r="J1041" s="11" t="s">
        <v>31</v>
      </c>
      <c r="K1041" s="11" t="s">
        <v>31</v>
      </c>
      <c r="L1041" s="11" t="s">
        <v>517</v>
      </c>
      <c r="M1041" s="11" t="s">
        <v>32</v>
      </c>
      <c r="N1041" s="11" t="s">
        <v>636</v>
      </c>
      <c r="O1041" s="11" t="s">
        <v>312</v>
      </c>
      <c r="P1041" s="11" t="s">
        <v>157</v>
      </c>
      <c r="Q1041" s="11" t="s">
        <v>604</v>
      </c>
      <c r="R1041" s="11" t="s">
        <v>596</v>
      </c>
      <c r="S1041" s="11" t="s">
        <v>35</v>
      </c>
      <c r="T1041" s="158">
        <v>3.262</v>
      </c>
      <c r="U1041" s="11" t="s">
        <v>2633</v>
      </c>
      <c r="V1041" s="174">
        <v>1.7500000000000002E-2</v>
      </c>
      <c r="W1041" s="189">
        <v>2.4060000000000002E-2</v>
      </c>
      <c r="X1041" s="4" t="s">
        <v>602</v>
      </c>
      <c r="Y1041" s="4" t="s">
        <v>312</v>
      </c>
      <c r="Z1041" s="158">
        <v>599000.24</v>
      </c>
      <c r="AA1041" s="158">
        <v>1</v>
      </c>
      <c r="AB1041" s="158">
        <v>111.51</v>
      </c>
      <c r="AD1041" s="158">
        <v>667.94500000000005</v>
      </c>
      <c r="AG1041" s="11" t="s">
        <v>37</v>
      </c>
      <c r="AH1041" s="189">
        <v>2.3000000000000001E-4</v>
      </c>
      <c r="AI1041" s="189">
        <v>2.98113592188292E-2</v>
      </c>
      <c r="AJ1041" s="189">
        <v>6.8694875620329597E-3</v>
      </c>
    </row>
    <row r="1042" spans="1:36">
      <c r="A1042" s="11" t="s">
        <v>256</v>
      </c>
      <c r="B1042" s="11">
        <v>7207</v>
      </c>
      <c r="C1042" s="11" t="s">
        <v>1907</v>
      </c>
      <c r="D1042" s="11" t="s">
        <v>1908</v>
      </c>
      <c r="E1042" s="4" t="s">
        <v>1552</v>
      </c>
      <c r="F1042" s="11" t="s">
        <v>2634</v>
      </c>
      <c r="G1042" s="11" t="s">
        <v>2635</v>
      </c>
      <c r="H1042" s="11" t="s">
        <v>511</v>
      </c>
      <c r="I1042" s="11" t="s">
        <v>1154</v>
      </c>
      <c r="J1042" s="11" t="s">
        <v>31</v>
      </c>
      <c r="K1042" s="11" t="s">
        <v>31</v>
      </c>
      <c r="L1042" s="11" t="s">
        <v>517</v>
      </c>
      <c r="M1042" s="11" t="s">
        <v>32</v>
      </c>
      <c r="N1042" s="11" t="s">
        <v>665</v>
      </c>
      <c r="O1042" s="11" t="s">
        <v>312</v>
      </c>
      <c r="P1042" s="11" t="s">
        <v>2418</v>
      </c>
      <c r="Q1042" s="11" t="s">
        <v>604</v>
      </c>
      <c r="R1042" s="11" t="s">
        <v>596</v>
      </c>
      <c r="S1042" s="11" t="s">
        <v>35</v>
      </c>
      <c r="T1042" s="158">
        <v>1.5780000000000001</v>
      </c>
      <c r="U1042" s="11" t="s">
        <v>2636</v>
      </c>
      <c r="V1042" s="174">
        <v>2.29E-2</v>
      </c>
      <c r="W1042" s="189">
        <v>4.9180000000000001E-2</v>
      </c>
      <c r="X1042" s="4" t="s">
        <v>602</v>
      </c>
      <c r="Y1042" s="4" t="s">
        <v>312</v>
      </c>
      <c r="Z1042" s="158">
        <v>79918.19</v>
      </c>
      <c r="AA1042" s="158">
        <v>1</v>
      </c>
      <c r="AB1042" s="158">
        <v>96.26</v>
      </c>
      <c r="AD1042" s="158">
        <v>76.929000000000002</v>
      </c>
      <c r="AG1042" s="11" t="s">
        <v>37</v>
      </c>
      <c r="AH1042" s="189">
        <v>1.94E-4</v>
      </c>
      <c r="AI1042" s="189">
        <v>3.43346371562318E-3</v>
      </c>
      <c r="AJ1042" s="189">
        <v>7.9117950027141298E-4</v>
      </c>
    </row>
    <row r="1043" spans="1:36">
      <c r="A1043" s="11" t="s">
        <v>256</v>
      </c>
      <c r="B1043" s="11">
        <v>7207</v>
      </c>
      <c r="C1043" s="11" t="s">
        <v>1907</v>
      </c>
      <c r="D1043" s="11" t="s">
        <v>1908</v>
      </c>
      <c r="E1043" s="4" t="s">
        <v>1552</v>
      </c>
      <c r="F1043" s="11" t="s">
        <v>2637</v>
      </c>
      <c r="G1043" s="11" t="s">
        <v>2638</v>
      </c>
      <c r="H1043" s="11" t="s">
        <v>511</v>
      </c>
      <c r="I1043" s="11" t="s">
        <v>1154</v>
      </c>
      <c r="J1043" s="11" t="s">
        <v>31</v>
      </c>
      <c r="K1043" s="11" t="s">
        <v>31</v>
      </c>
      <c r="L1043" s="11" t="s">
        <v>517</v>
      </c>
      <c r="M1043" s="11" t="s">
        <v>32</v>
      </c>
      <c r="N1043" s="11" t="s">
        <v>665</v>
      </c>
      <c r="O1043" s="11" t="s">
        <v>312</v>
      </c>
      <c r="P1043" s="11" t="s">
        <v>2418</v>
      </c>
      <c r="Q1043" s="11" t="s">
        <v>604</v>
      </c>
      <c r="R1043" s="11" t="s">
        <v>596</v>
      </c>
      <c r="S1043" s="11" t="s">
        <v>35</v>
      </c>
      <c r="T1043" s="158">
        <v>0.03</v>
      </c>
      <c r="U1043" s="11" t="s">
        <v>2639</v>
      </c>
      <c r="V1043" s="174">
        <v>2.8000000000000001E-2</v>
      </c>
      <c r="W1043" s="189">
        <v>0.24138999999999999</v>
      </c>
      <c r="X1043" s="4" t="s">
        <v>602</v>
      </c>
      <c r="Y1043" s="4" t="s">
        <v>312</v>
      </c>
      <c r="Z1043" s="158">
        <v>66166.66</v>
      </c>
      <c r="AA1043" s="158">
        <v>1</v>
      </c>
      <c r="AB1043" s="158">
        <v>101.16</v>
      </c>
      <c r="AD1043" s="158">
        <v>66.933999999999997</v>
      </c>
      <c r="AG1043" s="11" t="s">
        <v>37</v>
      </c>
      <c r="AH1043" s="189">
        <v>1.934E-3</v>
      </c>
      <c r="AI1043" s="189">
        <v>2.9873698858772302E-3</v>
      </c>
      <c r="AJ1043" s="189">
        <v>6.8838526024884105E-4</v>
      </c>
    </row>
    <row r="1044" spans="1:36">
      <c r="A1044" s="11" t="s">
        <v>256</v>
      </c>
      <c r="B1044" s="11">
        <v>7207</v>
      </c>
      <c r="C1044" s="11" t="s">
        <v>2887</v>
      </c>
      <c r="D1044" s="11" t="s">
        <v>2888</v>
      </c>
      <c r="E1044" s="4" t="s">
        <v>1552</v>
      </c>
      <c r="F1044" s="11" t="s">
        <v>2889</v>
      </c>
      <c r="G1044" s="11" t="s">
        <v>2890</v>
      </c>
      <c r="H1044" s="11" t="s">
        <v>511</v>
      </c>
      <c r="I1044" s="11" t="s">
        <v>1154</v>
      </c>
      <c r="J1044" s="11" t="s">
        <v>31</v>
      </c>
      <c r="K1044" s="11" t="s">
        <v>31</v>
      </c>
      <c r="L1044" s="11" t="s">
        <v>517</v>
      </c>
      <c r="M1044" s="11" t="s">
        <v>32</v>
      </c>
      <c r="N1044" s="11" t="s">
        <v>628</v>
      </c>
      <c r="O1044" s="11" t="s">
        <v>312</v>
      </c>
      <c r="P1044" s="27" t="s">
        <v>2165</v>
      </c>
      <c r="Q1044" s="27" t="s">
        <v>2165</v>
      </c>
      <c r="R1044" s="16" t="s">
        <v>2165</v>
      </c>
      <c r="S1044" s="11" t="s">
        <v>35</v>
      </c>
      <c r="T1044" s="158">
        <v>2.827</v>
      </c>
      <c r="U1044" s="11" t="s">
        <v>2891</v>
      </c>
      <c r="V1044" s="174">
        <v>7.4999999999999997E-2</v>
      </c>
      <c r="W1044" s="189">
        <v>6.3880000000000006E-2</v>
      </c>
      <c r="X1044" s="4" t="s">
        <v>602</v>
      </c>
      <c r="Y1044" s="4" t="s">
        <v>312</v>
      </c>
      <c r="Z1044" s="158">
        <v>15019.93</v>
      </c>
      <c r="AA1044" s="158">
        <v>1</v>
      </c>
      <c r="AB1044" s="158">
        <v>112.76</v>
      </c>
      <c r="AD1044" s="158">
        <v>16.936</v>
      </c>
      <c r="AG1044" s="11" t="s">
        <v>37</v>
      </c>
      <c r="AH1044" s="189">
        <v>9.0000000000000006E-5</v>
      </c>
      <c r="AI1044" s="189">
        <v>7.5589929683328905E-4</v>
      </c>
      <c r="AJ1044" s="189">
        <v>1.7418329636127399E-4</v>
      </c>
    </row>
    <row r="1045" spans="1:36">
      <c r="A1045" s="11" t="s">
        <v>256</v>
      </c>
      <c r="B1045" s="11">
        <v>7207</v>
      </c>
      <c r="C1045" s="11" t="s">
        <v>2892</v>
      </c>
      <c r="D1045" s="11" t="s">
        <v>2893</v>
      </c>
      <c r="E1045" s="4" t="s">
        <v>504</v>
      </c>
      <c r="F1045" s="11" t="s">
        <v>2894</v>
      </c>
      <c r="G1045" s="11" t="s">
        <v>2895</v>
      </c>
      <c r="H1045" s="11" t="s">
        <v>511</v>
      </c>
      <c r="I1045" s="11" t="s">
        <v>945</v>
      </c>
      <c r="J1045" s="11" t="s">
        <v>31</v>
      </c>
      <c r="K1045" s="11" t="s">
        <v>31</v>
      </c>
      <c r="L1045" s="11" t="s">
        <v>517</v>
      </c>
      <c r="M1045" s="11" t="s">
        <v>32</v>
      </c>
      <c r="N1045" s="11" t="s">
        <v>635</v>
      </c>
      <c r="O1045" s="11" t="s">
        <v>312</v>
      </c>
      <c r="P1045" s="27" t="s">
        <v>2165</v>
      </c>
      <c r="Q1045" s="27" t="s">
        <v>2165</v>
      </c>
      <c r="R1045" s="16" t="s">
        <v>2165</v>
      </c>
      <c r="S1045" s="11" t="s">
        <v>35</v>
      </c>
      <c r="T1045" s="158">
        <v>0.53</v>
      </c>
      <c r="U1045" s="11" t="s">
        <v>2896</v>
      </c>
      <c r="V1045" s="174">
        <v>4.4999999999999998E-2</v>
      </c>
      <c r="W1045" s="189">
        <v>1E-4</v>
      </c>
      <c r="X1045" s="4" t="s">
        <v>602</v>
      </c>
      <c r="Y1045" s="4" t="s">
        <v>530</v>
      </c>
      <c r="Z1045" s="158">
        <v>125639.11</v>
      </c>
      <c r="AA1045" s="158">
        <v>1</v>
      </c>
      <c r="AB1045" s="158">
        <v>12.55</v>
      </c>
      <c r="AD1045" s="158">
        <v>15.768000000000001</v>
      </c>
      <c r="AG1045" s="11" t="s">
        <v>37</v>
      </c>
      <c r="AH1045" s="189">
        <v>1.067E-3</v>
      </c>
      <c r="AI1045" s="189">
        <v>7.0373563448351297E-4</v>
      </c>
      <c r="AJ1045" s="189">
        <v>1.62163125557538E-4</v>
      </c>
    </row>
    <row r="1046" spans="1:36">
      <c r="A1046" s="11" t="s">
        <v>256</v>
      </c>
      <c r="B1046" s="11">
        <v>7207</v>
      </c>
      <c r="C1046" s="11" t="s">
        <v>2892</v>
      </c>
      <c r="D1046" s="11" t="s">
        <v>2893</v>
      </c>
      <c r="E1046" s="4" t="s">
        <v>504</v>
      </c>
      <c r="F1046" s="11" t="s">
        <v>2897</v>
      </c>
      <c r="G1046" s="11" t="s">
        <v>2898</v>
      </c>
      <c r="H1046" s="11" t="s">
        <v>511</v>
      </c>
      <c r="I1046" s="11" t="s">
        <v>945</v>
      </c>
      <c r="J1046" s="11" t="s">
        <v>31</v>
      </c>
      <c r="K1046" s="11" t="s">
        <v>31</v>
      </c>
      <c r="L1046" s="11" t="s">
        <v>517</v>
      </c>
      <c r="M1046" s="11" t="s">
        <v>32</v>
      </c>
      <c r="N1046" s="11" t="s">
        <v>635</v>
      </c>
      <c r="O1046" s="11" t="s">
        <v>312</v>
      </c>
      <c r="P1046" s="27" t="s">
        <v>2165</v>
      </c>
      <c r="Q1046" s="27" t="s">
        <v>2165</v>
      </c>
      <c r="R1046" s="16" t="s">
        <v>2165</v>
      </c>
      <c r="S1046" s="11" t="s">
        <v>35</v>
      </c>
      <c r="T1046" s="158">
        <v>2.3140000000000001</v>
      </c>
      <c r="U1046" s="11" t="s">
        <v>2896</v>
      </c>
      <c r="V1046" s="174">
        <v>5.3999999999999999E-2</v>
      </c>
      <c r="W1046" s="189">
        <v>1E-4</v>
      </c>
      <c r="X1046" s="4" t="s">
        <v>602</v>
      </c>
      <c r="Y1046" s="4" t="s">
        <v>530</v>
      </c>
      <c r="Z1046" s="158">
        <v>74169.070000000007</v>
      </c>
      <c r="AA1046" s="158">
        <v>1</v>
      </c>
      <c r="AB1046" s="158">
        <v>12.89</v>
      </c>
      <c r="AD1046" s="158">
        <v>9.56</v>
      </c>
      <c r="AG1046" s="11" t="s">
        <v>37</v>
      </c>
      <c r="AH1046" s="189">
        <v>4.2900000000000002E-4</v>
      </c>
      <c r="AI1046" s="189">
        <v>4.26694177123555E-4</v>
      </c>
      <c r="AJ1046" s="189">
        <v>9.8323941589714104E-5</v>
      </c>
    </row>
    <row r="1047" spans="1:36">
      <c r="A1047" s="11" t="s">
        <v>256</v>
      </c>
      <c r="B1047" s="11">
        <v>7207</v>
      </c>
      <c r="C1047" s="11" t="s">
        <v>1943</v>
      </c>
      <c r="D1047" s="11" t="s">
        <v>1944</v>
      </c>
      <c r="E1047" s="4" t="s">
        <v>1552</v>
      </c>
      <c r="F1047" s="11" t="s">
        <v>2899</v>
      </c>
      <c r="G1047" s="11" t="s">
        <v>2900</v>
      </c>
      <c r="H1047" s="11" t="s">
        <v>511</v>
      </c>
      <c r="I1047" s="11" t="s">
        <v>1154</v>
      </c>
      <c r="J1047" s="11" t="s">
        <v>31</v>
      </c>
      <c r="K1047" s="11" t="s">
        <v>489</v>
      </c>
      <c r="L1047" s="11" t="s">
        <v>517</v>
      </c>
      <c r="M1047" s="11" t="s">
        <v>32</v>
      </c>
      <c r="N1047" s="11" t="s">
        <v>646</v>
      </c>
      <c r="O1047" s="11" t="s">
        <v>312</v>
      </c>
      <c r="P1047" s="27" t="s">
        <v>2165</v>
      </c>
      <c r="Q1047" s="27" t="s">
        <v>2165</v>
      </c>
      <c r="R1047" s="16" t="s">
        <v>2165</v>
      </c>
      <c r="S1047" s="11" t="s">
        <v>35</v>
      </c>
      <c r="T1047" s="158">
        <v>1.4830000000000001</v>
      </c>
      <c r="U1047" s="11" t="s">
        <v>2317</v>
      </c>
      <c r="V1047" s="174">
        <v>1.9900000000000001E-2</v>
      </c>
      <c r="W1047" s="189">
        <v>5.4030000000000002E-2</v>
      </c>
      <c r="X1047" s="4" t="s">
        <v>602</v>
      </c>
      <c r="Y1047" s="4" t="s">
        <v>312</v>
      </c>
      <c r="Z1047" s="158">
        <v>1000</v>
      </c>
      <c r="AA1047" s="158">
        <v>1</v>
      </c>
      <c r="AB1047" s="158">
        <v>95.25</v>
      </c>
      <c r="AD1047" s="158">
        <v>0.95299999999999996</v>
      </c>
      <c r="AG1047" s="11" t="s">
        <v>37</v>
      </c>
      <c r="AH1047" s="189">
        <v>6.9999999999999999E-6</v>
      </c>
      <c r="AI1047" s="189">
        <v>4.2511453083704601E-5</v>
      </c>
      <c r="AJ1047" s="189">
        <v>9.7959940725549103E-6</v>
      </c>
    </row>
    <row r="1048" spans="1:36">
      <c r="A1048" s="11" t="s">
        <v>256</v>
      </c>
      <c r="B1048" s="11">
        <v>7207</v>
      </c>
      <c r="C1048" s="11" t="s">
        <v>2901</v>
      </c>
      <c r="D1048" s="11" t="s">
        <v>2902</v>
      </c>
      <c r="E1048" s="4" t="s">
        <v>1552</v>
      </c>
      <c r="F1048" s="11" t="s">
        <v>2903</v>
      </c>
      <c r="G1048" s="11" t="s">
        <v>2904</v>
      </c>
      <c r="H1048" s="11" t="s">
        <v>511</v>
      </c>
      <c r="I1048" s="11" t="s">
        <v>945</v>
      </c>
      <c r="J1048" s="11" t="s">
        <v>31</v>
      </c>
      <c r="K1048" s="11" t="s">
        <v>31</v>
      </c>
      <c r="L1048" s="11" t="s">
        <v>517</v>
      </c>
      <c r="M1048" s="11" t="s">
        <v>32</v>
      </c>
      <c r="N1048" s="11" t="s">
        <v>629</v>
      </c>
      <c r="O1048" s="11" t="s">
        <v>312</v>
      </c>
      <c r="P1048" s="27" t="s">
        <v>2165</v>
      </c>
      <c r="Q1048" s="27" t="s">
        <v>2165</v>
      </c>
      <c r="R1048" s="16" t="s">
        <v>2165</v>
      </c>
      <c r="S1048" s="11" t="s">
        <v>35</v>
      </c>
      <c r="T1048" s="158">
        <v>2.4780000000000002</v>
      </c>
      <c r="U1048" s="11" t="s">
        <v>2166</v>
      </c>
      <c r="V1048" s="174">
        <v>0.04</v>
      </c>
      <c r="W1048" s="189">
        <v>7.7929999999999999E-2</v>
      </c>
      <c r="X1048" s="4" t="s">
        <v>602</v>
      </c>
      <c r="Y1048" s="4" t="s">
        <v>312</v>
      </c>
      <c r="Z1048" s="158">
        <v>29700</v>
      </c>
      <c r="AA1048" s="158">
        <v>1</v>
      </c>
      <c r="AB1048" s="158">
        <v>101.18</v>
      </c>
      <c r="AD1048" s="158">
        <v>30.05</v>
      </c>
      <c r="AG1048" s="11" t="s">
        <v>37</v>
      </c>
      <c r="AH1048" s="189">
        <v>5.5800000000000001E-4</v>
      </c>
      <c r="AI1048" s="189">
        <v>1.34119550701705E-3</v>
      </c>
      <c r="AJ1048" s="189">
        <v>3.0905420266409299E-4</v>
      </c>
    </row>
    <row r="1049" spans="1:36">
      <c r="A1049" s="11" t="s">
        <v>256</v>
      </c>
      <c r="B1049" s="11">
        <v>7207</v>
      </c>
      <c r="C1049" s="11" t="s">
        <v>1947</v>
      </c>
      <c r="D1049" s="11" t="s">
        <v>1948</v>
      </c>
      <c r="E1049" s="4" t="s">
        <v>1552</v>
      </c>
      <c r="F1049" s="11" t="s">
        <v>2640</v>
      </c>
      <c r="G1049" s="11" t="s">
        <v>2641</v>
      </c>
      <c r="H1049" s="11" t="s">
        <v>511</v>
      </c>
      <c r="I1049" s="11" t="s">
        <v>1154</v>
      </c>
      <c r="J1049" s="11" t="s">
        <v>31</v>
      </c>
      <c r="K1049" s="11" t="s">
        <v>31</v>
      </c>
      <c r="L1049" s="11" t="s">
        <v>517</v>
      </c>
      <c r="M1049" s="11" t="s">
        <v>32</v>
      </c>
      <c r="N1049" s="11" t="s">
        <v>635</v>
      </c>
      <c r="O1049" s="11" t="s">
        <v>312</v>
      </c>
      <c r="P1049" s="11" t="s">
        <v>174</v>
      </c>
      <c r="Q1049" s="11" t="s">
        <v>604</v>
      </c>
      <c r="R1049" s="11" t="s">
        <v>596</v>
      </c>
      <c r="S1049" s="11" t="s">
        <v>35</v>
      </c>
      <c r="T1049" s="158">
        <v>4.0069999999999997</v>
      </c>
      <c r="U1049" s="11" t="s">
        <v>219</v>
      </c>
      <c r="V1049" s="174">
        <v>5.8900000000000001E-2</v>
      </c>
      <c r="W1049" s="189">
        <v>6.2829999999999997E-2</v>
      </c>
      <c r="X1049" s="4" t="s">
        <v>602</v>
      </c>
      <c r="Y1049" s="4" t="s">
        <v>312</v>
      </c>
      <c r="Z1049" s="158">
        <v>10974</v>
      </c>
      <c r="AA1049" s="158">
        <v>1</v>
      </c>
      <c r="AB1049" s="158">
        <v>98.86</v>
      </c>
      <c r="AD1049" s="158">
        <v>10.849</v>
      </c>
      <c r="AG1049" s="11" t="s">
        <v>37</v>
      </c>
      <c r="AH1049" s="189">
        <v>5.5000000000000002E-5</v>
      </c>
      <c r="AI1049" s="189">
        <v>4.8420194259167601E-4</v>
      </c>
      <c r="AJ1049" s="189">
        <v>1.1157556412405501E-4</v>
      </c>
    </row>
    <row r="1050" spans="1:36">
      <c r="A1050" s="11" t="s">
        <v>256</v>
      </c>
      <c r="B1050" s="11">
        <v>7207</v>
      </c>
      <c r="C1050" s="11" t="s">
        <v>2642</v>
      </c>
      <c r="D1050" s="11" t="s">
        <v>2643</v>
      </c>
      <c r="E1050" s="4" t="s">
        <v>1552</v>
      </c>
      <c r="F1050" s="11" t="s">
        <v>2644</v>
      </c>
      <c r="G1050" s="11" t="s">
        <v>2645</v>
      </c>
      <c r="H1050" s="11" t="s">
        <v>511</v>
      </c>
      <c r="I1050" s="11" t="s">
        <v>1154</v>
      </c>
      <c r="J1050" s="11" t="s">
        <v>31</v>
      </c>
      <c r="K1050" s="11" t="s">
        <v>31</v>
      </c>
      <c r="L1050" s="11" t="s">
        <v>517</v>
      </c>
      <c r="M1050" s="11" t="s">
        <v>32</v>
      </c>
      <c r="N1050" s="11" t="s">
        <v>653</v>
      </c>
      <c r="O1050" s="11" t="s">
        <v>312</v>
      </c>
      <c r="P1050" s="11" t="s">
        <v>174</v>
      </c>
      <c r="Q1050" s="11" t="s">
        <v>604</v>
      </c>
      <c r="R1050" s="11" t="s">
        <v>596</v>
      </c>
      <c r="S1050" s="11" t="s">
        <v>35</v>
      </c>
      <c r="T1050" s="158">
        <v>1.629</v>
      </c>
      <c r="U1050" s="11" t="s">
        <v>2198</v>
      </c>
      <c r="V1050" s="174">
        <v>4.99E-2</v>
      </c>
      <c r="W1050" s="189">
        <v>5.1920000000000001E-2</v>
      </c>
      <c r="X1050" s="4" t="s">
        <v>602</v>
      </c>
      <c r="Y1050" s="4" t="s">
        <v>312</v>
      </c>
      <c r="Z1050" s="158">
        <v>32419.46</v>
      </c>
      <c r="AA1050" s="158">
        <v>1</v>
      </c>
      <c r="AB1050" s="158">
        <v>101.04</v>
      </c>
      <c r="AD1050" s="158">
        <v>32.756999999999998</v>
      </c>
      <c r="AG1050" s="11" t="s">
        <v>37</v>
      </c>
      <c r="AH1050" s="189">
        <v>1.03E-4</v>
      </c>
      <c r="AI1050" s="189">
        <v>1.46197544950976E-3</v>
      </c>
      <c r="AJ1050" s="189">
        <v>3.36885751927122E-4</v>
      </c>
    </row>
    <row r="1051" spans="1:36">
      <c r="A1051" s="11" t="s">
        <v>256</v>
      </c>
      <c r="B1051" s="11">
        <v>7207</v>
      </c>
      <c r="C1051" s="11" t="s">
        <v>2646</v>
      </c>
      <c r="D1051" s="11" t="s">
        <v>2647</v>
      </c>
      <c r="E1051" s="4" t="s">
        <v>1552</v>
      </c>
      <c r="F1051" s="11" t="s">
        <v>2648</v>
      </c>
      <c r="G1051" s="11" t="s">
        <v>2649</v>
      </c>
      <c r="H1051" s="11" t="s">
        <v>511</v>
      </c>
      <c r="I1051" s="11" t="s">
        <v>1154</v>
      </c>
      <c r="J1051" s="11" t="s">
        <v>31</v>
      </c>
      <c r="K1051" s="11" t="s">
        <v>31</v>
      </c>
      <c r="L1051" s="11" t="s">
        <v>517</v>
      </c>
      <c r="M1051" s="11" t="s">
        <v>32</v>
      </c>
      <c r="N1051" s="11" t="s">
        <v>649</v>
      </c>
      <c r="O1051" s="11" t="s">
        <v>312</v>
      </c>
      <c r="P1051" s="11" t="s">
        <v>174</v>
      </c>
      <c r="Q1051" s="11" t="s">
        <v>604</v>
      </c>
      <c r="R1051" s="11" t="s">
        <v>596</v>
      </c>
      <c r="S1051" s="11" t="s">
        <v>35</v>
      </c>
      <c r="T1051" s="158">
        <v>1.456</v>
      </c>
      <c r="U1051" s="11" t="s">
        <v>2333</v>
      </c>
      <c r="V1051" s="174">
        <v>3.2500000000000001E-2</v>
      </c>
      <c r="W1051" s="189">
        <v>5.3999999999999999E-2</v>
      </c>
      <c r="X1051" s="4" t="s">
        <v>602</v>
      </c>
      <c r="Y1051" s="4" t="s">
        <v>312</v>
      </c>
      <c r="Z1051" s="158">
        <v>25007.32</v>
      </c>
      <c r="AA1051" s="158">
        <v>1</v>
      </c>
      <c r="AB1051" s="158">
        <v>97.08</v>
      </c>
      <c r="AD1051" s="158">
        <v>24.277000000000001</v>
      </c>
      <c r="AG1051" s="11" t="s">
        <v>37</v>
      </c>
      <c r="AH1051" s="189">
        <v>7.8999999999999996E-5</v>
      </c>
      <c r="AI1051" s="189">
        <v>1.0835223764935E-3</v>
      </c>
      <c r="AJ1051" s="189">
        <v>2.4967809866935597E-4</v>
      </c>
    </row>
    <row r="1052" spans="1:36">
      <c r="A1052" s="11" t="s">
        <v>256</v>
      </c>
      <c r="B1052" s="11">
        <v>7207</v>
      </c>
      <c r="C1052" s="11" t="s">
        <v>2837</v>
      </c>
      <c r="D1052" s="11" t="s">
        <v>2838</v>
      </c>
      <c r="E1052" s="4" t="s">
        <v>1552</v>
      </c>
      <c r="F1052" s="11" t="s">
        <v>2905</v>
      </c>
      <c r="G1052" s="11" t="s">
        <v>2906</v>
      </c>
      <c r="H1052" s="11" t="s">
        <v>511</v>
      </c>
      <c r="I1052" s="11" t="s">
        <v>945</v>
      </c>
      <c r="J1052" s="11" t="s">
        <v>31</v>
      </c>
      <c r="K1052" s="11" t="s">
        <v>31</v>
      </c>
      <c r="L1052" s="11" t="s">
        <v>517</v>
      </c>
      <c r="M1052" s="11" t="s">
        <v>32</v>
      </c>
      <c r="N1052" s="11" t="s">
        <v>635</v>
      </c>
      <c r="O1052" s="11" t="s">
        <v>312</v>
      </c>
      <c r="P1052" s="27" t="s">
        <v>2165</v>
      </c>
      <c r="Q1052" s="27" t="s">
        <v>2165</v>
      </c>
      <c r="R1052" s="16" t="s">
        <v>2165</v>
      </c>
      <c r="S1052" s="11" t="s">
        <v>35</v>
      </c>
      <c r="T1052" s="158">
        <v>3.4409999999999998</v>
      </c>
      <c r="U1052" s="11" t="s">
        <v>2665</v>
      </c>
      <c r="V1052" s="174">
        <v>3.7900000000000003E-2</v>
      </c>
      <c r="W1052" s="189">
        <v>3.0700000000000002E-2</v>
      </c>
      <c r="X1052" s="4" t="s">
        <v>602</v>
      </c>
      <c r="Y1052" s="4" t="s">
        <v>312</v>
      </c>
      <c r="Z1052" s="158">
        <v>19000</v>
      </c>
      <c r="AA1052" s="158">
        <v>1</v>
      </c>
      <c r="AB1052" s="158">
        <v>109.7</v>
      </c>
      <c r="AD1052" s="158">
        <v>20.843</v>
      </c>
      <c r="AG1052" s="11" t="s">
        <v>37</v>
      </c>
      <c r="AH1052" s="189">
        <v>1.4799999999999999E-4</v>
      </c>
      <c r="AI1052" s="189">
        <v>9.3025324579911199E-4</v>
      </c>
      <c r="AJ1052" s="189">
        <v>2.14360004676391E-4</v>
      </c>
    </row>
    <row r="1053" spans="1:36">
      <c r="A1053" s="11" t="s">
        <v>256</v>
      </c>
      <c r="B1053" s="11">
        <v>7207</v>
      </c>
      <c r="C1053" s="11" t="s">
        <v>2650</v>
      </c>
      <c r="D1053" s="11" t="s">
        <v>2651</v>
      </c>
      <c r="E1053" s="4" t="s">
        <v>1552</v>
      </c>
      <c r="F1053" s="11" t="s">
        <v>2652</v>
      </c>
      <c r="G1053" s="11" t="s">
        <v>2653</v>
      </c>
      <c r="H1053" s="11" t="s">
        <v>511</v>
      </c>
      <c r="I1053" s="11" t="s">
        <v>1154</v>
      </c>
      <c r="J1053" s="11" t="s">
        <v>31</v>
      </c>
      <c r="K1053" s="18" t="s">
        <v>31</v>
      </c>
      <c r="L1053" s="11" t="s">
        <v>517</v>
      </c>
      <c r="M1053" s="11" t="s">
        <v>342</v>
      </c>
      <c r="N1053" s="11" t="s">
        <v>635</v>
      </c>
      <c r="O1053" s="11" t="s">
        <v>312</v>
      </c>
      <c r="P1053" s="11" t="s">
        <v>2221</v>
      </c>
      <c r="Q1053" s="11" t="s">
        <v>604</v>
      </c>
      <c r="R1053" s="11" t="s">
        <v>596</v>
      </c>
      <c r="S1053" s="11" t="s">
        <v>35</v>
      </c>
      <c r="T1053" s="158">
        <v>0.98399999999999999</v>
      </c>
      <c r="U1053" s="11" t="s">
        <v>2188</v>
      </c>
      <c r="V1053" s="174">
        <v>4.3999999999999997E-2</v>
      </c>
      <c r="W1053" s="189">
        <v>6.0580000000000002E-2</v>
      </c>
      <c r="X1053" s="4" t="s">
        <v>602</v>
      </c>
      <c r="Y1053" s="4" t="s">
        <v>312</v>
      </c>
      <c r="Z1053" s="158">
        <v>12000</v>
      </c>
      <c r="AA1053" s="158">
        <v>1</v>
      </c>
      <c r="AB1053" s="158">
        <v>98.53</v>
      </c>
      <c r="AD1053" s="158">
        <v>11.824</v>
      </c>
      <c r="AG1053" s="11" t="s">
        <v>37</v>
      </c>
      <c r="AH1053" s="189">
        <v>9.1000000000000003E-5</v>
      </c>
      <c r="AI1053" s="189">
        <v>5.2770437446770504E-4</v>
      </c>
      <c r="AJ1053" s="189">
        <v>1.2159991130315999E-4</v>
      </c>
    </row>
    <row r="1054" spans="1:36">
      <c r="A1054" s="11" t="s">
        <v>256</v>
      </c>
      <c r="B1054" s="11">
        <v>7207</v>
      </c>
      <c r="C1054" s="11" t="s">
        <v>2654</v>
      </c>
      <c r="D1054" s="11" t="s">
        <v>2655</v>
      </c>
      <c r="E1054" s="4" t="s">
        <v>1552</v>
      </c>
      <c r="F1054" s="11" t="s">
        <v>2656</v>
      </c>
      <c r="G1054" s="11" t="s">
        <v>2657</v>
      </c>
      <c r="H1054" s="11" t="s">
        <v>511</v>
      </c>
      <c r="I1054" s="11" t="s">
        <v>1154</v>
      </c>
      <c r="J1054" s="11" t="s">
        <v>31</v>
      </c>
      <c r="K1054" s="11" t="s">
        <v>31</v>
      </c>
      <c r="L1054" s="11" t="s">
        <v>517</v>
      </c>
      <c r="M1054" s="11" t="s">
        <v>32</v>
      </c>
      <c r="N1054" s="11" t="s">
        <v>635</v>
      </c>
      <c r="O1054" s="11" t="s">
        <v>312</v>
      </c>
      <c r="P1054" s="11" t="s">
        <v>2327</v>
      </c>
      <c r="Q1054" s="11" t="s">
        <v>358</v>
      </c>
      <c r="R1054" s="11" t="s">
        <v>596</v>
      </c>
      <c r="S1054" s="11" t="s">
        <v>35</v>
      </c>
      <c r="T1054" s="158">
        <v>0.98</v>
      </c>
      <c r="U1054" s="11" t="s">
        <v>2317</v>
      </c>
      <c r="V1054" s="174">
        <v>4.9500000000000002E-2</v>
      </c>
      <c r="W1054" s="189">
        <v>5.5849999999999997E-2</v>
      </c>
      <c r="X1054" s="4" t="s">
        <v>602</v>
      </c>
      <c r="Y1054" s="4" t="s">
        <v>312</v>
      </c>
      <c r="Z1054" s="158">
        <v>19800</v>
      </c>
      <c r="AA1054" s="158">
        <v>1</v>
      </c>
      <c r="AB1054" s="158">
        <v>99.24</v>
      </c>
      <c r="AD1054" s="158">
        <v>19.649999999999999</v>
      </c>
      <c r="AG1054" s="11" t="s">
        <v>37</v>
      </c>
      <c r="AH1054" s="189">
        <v>2.2499999999999999E-4</v>
      </c>
      <c r="AI1054" s="189">
        <v>8.7698650666384701E-4</v>
      </c>
      <c r="AJ1054" s="189">
        <v>2.0208564981475001E-4</v>
      </c>
    </row>
    <row r="1055" spans="1:36">
      <c r="A1055" s="11" t="s">
        <v>256</v>
      </c>
      <c r="B1055" s="11">
        <v>7207</v>
      </c>
      <c r="C1055" s="11" t="s">
        <v>2658</v>
      </c>
      <c r="D1055" s="11" t="s">
        <v>2659</v>
      </c>
      <c r="E1055" s="4" t="s">
        <v>1552</v>
      </c>
      <c r="F1055" s="11" t="s">
        <v>2660</v>
      </c>
      <c r="G1055" s="11" t="s">
        <v>2661</v>
      </c>
      <c r="H1055" s="11" t="s">
        <v>511</v>
      </c>
      <c r="I1055" s="11" t="s">
        <v>1154</v>
      </c>
      <c r="J1055" s="11" t="s">
        <v>31</v>
      </c>
      <c r="K1055" s="11" t="s">
        <v>31</v>
      </c>
      <c r="L1055" s="11" t="s">
        <v>517</v>
      </c>
      <c r="M1055" s="11" t="s">
        <v>32</v>
      </c>
      <c r="N1055" s="11" t="s">
        <v>650</v>
      </c>
      <c r="O1055" s="11" t="s">
        <v>312</v>
      </c>
      <c r="P1055" s="11" t="s">
        <v>2394</v>
      </c>
      <c r="Q1055" s="11" t="s">
        <v>358</v>
      </c>
      <c r="R1055" s="11" t="s">
        <v>596</v>
      </c>
      <c r="S1055" s="11" t="s">
        <v>35</v>
      </c>
      <c r="T1055" s="158">
        <v>1.133</v>
      </c>
      <c r="U1055" s="11" t="s">
        <v>2662</v>
      </c>
      <c r="V1055" s="174">
        <v>2.75E-2</v>
      </c>
      <c r="W1055" s="189">
        <v>5.092E-2</v>
      </c>
      <c r="X1055" s="4" t="s">
        <v>602</v>
      </c>
      <c r="Y1055" s="4" t="s">
        <v>312</v>
      </c>
      <c r="Z1055" s="158">
        <v>25049.4</v>
      </c>
      <c r="AA1055" s="158">
        <v>1</v>
      </c>
      <c r="AB1055" s="158">
        <v>98.38</v>
      </c>
      <c r="AD1055" s="158">
        <v>24.643999999999998</v>
      </c>
      <c r="AG1055" s="11" t="s">
        <v>37</v>
      </c>
      <c r="AH1055" s="189">
        <v>1.11E-4</v>
      </c>
      <c r="AI1055" s="189">
        <v>1.0998795100371399E-3</v>
      </c>
      <c r="AJ1055" s="189">
        <v>2.5344730370974899E-4</v>
      </c>
    </row>
    <row r="1056" spans="1:36">
      <c r="A1056" s="11" t="s">
        <v>256</v>
      </c>
      <c r="B1056" s="11">
        <v>7207</v>
      </c>
      <c r="C1056" s="11" t="s">
        <v>2658</v>
      </c>
      <c r="D1056" s="11" t="s">
        <v>2659</v>
      </c>
      <c r="E1056" s="4" t="s">
        <v>1552</v>
      </c>
      <c r="F1056" s="11" t="s">
        <v>2663</v>
      </c>
      <c r="G1056" s="11" t="s">
        <v>2664</v>
      </c>
      <c r="H1056" s="11" t="s">
        <v>511</v>
      </c>
      <c r="I1056" s="11" t="s">
        <v>1154</v>
      </c>
      <c r="J1056" s="11" t="s">
        <v>31</v>
      </c>
      <c r="K1056" s="11" t="s">
        <v>31</v>
      </c>
      <c r="L1056" s="11" t="s">
        <v>517</v>
      </c>
      <c r="M1056" s="11" t="s">
        <v>32</v>
      </c>
      <c r="N1056" s="11" t="s">
        <v>650</v>
      </c>
      <c r="O1056" s="11" t="s">
        <v>312</v>
      </c>
      <c r="P1056" s="11" t="s">
        <v>2394</v>
      </c>
      <c r="Q1056" s="11" t="s">
        <v>358</v>
      </c>
      <c r="R1056" s="11" t="s">
        <v>596</v>
      </c>
      <c r="S1056" s="11" t="s">
        <v>35</v>
      </c>
      <c r="T1056" s="158">
        <v>2.1419999999999999</v>
      </c>
      <c r="U1056" s="11" t="s">
        <v>2665</v>
      </c>
      <c r="V1056" s="174">
        <v>2.1499999999999998E-2</v>
      </c>
      <c r="W1056" s="189">
        <v>5.5379999999999999E-2</v>
      </c>
      <c r="X1056" s="4" t="s">
        <v>602</v>
      </c>
      <c r="Y1056" s="4" t="s">
        <v>312</v>
      </c>
      <c r="Z1056" s="158">
        <v>85009.09</v>
      </c>
      <c r="AA1056" s="158">
        <v>1</v>
      </c>
      <c r="AB1056" s="158">
        <v>93.09</v>
      </c>
      <c r="AC1056" s="158">
        <v>5.4749999999999996</v>
      </c>
      <c r="AD1056" s="158">
        <v>84.61</v>
      </c>
      <c r="AG1056" s="11" t="s">
        <v>37</v>
      </c>
      <c r="AH1056" s="189">
        <v>8.7000000000000001E-5</v>
      </c>
      <c r="AI1056" s="189">
        <v>3.7762859898174401E-3</v>
      </c>
      <c r="AJ1056" s="189">
        <v>8.7017668155652201E-4</v>
      </c>
    </row>
    <row r="1057" spans="1:36">
      <c r="A1057" s="11" t="s">
        <v>256</v>
      </c>
      <c r="B1057" s="11">
        <v>7207</v>
      </c>
      <c r="C1057" s="11" t="s">
        <v>2666</v>
      </c>
      <c r="D1057" s="11" t="s">
        <v>2667</v>
      </c>
      <c r="E1057" s="4" t="s">
        <v>1552</v>
      </c>
      <c r="F1057" s="11" t="s">
        <v>2668</v>
      </c>
      <c r="G1057" s="11" t="s">
        <v>2669</v>
      </c>
      <c r="H1057" s="11" t="s">
        <v>511</v>
      </c>
      <c r="I1057" s="11" t="s">
        <v>945</v>
      </c>
      <c r="J1057" s="11" t="s">
        <v>31</v>
      </c>
      <c r="K1057" s="11" t="s">
        <v>31</v>
      </c>
      <c r="L1057" s="11" t="s">
        <v>517</v>
      </c>
      <c r="M1057" s="11" t="s">
        <v>32</v>
      </c>
      <c r="N1057" s="11" t="s">
        <v>652</v>
      </c>
      <c r="O1057" s="11" t="s">
        <v>312</v>
      </c>
      <c r="P1057" s="11" t="s">
        <v>2169</v>
      </c>
      <c r="Q1057" s="11" t="s">
        <v>604</v>
      </c>
      <c r="R1057" s="11" t="s">
        <v>596</v>
      </c>
      <c r="S1057" s="11" t="s">
        <v>35</v>
      </c>
      <c r="T1057" s="158">
        <v>1.4059999999999999</v>
      </c>
      <c r="U1057" s="11" t="s">
        <v>2670</v>
      </c>
      <c r="V1057" s="174">
        <v>1.6E-2</v>
      </c>
      <c r="W1057" s="189">
        <v>2.6790000000000001E-2</v>
      </c>
      <c r="X1057" s="4" t="s">
        <v>602</v>
      </c>
      <c r="Y1057" s="4" t="s">
        <v>312</v>
      </c>
      <c r="Z1057" s="158">
        <v>212000.89</v>
      </c>
      <c r="AA1057" s="158">
        <v>1</v>
      </c>
      <c r="AB1057" s="158">
        <v>113.63</v>
      </c>
      <c r="AD1057" s="158">
        <v>240.89699999999999</v>
      </c>
      <c r="AG1057" s="11" t="s">
        <v>37</v>
      </c>
      <c r="AH1057" s="189">
        <v>5.4699999999999996E-4</v>
      </c>
      <c r="AI1057" s="189">
        <v>1.07515642935443E-2</v>
      </c>
      <c r="AJ1057" s="189">
        <v>2.4775031773878599E-3</v>
      </c>
    </row>
    <row r="1058" spans="1:36">
      <c r="A1058" s="11" t="s">
        <v>256</v>
      </c>
      <c r="B1058" s="11">
        <v>7207</v>
      </c>
      <c r="C1058" s="11" t="s">
        <v>2666</v>
      </c>
      <c r="D1058" s="11" t="s">
        <v>2667</v>
      </c>
      <c r="E1058" s="4" t="s">
        <v>1552</v>
      </c>
      <c r="F1058" s="11" t="s">
        <v>2671</v>
      </c>
      <c r="G1058" s="11" t="s">
        <v>2672</v>
      </c>
      <c r="H1058" s="11" t="s">
        <v>511</v>
      </c>
      <c r="I1058" s="11" t="s">
        <v>945</v>
      </c>
      <c r="J1058" s="11" t="s">
        <v>31</v>
      </c>
      <c r="K1058" s="11" t="s">
        <v>31</v>
      </c>
      <c r="L1058" s="11" t="s">
        <v>517</v>
      </c>
      <c r="M1058" s="11" t="s">
        <v>32</v>
      </c>
      <c r="N1058" s="11" t="s">
        <v>652</v>
      </c>
      <c r="O1058" s="11" t="s">
        <v>312</v>
      </c>
      <c r="P1058" s="11" t="s">
        <v>2169</v>
      </c>
      <c r="Q1058" s="11" t="s">
        <v>358</v>
      </c>
      <c r="R1058" s="11" t="s">
        <v>596</v>
      </c>
      <c r="S1058" s="11" t="s">
        <v>35</v>
      </c>
      <c r="T1058" s="158">
        <v>2.484</v>
      </c>
      <c r="U1058" s="11" t="s">
        <v>134</v>
      </c>
      <c r="V1058" s="174">
        <v>1.4200000000000001E-2</v>
      </c>
      <c r="W1058" s="189">
        <v>2.5100000000000001E-2</v>
      </c>
      <c r="X1058" s="4" t="s">
        <v>602</v>
      </c>
      <c r="Y1058" s="4" t="s">
        <v>312</v>
      </c>
      <c r="Z1058" s="158">
        <v>140475.85</v>
      </c>
      <c r="AA1058" s="158">
        <v>1</v>
      </c>
      <c r="AB1058" s="158">
        <v>110.8</v>
      </c>
      <c r="AD1058" s="158">
        <v>155.64699999999999</v>
      </c>
      <c r="AG1058" s="11" t="s">
        <v>37</v>
      </c>
      <c r="AH1058" s="189">
        <v>1.1900000000000001E-4</v>
      </c>
      <c r="AI1058" s="189">
        <v>6.9467615930590204E-3</v>
      </c>
      <c r="AJ1058" s="189">
        <v>1.60075533656937E-3</v>
      </c>
    </row>
    <row r="1059" spans="1:36">
      <c r="A1059" s="11" t="s">
        <v>256</v>
      </c>
      <c r="B1059" s="11">
        <v>7207</v>
      </c>
      <c r="C1059" s="11" t="s">
        <v>2673</v>
      </c>
      <c r="D1059" s="11" t="s">
        <v>2674</v>
      </c>
      <c r="E1059" s="4" t="s">
        <v>1552</v>
      </c>
      <c r="F1059" s="11" t="s">
        <v>2675</v>
      </c>
      <c r="G1059" s="11" t="s">
        <v>2676</v>
      </c>
      <c r="H1059" s="11" t="s">
        <v>511</v>
      </c>
      <c r="I1059" s="11" t="s">
        <v>1154</v>
      </c>
      <c r="J1059" s="11" t="s">
        <v>31</v>
      </c>
      <c r="K1059" s="11" t="s">
        <v>31</v>
      </c>
      <c r="L1059" s="11" t="s">
        <v>517</v>
      </c>
      <c r="M1059" s="11" t="s">
        <v>32</v>
      </c>
      <c r="N1059" s="11" t="s">
        <v>635</v>
      </c>
      <c r="O1059" s="11" t="s">
        <v>312</v>
      </c>
      <c r="P1059" s="11" t="s">
        <v>2206</v>
      </c>
      <c r="Q1059" s="11" t="s">
        <v>604</v>
      </c>
      <c r="R1059" s="11" t="s">
        <v>596</v>
      </c>
      <c r="S1059" s="11" t="s">
        <v>35</v>
      </c>
      <c r="T1059" s="158">
        <v>0.51100000000000001</v>
      </c>
      <c r="U1059" s="11" t="s">
        <v>2677</v>
      </c>
      <c r="V1059" s="174">
        <v>4.3499999999999997E-2</v>
      </c>
      <c r="W1059" s="189">
        <v>7.0150000000000004E-2</v>
      </c>
      <c r="X1059" s="4" t="s">
        <v>602</v>
      </c>
      <c r="Y1059" s="4" t="s">
        <v>312</v>
      </c>
      <c r="Z1059" s="158">
        <v>13333.33</v>
      </c>
      <c r="AA1059" s="158">
        <v>1</v>
      </c>
      <c r="AB1059" s="158">
        <v>100.74</v>
      </c>
      <c r="AD1059" s="158">
        <v>13.432</v>
      </c>
      <c r="AG1059" s="11" t="s">
        <v>37</v>
      </c>
      <c r="AH1059" s="189">
        <v>2.7799999999999998E-4</v>
      </c>
      <c r="AI1059" s="189">
        <v>5.9948944363974802E-4</v>
      </c>
      <c r="AJ1059" s="189">
        <v>1.3814147977701799E-4</v>
      </c>
    </row>
    <row r="1060" spans="1:36">
      <c r="A1060" s="11" t="s">
        <v>256</v>
      </c>
      <c r="B1060" s="11">
        <v>7207</v>
      </c>
      <c r="C1060" s="11" t="s">
        <v>2678</v>
      </c>
      <c r="D1060" s="11" t="s">
        <v>2679</v>
      </c>
      <c r="E1060" s="4" t="s">
        <v>1552</v>
      </c>
      <c r="F1060" s="11" t="s">
        <v>2680</v>
      </c>
      <c r="G1060" s="11" t="s">
        <v>2681</v>
      </c>
      <c r="H1060" s="11" t="s">
        <v>511</v>
      </c>
      <c r="I1060" s="11" t="s">
        <v>945</v>
      </c>
      <c r="J1060" s="11" t="s">
        <v>31</v>
      </c>
      <c r="K1060" s="11" t="s">
        <v>31</v>
      </c>
      <c r="L1060" s="11" t="s">
        <v>517</v>
      </c>
      <c r="M1060" s="11" t="s">
        <v>32</v>
      </c>
      <c r="N1060" s="11" t="s">
        <v>652</v>
      </c>
      <c r="O1060" s="11" t="s">
        <v>312</v>
      </c>
      <c r="P1060" s="11" t="s">
        <v>2169</v>
      </c>
      <c r="Q1060" s="11" t="s">
        <v>358</v>
      </c>
      <c r="R1060" s="11" t="s">
        <v>596</v>
      </c>
      <c r="S1060" s="11" t="s">
        <v>35</v>
      </c>
      <c r="T1060" s="158">
        <v>0.219</v>
      </c>
      <c r="U1060" s="11" t="s">
        <v>2682</v>
      </c>
      <c r="V1060" s="174">
        <v>0.04</v>
      </c>
      <c r="W1060" s="189">
        <v>2.223E-2</v>
      </c>
      <c r="X1060" s="4" t="s">
        <v>602</v>
      </c>
      <c r="Y1060" s="4" t="s">
        <v>312</v>
      </c>
      <c r="Z1060" s="158">
        <v>33000.35</v>
      </c>
      <c r="AA1060" s="158">
        <v>1</v>
      </c>
      <c r="AB1060" s="158">
        <v>115.01</v>
      </c>
      <c r="AD1060" s="158">
        <v>37.954000000000001</v>
      </c>
      <c r="AG1060" s="11" t="s">
        <v>37</v>
      </c>
      <c r="AH1060" s="189">
        <v>4.0499999999999998E-4</v>
      </c>
      <c r="AI1060" s="189">
        <v>1.69392865582103E-3</v>
      </c>
      <c r="AJ1060" s="189">
        <v>3.9033516542191299E-4</v>
      </c>
    </row>
    <row r="1061" spans="1:36">
      <c r="A1061" s="11" t="s">
        <v>256</v>
      </c>
      <c r="B1061" s="11">
        <v>7207</v>
      </c>
      <c r="C1061" s="11" t="s">
        <v>2678</v>
      </c>
      <c r="D1061" s="11" t="s">
        <v>2679</v>
      </c>
      <c r="E1061" s="4" t="s">
        <v>1552</v>
      </c>
      <c r="F1061" s="11" t="s">
        <v>2683</v>
      </c>
      <c r="G1061" s="11" t="s">
        <v>2684</v>
      </c>
      <c r="H1061" s="11" t="s">
        <v>511</v>
      </c>
      <c r="I1061" s="11" t="s">
        <v>945</v>
      </c>
      <c r="J1061" s="11" t="s">
        <v>31</v>
      </c>
      <c r="K1061" s="11" t="s">
        <v>31</v>
      </c>
      <c r="L1061" s="11" t="s">
        <v>517</v>
      </c>
      <c r="M1061" s="11" t="s">
        <v>32</v>
      </c>
      <c r="N1061" s="11" t="s">
        <v>652</v>
      </c>
      <c r="O1061" s="11" t="s">
        <v>312</v>
      </c>
      <c r="P1061" s="11" t="s">
        <v>2169</v>
      </c>
      <c r="Q1061" s="11" t="s">
        <v>358</v>
      </c>
      <c r="R1061" s="11" t="s">
        <v>596</v>
      </c>
      <c r="S1061" s="11" t="s">
        <v>35</v>
      </c>
      <c r="T1061" s="158">
        <v>3.621</v>
      </c>
      <c r="U1061" s="11" t="s">
        <v>2685</v>
      </c>
      <c r="V1061" s="174">
        <v>3.5000000000000003E-2</v>
      </c>
      <c r="W1061" s="189">
        <v>3.109E-2</v>
      </c>
      <c r="X1061" s="4" t="s">
        <v>602</v>
      </c>
      <c r="Y1061" s="4" t="s">
        <v>312</v>
      </c>
      <c r="Z1061" s="158">
        <v>225000.8</v>
      </c>
      <c r="AA1061" s="158">
        <v>1</v>
      </c>
      <c r="AB1061" s="158">
        <v>118.06</v>
      </c>
      <c r="AD1061" s="158">
        <v>265.63600000000002</v>
      </c>
      <c r="AG1061" s="11" t="s">
        <v>37</v>
      </c>
      <c r="AH1061" s="189">
        <v>2.5799999999999998E-4</v>
      </c>
      <c r="AI1061" s="189">
        <v>1.18557165260967E-2</v>
      </c>
      <c r="AJ1061" s="189">
        <v>2.7319350525812098E-3</v>
      </c>
    </row>
    <row r="1062" spans="1:36">
      <c r="A1062" s="11" t="s">
        <v>256</v>
      </c>
      <c r="B1062" s="11">
        <v>7207</v>
      </c>
      <c r="C1062" s="11" t="s">
        <v>2678</v>
      </c>
      <c r="D1062" s="11" t="s">
        <v>2679</v>
      </c>
      <c r="E1062" s="4" t="s">
        <v>1552</v>
      </c>
      <c r="F1062" s="11" t="s">
        <v>2686</v>
      </c>
      <c r="G1062" s="11" t="s">
        <v>2687</v>
      </c>
      <c r="H1062" s="11" t="s">
        <v>511</v>
      </c>
      <c r="I1062" s="11" t="s">
        <v>945</v>
      </c>
      <c r="J1062" s="11" t="s">
        <v>31</v>
      </c>
      <c r="K1062" s="11" t="s">
        <v>31</v>
      </c>
      <c r="L1062" s="11" t="s">
        <v>517</v>
      </c>
      <c r="M1062" s="11" t="s">
        <v>32</v>
      </c>
      <c r="N1062" s="11" t="s">
        <v>652</v>
      </c>
      <c r="O1062" s="11" t="s">
        <v>312</v>
      </c>
      <c r="P1062" s="11" t="s">
        <v>2169</v>
      </c>
      <c r="Q1062" s="11" t="s">
        <v>358</v>
      </c>
      <c r="R1062" s="11" t="s">
        <v>596</v>
      </c>
      <c r="S1062" s="11" t="s">
        <v>35</v>
      </c>
      <c r="T1062" s="158">
        <v>2.2850000000000001</v>
      </c>
      <c r="U1062" s="11" t="s">
        <v>2688</v>
      </c>
      <c r="V1062" s="174">
        <v>0.04</v>
      </c>
      <c r="W1062" s="189">
        <v>2.7150000000000001E-2</v>
      </c>
      <c r="X1062" s="4" t="s">
        <v>602</v>
      </c>
      <c r="Y1062" s="4" t="s">
        <v>312</v>
      </c>
      <c r="Z1062" s="158">
        <v>184723.17</v>
      </c>
      <c r="AA1062" s="158">
        <v>1</v>
      </c>
      <c r="AB1062" s="158">
        <v>118.66</v>
      </c>
      <c r="AD1062" s="158">
        <v>219.19300000000001</v>
      </c>
      <c r="AG1062" s="11" t="s">
        <v>37</v>
      </c>
      <c r="AH1062" s="189">
        <v>1.8599999999999999E-4</v>
      </c>
      <c r="AI1062" s="189">
        <v>9.7828790077583005E-3</v>
      </c>
      <c r="AJ1062" s="189">
        <v>2.25428720546974E-3</v>
      </c>
    </row>
    <row r="1063" spans="1:36">
      <c r="A1063" s="11" t="s">
        <v>256</v>
      </c>
      <c r="B1063" s="11">
        <v>7207</v>
      </c>
      <c r="C1063" s="11" t="s">
        <v>2689</v>
      </c>
      <c r="D1063" s="11" t="s">
        <v>2690</v>
      </c>
      <c r="E1063" s="4" t="s">
        <v>1552</v>
      </c>
      <c r="F1063" s="11" t="s">
        <v>2691</v>
      </c>
      <c r="G1063" s="11" t="s">
        <v>2692</v>
      </c>
      <c r="H1063" s="11" t="s">
        <v>511</v>
      </c>
      <c r="I1063" s="11" t="s">
        <v>945</v>
      </c>
      <c r="J1063" s="11" t="s">
        <v>31</v>
      </c>
      <c r="K1063" s="11" t="s">
        <v>31</v>
      </c>
      <c r="L1063" s="11" t="s">
        <v>517</v>
      </c>
      <c r="M1063" s="11" t="s">
        <v>32</v>
      </c>
      <c r="N1063" s="11" t="s">
        <v>652</v>
      </c>
      <c r="O1063" s="11" t="s">
        <v>312</v>
      </c>
      <c r="P1063" s="27" t="s">
        <v>2165</v>
      </c>
      <c r="Q1063" s="27" t="s">
        <v>2165</v>
      </c>
      <c r="R1063" s="16" t="s">
        <v>2165</v>
      </c>
      <c r="S1063" s="11" t="s">
        <v>35</v>
      </c>
      <c r="T1063" s="158">
        <v>5.508</v>
      </c>
      <c r="U1063" s="11" t="s">
        <v>2193</v>
      </c>
      <c r="V1063" s="174">
        <v>6.4000000000000003E-3</v>
      </c>
      <c r="W1063" s="189">
        <v>3.8469999999999997E-2</v>
      </c>
      <c r="X1063" s="4" t="s">
        <v>602</v>
      </c>
      <c r="Y1063" s="4" t="s">
        <v>312</v>
      </c>
      <c r="Z1063" s="158">
        <v>76744.59</v>
      </c>
      <c r="AA1063" s="158">
        <v>1</v>
      </c>
      <c r="AB1063" s="158">
        <v>94.5</v>
      </c>
      <c r="AD1063" s="158">
        <v>72.524000000000001</v>
      </c>
      <c r="AG1063" s="11" t="s">
        <v>37</v>
      </c>
      <c r="AH1063" s="189">
        <v>2.9599999999999998E-4</v>
      </c>
      <c r="AI1063" s="189">
        <v>3.2368348715658001E-3</v>
      </c>
      <c r="AJ1063" s="189">
        <v>7.4586994599466696E-4</v>
      </c>
    </row>
    <row r="1064" spans="1:36">
      <c r="A1064" s="11" t="s">
        <v>256</v>
      </c>
      <c r="B1064" s="11">
        <v>7207</v>
      </c>
      <c r="C1064" s="11" t="s">
        <v>2693</v>
      </c>
      <c r="D1064" s="11" t="s">
        <v>2694</v>
      </c>
      <c r="E1064" s="4" t="s">
        <v>1552</v>
      </c>
      <c r="F1064" s="11" t="s">
        <v>2695</v>
      </c>
      <c r="G1064" s="11" t="s">
        <v>2696</v>
      </c>
      <c r="H1064" s="11" t="s">
        <v>511</v>
      </c>
      <c r="I1064" s="11" t="s">
        <v>945</v>
      </c>
      <c r="J1064" s="11" t="s">
        <v>31</v>
      </c>
      <c r="K1064" s="11" t="s">
        <v>31</v>
      </c>
      <c r="L1064" s="11" t="s">
        <v>517</v>
      </c>
      <c r="M1064" s="11" t="s">
        <v>32</v>
      </c>
      <c r="N1064" s="11" t="s">
        <v>666</v>
      </c>
      <c r="O1064" s="11" t="s">
        <v>312</v>
      </c>
      <c r="P1064" s="11" t="s">
        <v>2571</v>
      </c>
      <c r="Q1064" s="11" t="s">
        <v>604</v>
      </c>
      <c r="R1064" s="11" t="s">
        <v>596</v>
      </c>
      <c r="S1064" s="11" t="s">
        <v>35</v>
      </c>
      <c r="T1064" s="158">
        <v>3.8940000000000001</v>
      </c>
      <c r="U1064" s="11" t="s">
        <v>2697</v>
      </c>
      <c r="V1064" s="174">
        <v>7.0000000000000001E-3</v>
      </c>
      <c r="W1064" s="189">
        <v>1.8870000000000001E-2</v>
      </c>
      <c r="X1064" s="4" t="s">
        <v>602</v>
      </c>
      <c r="Y1064" s="4" t="s">
        <v>312</v>
      </c>
      <c r="Z1064" s="158">
        <v>159444.44</v>
      </c>
      <c r="AA1064" s="158">
        <v>1</v>
      </c>
      <c r="AB1064" s="158">
        <v>106.94</v>
      </c>
      <c r="AD1064" s="158">
        <v>170.51</v>
      </c>
      <c r="AG1064" s="11" t="s">
        <v>37</v>
      </c>
      <c r="AH1064" s="189">
        <v>1.993E-3</v>
      </c>
      <c r="AI1064" s="189">
        <v>7.61010282389025E-3</v>
      </c>
      <c r="AJ1064" s="189">
        <v>1.75361030373573E-3</v>
      </c>
    </row>
    <row r="1065" spans="1:36">
      <c r="A1065" s="11" t="s">
        <v>256</v>
      </c>
      <c r="B1065" s="11">
        <v>7207</v>
      </c>
      <c r="C1065" s="11" t="s">
        <v>2698</v>
      </c>
      <c r="D1065" s="11" t="s">
        <v>2699</v>
      </c>
      <c r="E1065" s="4" t="s">
        <v>1552</v>
      </c>
      <c r="F1065" s="11" t="s">
        <v>2700</v>
      </c>
      <c r="G1065" s="11" t="s">
        <v>2701</v>
      </c>
      <c r="H1065" s="11" t="s">
        <v>511</v>
      </c>
      <c r="I1065" s="11" t="s">
        <v>945</v>
      </c>
      <c r="J1065" s="11" t="s">
        <v>31</v>
      </c>
      <c r="K1065" s="11" t="s">
        <v>31</v>
      </c>
      <c r="L1065" s="11" t="s">
        <v>517</v>
      </c>
      <c r="M1065" s="11" t="s">
        <v>32</v>
      </c>
      <c r="N1065" s="11" t="s">
        <v>652</v>
      </c>
      <c r="O1065" s="11" t="s">
        <v>312</v>
      </c>
      <c r="P1065" s="27" t="s">
        <v>2165</v>
      </c>
      <c r="Q1065" s="27" t="s">
        <v>2165</v>
      </c>
      <c r="R1065" s="16" t="s">
        <v>2165</v>
      </c>
      <c r="S1065" s="11" t="s">
        <v>35</v>
      </c>
      <c r="T1065" s="158">
        <v>2.8450000000000002</v>
      </c>
      <c r="U1065" s="11" t="s">
        <v>2180</v>
      </c>
      <c r="V1065" s="174">
        <v>4.2000000000000003E-2</v>
      </c>
      <c r="W1065" s="189">
        <v>4.052E-2</v>
      </c>
      <c r="X1065" s="4" t="s">
        <v>602</v>
      </c>
      <c r="Y1065" s="4" t="s">
        <v>312</v>
      </c>
      <c r="Z1065" s="158">
        <v>49000</v>
      </c>
      <c r="AA1065" s="158">
        <v>1</v>
      </c>
      <c r="AB1065" s="158">
        <v>103.05</v>
      </c>
      <c r="AD1065" s="158">
        <v>50.494999999999997</v>
      </c>
      <c r="AG1065" s="11" t="s">
        <v>37</v>
      </c>
      <c r="AH1065" s="189">
        <v>4.8999999999999998E-4</v>
      </c>
      <c r="AI1065" s="189">
        <v>2.25364259079803E-3</v>
      </c>
      <c r="AJ1065" s="189">
        <v>5.1931109994396202E-4</v>
      </c>
    </row>
    <row r="1066" spans="1:36">
      <c r="A1066" s="11" t="s">
        <v>256</v>
      </c>
      <c r="B1066" s="11">
        <v>7207</v>
      </c>
      <c r="C1066" s="11" t="s">
        <v>2911</v>
      </c>
      <c r="D1066" s="11" t="s">
        <v>2912</v>
      </c>
      <c r="E1066" s="4" t="s">
        <v>1552</v>
      </c>
      <c r="F1066" s="11" t="s">
        <v>2913</v>
      </c>
      <c r="G1066" s="11" t="s">
        <v>2914</v>
      </c>
      <c r="H1066" s="11" t="s">
        <v>511</v>
      </c>
      <c r="I1066" s="11" t="s">
        <v>364</v>
      </c>
      <c r="J1066" s="11" t="s">
        <v>31</v>
      </c>
      <c r="K1066" s="11" t="s">
        <v>31</v>
      </c>
      <c r="L1066" s="11" t="s">
        <v>517</v>
      </c>
      <c r="M1066" s="11" t="s">
        <v>32</v>
      </c>
      <c r="N1066" s="11" t="s">
        <v>642</v>
      </c>
      <c r="O1066" s="11" t="s">
        <v>312</v>
      </c>
      <c r="P1066" s="27" t="s">
        <v>2165</v>
      </c>
      <c r="Q1066" s="27" t="s">
        <v>2165</v>
      </c>
      <c r="R1066" s="16" t="s">
        <v>2165</v>
      </c>
      <c r="S1066" s="11" t="s">
        <v>35</v>
      </c>
      <c r="T1066" s="158">
        <v>2.78</v>
      </c>
      <c r="U1066" s="11" t="s">
        <v>2915</v>
      </c>
      <c r="V1066" s="174">
        <v>5.7000000000000002E-2</v>
      </c>
      <c r="W1066" s="189">
        <v>7.9780000000000004E-2</v>
      </c>
      <c r="X1066" s="4" t="s">
        <v>602</v>
      </c>
      <c r="Y1066" s="4" t="s">
        <v>312</v>
      </c>
      <c r="Z1066" s="158">
        <v>6160</v>
      </c>
      <c r="AA1066" s="158">
        <v>1</v>
      </c>
      <c r="AB1066" s="158">
        <v>110</v>
      </c>
      <c r="AD1066" s="158">
        <v>6.7759999999999998</v>
      </c>
      <c r="AG1066" s="11" t="s">
        <v>37</v>
      </c>
      <c r="AH1066" s="189">
        <v>2.3E-5</v>
      </c>
      <c r="AI1066" s="189">
        <v>3.0242268356449602E-4</v>
      </c>
      <c r="AJ1066" s="189">
        <v>6.96878276489576E-5</v>
      </c>
    </row>
    <row r="1067" spans="1:36">
      <c r="A1067" s="11" t="s">
        <v>256</v>
      </c>
      <c r="B1067" s="11">
        <v>7207</v>
      </c>
      <c r="C1067" s="11" t="s">
        <v>1979</v>
      </c>
      <c r="D1067" s="11" t="s">
        <v>1980</v>
      </c>
      <c r="E1067" s="4" t="s">
        <v>1552</v>
      </c>
      <c r="F1067" s="11" t="s">
        <v>2707</v>
      </c>
      <c r="G1067" s="11" t="s">
        <v>2708</v>
      </c>
      <c r="H1067" s="11" t="s">
        <v>511</v>
      </c>
      <c r="I1067" s="11" t="s">
        <v>1154</v>
      </c>
      <c r="J1067" s="11" t="s">
        <v>31</v>
      </c>
      <c r="K1067" s="11" t="s">
        <v>31</v>
      </c>
      <c r="L1067" s="11" t="s">
        <v>517</v>
      </c>
      <c r="M1067" s="11" t="s">
        <v>32</v>
      </c>
      <c r="N1067" s="11" t="s">
        <v>647</v>
      </c>
      <c r="O1067" s="11" t="s">
        <v>312</v>
      </c>
      <c r="P1067" s="11" t="s">
        <v>2571</v>
      </c>
      <c r="Q1067" s="11" t="s">
        <v>604</v>
      </c>
      <c r="R1067" s="11" t="s">
        <v>596</v>
      </c>
      <c r="S1067" s="11" t="s">
        <v>35</v>
      </c>
      <c r="T1067" s="158">
        <v>1.9339999999999999</v>
      </c>
      <c r="U1067" s="11" t="s">
        <v>2180</v>
      </c>
      <c r="V1067" s="174">
        <v>2.6100000000000002E-2</v>
      </c>
      <c r="W1067" s="189">
        <v>4.793E-2</v>
      </c>
      <c r="X1067" s="4" t="s">
        <v>602</v>
      </c>
      <c r="Y1067" s="4" t="s">
        <v>312</v>
      </c>
      <c r="Z1067" s="158">
        <v>282750.53000000003</v>
      </c>
      <c r="AA1067" s="158">
        <v>1</v>
      </c>
      <c r="AB1067" s="158">
        <v>95.99</v>
      </c>
      <c r="AD1067" s="158">
        <v>271.41199999999998</v>
      </c>
      <c r="AG1067" s="11" t="s">
        <v>37</v>
      </c>
      <c r="AH1067" s="189">
        <v>5.8600000000000004E-4</v>
      </c>
      <c r="AI1067" s="189">
        <v>1.21135206732588E-2</v>
      </c>
      <c r="AJ1067" s="189">
        <v>2.7913413469863499E-3</v>
      </c>
    </row>
    <row r="1068" spans="1:36">
      <c r="A1068" s="11" t="s">
        <v>256</v>
      </c>
      <c r="B1068" s="11">
        <v>7207</v>
      </c>
      <c r="C1068" s="11" t="s">
        <v>2709</v>
      </c>
      <c r="D1068" s="11" t="s">
        <v>2710</v>
      </c>
      <c r="E1068" s="4" t="s">
        <v>1552</v>
      </c>
      <c r="F1068" s="11" t="s">
        <v>2711</v>
      </c>
      <c r="G1068" s="11" t="s">
        <v>2712</v>
      </c>
      <c r="H1068" s="11" t="s">
        <v>511</v>
      </c>
      <c r="I1068" s="11" t="s">
        <v>1154</v>
      </c>
      <c r="J1068" s="11" t="s">
        <v>31</v>
      </c>
      <c r="K1068" s="11" t="s">
        <v>31</v>
      </c>
      <c r="L1068" s="11" t="s">
        <v>517</v>
      </c>
      <c r="M1068" s="11" t="s">
        <v>32</v>
      </c>
      <c r="N1068" s="11" t="s">
        <v>666</v>
      </c>
      <c r="O1068" s="11" t="s">
        <v>312</v>
      </c>
      <c r="P1068" s="11" t="s">
        <v>2169</v>
      </c>
      <c r="Q1068" s="11" t="s">
        <v>358</v>
      </c>
      <c r="R1068" s="11" t="s">
        <v>596</v>
      </c>
      <c r="S1068" s="11" t="s">
        <v>35</v>
      </c>
      <c r="T1068" s="158">
        <v>1.069</v>
      </c>
      <c r="U1068" s="11" t="s">
        <v>2713</v>
      </c>
      <c r="V1068" s="174">
        <v>2.7E-2</v>
      </c>
      <c r="W1068" s="189">
        <v>4.9639999999999997E-2</v>
      </c>
      <c r="X1068" s="4" t="s">
        <v>602</v>
      </c>
      <c r="Y1068" s="4" t="s">
        <v>312</v>
      </c>
      <c r="Z1068" s="158">
        <v>25189.84</v>
      </c>
      <c r="AA1068" s="158">
        <v>1</v>
      </c>
      <c r="AB1068" s="158">
        <v>97.8</v>
      </c>
      <c r="AD1068" s="158">
        <v>24.635999999999999</v>
      </c>
      <c r="AG1068" s="11" t="s">
        <v>37</v>
      </c>
      <c r="AH1068" s="189">
        <v>2.0100000000000001E-4</v>
      </c>
      <c r="AI1068" s="189">
        <v>1.09952530594899E-3</v>
      </c>
      <c r="AJ1068" s="189">
        <v>2.5336568379567202E-4</v>
      </c>
    </row>
    <row r="1069" spans="1:36">
      <c r="A1069" s="11" t="s">
        <v>256</v>
      </c>
      <c r="B1069" s="11">
        <v>7207</v>
      </c>
      <c r="C1069" s="11" t="s">
        <v>2709</v>
      </c>
      <c r="D1069" s="11" t="s">
        <v>2710</v>
      </c>
      <c r="E1069" s="4" t="s">
        <v>1552</v>
      </c>
      <c r="F1069" s="11" t="s">
        <v>2714</v>
      </c>
      <c r="G1069" s="11" t="s">
        <v>2715</v>
      </c>
      <c r="H1069" s="11" t="s">
        <v>511</v>
      </c>
      <c r="I1069" s="11" t="s">
        <v>945</v>
      </c>
      <c r="J1069" s="11" t="s">
        <v>31</v>
      </c>
      <c r="K1069" s="11" t="s">
        <v>31</v>
      </c>
      <c r="L1069" s="11" t="s">
        <v>517</v>
      </c>
      <c r="M1069" s="11" t="s">
        <v>32</v>
      </c>
      <c r="N1069" s="11" t="s">
        <v>666</v>
      </c>
      <c r="O1069" s="11" t="s">
        <v>312</v>
      </c>
      <c r="P1069" s="11" t="s">
        <v>2169</v>
      </c>
      <c r="Q1069" s="11" t="s">
        <v>358</v>
      </c>
      <c r="R1069" s="11" t="s">
        <v>596</v>
      </c>
      <c r="S1069" s="11" t="s">
        <v>35</v>
      </c>
      <c r="T1069" s="158">
        <v>1.0780000000000001</v>
      </c>
      <c r="U1069" s="11" t="s">
        <v>2713</v>
      </c>
      <c r="V1069" s="174">
        <v>1.7999999999999999E-2</v>
      </c>
      <c r="W1069" s="189">
        <v>3.0530000000000002E-2</v>
      </c>
      <c r="X1069" s="4" t="s">
        <v>602</v>
      </c>
      <c r="Y1069" s="4" t="s">
        <v>312</v>
      </c>
      <c r="Z1069" s="158">
        <v>47365.4</v>
      </c>
      <c r="AA1069" s="158">
        <v>1</v>
      </c>
      <c r="AB1069" s="158">
        <v>112.65</v>
      </c>
      <c r="AD1069" s="158">
        <v>53.356999999999999</v>
      </c>
      <c r="AG1069" s="11" t="s">
        <v>37</v>
      </c>
      <c r="AH1069" s="189">
        <v>7.2999999999999999E-5</v>
      </c>
      <c r="AI1069" s="189">
        <v>2.38140560141428E-3</v>
      </c>
      <c r="AJ1069" s="189">
        <v>5.4875177072565104E-4</v>
      </c>
    </row>
    <row r="1070" spans="1:36">
      <c r="A1070" s="11" t="s">
        <v>256</v>
      </c>
      <c r="B1070" s="11">
        <v>7207</v>
      </c>
      <c r="C1070" s="11" t="s">
        <v>2716</v>
      </c>
      <c r="D1070" s="11" t="s">
        <v>2717</v>
      </c>
      <c r="E1070" s="4" t="s">
        <v>1552</v>
      </c>
      <c r="F1070" s="11" t="s">
        <v>2718</v>
      </c>
      <c r="G1070" s="11" t="s">
        <v>2719</v>
      </c>
      <c r="H1070" s="11" t="s">
        <v>511</v>
      </c>
      <c r="I1070" s="11" t="s">
        <v>364</v>
      </c>
      <c r="J1070" s="11" t="s">
        <v>31</v>
      </c>
      <c r="K1070" s="11" t="s">
        <v>31</v>
      </c>
      <c r="L1070" s="11" t="s">
        <v>517</v>
      </c>
      <c r="M1070" s="11" t="s">
        <v>32</v>
      </c>
      <c r="N1070" s="11" t="s">
        <v>642</v>
      </c>
      <c r="O1070" s="11" t="s">
        <v>312</v>
      </c>
      <c r="P1070" s="11" t="s">
        <v>2418</v>
      </c>
      <c r="Q1070" s="11" t="s">
        <v>604</v>
      </c>
      <c r="R1070" s="11" t="s">
        <v>596</v>
      </c>
      <c r="S1070" s="11" t="s">
        <v>35</v>
      </c>
      <c r="T1070" s="158">
        <v>2.8</v>
      </c>
      <c r="U1070" s="11" t="s">
        <v>2720</v>
      </c>
      <c r="V1070" s="174">
        <v>5.4800000000000001E-2</v>
      </c>
      <c r="W1070" s="189">
        <v>6.6320000000000004E-2</v>
      </c>
      <c r="X1070" s="4" t="s">
        <v>602</v>
      </c>
      <c r="Y1070" s="4" t="s">
        <v>312</v>
      </c>
      <c r="Z1070" s="158">
        <v>60000</v>
      </c>
      <c r="AA1070" s="158">
        <v>1</v>
      </c>
      <c r="AB1070" s="158">
        <v>104.51</v>
      </c>
      <c r="AD1070" s="158">
        <v>62.706000000000003</v>
      </c>
      <c r="AG1070" s="11" t="s">
        <v>37</v>
      </c>
      <c r="AH1070" s="189">
        <v>2.1100000000000001E-4</v>
      </c>
      <c r="AI1070" s="189">
        <v>2.7986595034821802E-3</v>
      </c>
      <c r="AJ1070" s="189">
        <v>6.4490037198281197E-4</v>
      </c>
    </row>
    <row r="1071" spans="1:36">
      <c r="A1071" s="11" t="s">
        <v>256</v>
      </c>
      <c r="B1071" s="11">
        <v>7207</v>
      </c>
      <c r="C1071" s="11" t="s">
        <v>2721</v>
      </c>
      <c r="D1071" s="11" t="s">
        <v>2722</v>
      </c>
      <c r="E1071" s="4" t="s">
        <v>1552</v>
      </c>
      <c r="F1071" s="11" t="s">
        <v>2723</v>
      </c>
      <c r="G1071" s="11" t="s">
        <v>2724</v>
      </c>
      <c r="H1071" s="11" t="s">
        <v>511</v>
      </c>
      <c r="I1071" s="11" t="s">
        <v>364</v>
      </c>
      <c r="J1071" s="11" t="s">
        <v>31</v>
      </c>
      <c r="K1071" s="11" t="s">
        <v>31</v>
      </c>
      <c r="L1071" s="11" t="s">
        <v>517</v>
      </c>
      <c r="M1071" s="11" t="s">
        <v>32</v>
      </c>
      <c r="N1071" s="11" t="s">
        <v>642</v>
      </c>
      <c r="O1071" s="11" t="s">
        <v>312</v>
      </c>
      <c r="P1071" s="11" t="s">
        <v>168</v>
      </c>
      <c r="Q1071" s="11" t="s">
        <v>604</v>
      </c>
      <c r="R1071" s="11" t="s">
        <v>596</v>
      </c>
      <c r="S1071" s="11" t="s">
        <v>35</v>
      </c>
      <c r="T1071" s="158">
        <v>3.05</v>
      </c>
      <c r="U1071" s="11" t="s">
        <v>2720</v>
      </c>
      <c r="V1071" s="174">
        <v>4.6899999999999997E-2</v>
      </c>
      <c r="W1071" s="189">
        <v>7.7439999999999995E-2</v>
      </c>
      <c r="X1071" s="4" t="s">
        <v>602</v>
      </c>
      <c r="Y1071" s="4" t="s">
        <v>312</v>
      </c>
      <c r="Z1071" s="158">
        <v>91444.37</v>
      </c>
      <c r="AA1071" s="158">
        <v>1</v>
      </c>
      <c r="AB1071" s="158">
        <v>99.55</v>
      </c>
      <c r="AD1071" s="158">
        <v>91.033000000000001</v>
      </c>
      <c r="AG1071" s="11" t="s">
        <v>37</v>
      </c>
      <c r="AH1071" s="189">
        <v>6.4999999999999994E-5</v>
      </c>
      <c r="AI1071" s="189">
        <v>4.0629287100486201E-3</v>
      </c>
      <c r="AJ1071" s="189">
        <v>9.3622830258196295E-4</v>
      </c>
    </row>
    <row r="1072" spans="1:36">
      <c r="A1072" s="11" t="s">
        <v>256</v>
      </c>
      <c r="B1072" s="11">
        <v>7207</v>
      </c>
      <c r="C1072" s="11" t="s">
        <v>2725</v>
      </c>
      <c r="D1072" s="11" t="s">
        <v>2726</v>
      </c>
      <c r="E1072" s="4" t="s">
        <v>1552</v>
      </c>
      <c r="F1072" s="11" t="s">
        <v>2727</v>
      </c>
      <c r="G1072" s="11" t="s">
        <v>2728</v>
      </c>
      <c r="H1072" s="11" t="s">
        <v>511</v>
      </c>
      <c r="I1072" s="11" t="s">
        <v>1154</v>
      </c>
      <c r="J1072" s="11" t="s">
        <v>31</v>
      </c>
      <c r="K1072" s="11" t="s">
        <v>31</v>
      </c>
      <c r="L1072" s="11" t="s">
        <v>517</v>
      </c>
      <c r="M1072" s="11" t="s">
        <v>32</v>
      </c>
      <c r="N1072" s="11" t="s">
        <v>634</v>
      </c>
      <c r="O1072" s="11" t="s">
        <v>312</v>
      </c>
      <c r="P1072" s="11" t="s">
        <v>357</v>
      </c>
      <c r="Q1072" s="11" t="s">
        <v>358</v>
      </c>
      <c r="R1072" s="11" t="s">
        <v>596</v>
      </c>
      <c r="S1072" s="11" t="s">
        <v>35</v>
      </c>
      <c r="T1072" s="158">
        <v>0.41599999999999998</v>
      </c>
      <c r="U1072" s="11" t="s">
        <v>2608</v>
      </c>
      <c r="V1072" s="174">
        <v>5.45E-2</v>
      </c>
      <c r="W1072" s="189">
        <v>4.7469999999999998E-2</v>
      </c>
      <c r="X1072" s="4" t="s">
        <v>602</v>
      </c>
      <c r="Y1072" s="4" t="s">
        <v>312</v>
      </c>
      <c r="Z1072" s="158">
        <v>48284.12</v>
      </c>
      <c r="AA1072" s="158">
        <v>1</v>
      </c>
      <c r="AB1072" s="158">
        <v>100.76</v>
      </c>
      <c r="AD1072" s="158">
        <v>48.651000000000003</v>
      </c>
      <c r="AG1072" s="11" t="s">
        <v>37</v>
      </c>
      <c r="AH1072" s="189">
        <v>3.1300000000000002E-4</v>
      </c>
      <c r="AI1072" s="189">
        <v>2.1713680584185598E-3</v>
      </c>
      <c r="AJ1072" s="189">
        <v>5.0035242473884601E-4</v>
      </c>
    </row>
    <row r="1073" spans="1:36">
      <c r="A1073" s="11" t="s">
        <v>256</v>
      </c>
      <c r="B1073" s="11">
        <v>7207</v>
      </c>
      <c r="C1073" s="11" t="s">
        <v>2729</v>
      </c>
      <c r="D1073" s="11" t="s">
        <v>2730</v>
      </c>
      <c r="E1073" s="4" t="s">
        <v>505</v>
      </c>
      <c r="F1073" s="11" t="s">
        <v>2731</v>
      </c>
      <c r="G1073" s="11" t="s">
        <v>2732</v>
      </c>
      <c r="H1073" s="11" t="s">
        <v>511</v>
      </c>
      <c r="I1073" s="11" t="s">
        <v>364</v>
      </c>
      <c r="J1073" s="11" t="s">
        <v>154</v>
      </c>
      <c r="K1073" s="11" t="s">
        <v>155</v>
      </c>
      <c r="L1073" s="11" t="s">
        <v>517</v>
      </c>
      <c r="M1073" s="11" t="s">
        <v>342</v>
      </c>
      <c r="N1073" s="11" t="s">
        <v>2733</v>
      </c>
      <c r="O1073" s="11" t="s">
        <v>312</v>
      </c>
      <c r="P1073" s="11" t="s">
        <v>2734</v>
      </c>
      <c r="Q1073" s="11" t="s">
        <v>621</v>
      </c>
      <c r="R1073" s="11" t="s">
        <v>596</v>
      </c>
      <c r="S1073" s="11" t="s">
        <v>159</v>
      </c>
      <c r="T1073" s="158">
        <v>3.25</v>
      </c>
      <c r="U1073" s="11" t="s">
        <v>2735</v>
      </c>
      <c r="V1073" s="174">
        <v>7.9500000000000001E-2</v>
      </c>
      <c r="W1073" s="189">
        <v>6.8110000000000004E-2</v>
      </c>
      <c r="X1073" s="4" t="s">
        <v>602</v>
      </c>
      <c r="Y1073" s="4" t="s">
        <v>312</v>
      </c>
      <c r="Z1073" s="158">
        <v>13000</v>
      </c>
      <c r="AA1073" s="158">
        <v>3.7589999999999999</v>
      </c>
      <c r="AB1073" s="158">
        <v>103.755</v>
      </c>
      <c r="AD1073" s="158">
        <v>50.701999999999998</v>
      </c>
      <c r="AG1073" s="11" t="s">
        <v>37</v>
      </c>
      <c r="AH1073" s="189">
        <v>0</v>
      </c>
      <c r="AI1073" s="189">
        <v>2.26291073864489E-3</v>
      </c>
      <c r="AJ1073" s="189">
        <v>5.2144677668012804E-4</v>
      </c>
    </row>
    <row r="1074" spans="1:36">
      <c r="A1074" s="11" t="s">
        <v>256</v>
      </c>
      <c r="B1074" s="11">
        <v>7207</v>
      </c>
      <c r="C1074" s="11" t="s">
        <v>2729</v>
      </c>
      <c r="D1074" s="11" t="s">
        <v>2730</v>
      </c>
      <c r="E1074" s="4" t="s">
        <v>505</v>
      </c>
      <c r="F1074" s="11" t="s">
        <v>2736</v>
      </c>
      <c r="G1074" s="11" t="s">
        <v>2737</v>
      </c>
      <c r="H1074" s="11" t="s">
        <v>511</v>
      </c>
      <c r="I1074" s="11" t="s">
        <v>364</v>
      </c>
      <c r="J1074" s="11" t="s">
        <v>154</v>
      </c>
      <c r="K1074" s="11" t="s">
        <v>155</v>
      </c>
      <c r="L1074" s="11" t="s">
        <v>517</v>
      </c>
      <c r="M1074" s="11" t="s">
        <v>342</v>
      </c>
      <c r="N1074" s="11" t="s">
        <v>2733</v>
      </c>
      <c r="O1074" s="11" t="s">
        <v>312</v>
      </c>
      <c r="P1074" s="11" t="s">
        <v>2734</v>
      </c>
      <c r="Q1074" s="11" t="s">
        <v>621</v>
      </c>
      <c r="R1074" s="11" t="s">
        <v>596</v>
      </c>
      <c r="S1074" s="11" t="s">
        <v>159</v>
      </c>
      <c r="T1074" s="158">
        <v>5.26</v>
      </c>
      <c r="U1074" s="11" t="s">
        <v>2738</v>
      </c>
      <c r="V1074" s="174">
        <v>6.6500000000000004E-2</v>
      </c>
      <c r="W1074" s="189">
        <v>6.8970000000000004E-2</v>
      </c>
      <c r="X1074" s="4" t="s">
        <v>602</v>
      </c>
      <c r="Y1074" s="4" t="s">
        <v>312</v>
      </c>
      <c r="Z1074" s="158">
        <v>5000</v>
      </c>
      <c r="AA1074" s="158">
        <v>3.7589999999999999</v>
      </c>
      <c r="AB1074" s="158">
        <v>98.322999999999993</v>
      </c>
      <c r="AD1074" s="158">
        <v>18.48</v>
      </c>
      <c r="AG1074" s="11" t="s">
        <v>37</v>
      </c>
      <c r="AH1074" s="189">
        <v>0</v>
      </c>
      <c r="AI1074" s="189">
        <v>8.2477962155176805E-4</v>
      </c>
      <c r="AJ1074" s="189">
        <v>1.9005551910862E-4</v>
      </c>
    </row>
    <row r="1075" spans="1:36">
      <c r="A1075" s="11" t="s">
        <v>256</v>
      </c>
      <c r="B1075" s="11">
        <v>7207</v>
      </c>
      <c r="C1075" s="11" t="s">
        <v>2739</v>
      </c>
      <c r="D1075" s="11" t="s">
        <v>2740</v>
      </c>
      <c r="E1075" s="4" t="s">
        <v>505</v>
      </c>
      <c r="F1075" s="11" t="s">
        <v>2741</v>
      </c>
      <c r="G1075" s="11" t="s">
        <v>2742</v>
      </c>
      <c r="H1075" s="11" t="s">
        <v>511</v>
      </c>
      <c r="I1075" s="11" t="s">
        <v>364</v>
      </c>
      <c r="J1075" s="11" t="s">
        <v>154</v>
      </c>
      <c r="K1075" s="11" t="s">
        <v>486</v>
      </c>
      <c r="L1075" s="11" t="s">
        <v>517</v>
      </c>
      <c r="M1075" s="11" t="s">
        <v>156</v>
      </c>
      <c r="N1075" s="11" t="s">
        <v>678</v>
      </c>
      <c r="O1075" s="11" t="s">
        <v>312</v>
      </c>
      <c r="P1075" s="11" t="s">
        <v>2743</v>
      </c>
      <c r="Q1075" s="11" t="s">
        <v>158</v>
      </c>
      <c r="R1075" s="11" t="s">
        <v>596</v>
      </c>
      <c r="S1075" s="11" t="s">
        <v>159</v>
      </c>
      <c r="T1075" s="158">
        <v>6.17</v>
      </c>
      <c r="U1075" s="11" t="s">
        <v>2744</v>
      </c>
      <c r="V1075" s="174">
        <v>7.3779999999999998E-2</v>
      </c>
      <c r="W1075" s="189">
        <v>6.1440000000000002E-2</v>
      </c>
      <c r="X1075" s="4" t="s">
        <v>602</v>
      </c>
      <c r="Y1075" s="4" t="s">
        <v>312</v>
      </c>
      <c r="Z1075" s="158">
        <v>15000</v>
      </c>
      <c r="AA1075" s="158">
        <v>3.7589999999999999</v>
      </c>
      <c r="AB1075" s="158">
        <v>110.13800000000001</v>
      </c>
      <c r="AD1075" s="158">
        <v>62.100999999999999</v>
      </c>
      <c r="AG1075" s="11" t="s">
        <v>37</v>
      </c>
      <c r="AH1075" s="189">
        <v>2.5000000000000001E-5</v>
      </c>
      <c r="AI1075" s="189">
        <v>2.7716649463573099E-3</v>
      </c>
      <c r="AJ1075" s="189">
        <v>6.3867996542399895E-4</v>
      </c>
    </row>
    <row r="1076" spans="1:36">
      <c r="A1076" s="11" t="s">
        <v>256</v>
      </c>
      <c r="B1076" s="11">
        <v>7207</v>
      </c>
      <c r="C1076" s="11" t="s">
        <v>2745</v>
      </c>
      <c r="D1076" s="11" t="s">
        <v>2746</v>
      </c>
      <c r="E1076" s="4" t="s">
        <v>505</v>
      </c>
      <c r="F1076" s="11" t="s">
        <v>2747</v>
      </c>
      <c r="G1076" s="11" t="s">
        <v>2748</v>
      </c>
      <c r="H1076" s="11" t="s">
        <v>511</v>
      </c>
      <c r="I1076" s="11" t="s">
        <v>364</v>
      </c>
      <c r="J1076" s="11" t="s">
        <v>154</v>
      </c>
      <c r="K1076" s="11" t="s">
        <v>486</v>
      </c>
      <c r="L1076" s="11" t="s">
        <v>517</v>
      </c>
      <c r="M1076" s="11" t="s">
        <v>342</v>
      </c>
      <c r="N1076" s="11" t="s">
        <v>757</v>
      </c>
      <c r="O1076" s="11" t="s">
        <v>312</v>
      </c>
      <c r="P1076" s="11" t="s">
        <v>2749</v>
      </c>
      <c r="Q1076" s="11" t="s">
        <v>158</v>
      </c>
      <c r="R1076" s="11" t="s">
        <v>596</v>
      </c>
      <c r="S1076" s="11" t="s">
        <v>169</v>
      </c>
      <c r="T1076" s="158">
        <v>1.1399999999999999</v>
      </c>
      <c r="U1076" s="11" t="s">
        <v>2750</v>
      </c>
      <c r="V1076" s="174">
        <v>4.2500000000000003E-2</v>
      </c>
      <c r="W1076" s="189">
        <v>7.918E-2</v>
      </c>
      <c r="X1076" s="4" t="s">
        <v>602</v>
      </c>
      <c r="Y1076" s="4" t="s">
        <v>312</v>
      </c>
      <c r="Z1076" s="158">
        <v>10000</v>
      </c>
      <c r="AA1076" s="158">
        <v>4.0199999999999996</v>
      </c>
      <c r="AB1076" s="158">
        <v>99.793000000000006</v>
      </c>
      <c r="AD1076" s="158">
        <v>40.119</v>
      </c>
      <c r="AG1076" s="11" t="s">
        <v>37</v>
      </c>
      <c r="AH1076" s="189">
        <v>0</v>
      </c>
      <c r="AI1076" s="189">
        <v>1.7905538418993101E-3</v>
      </c>
      <c r="AJ1076" s="189">
        <v>4.1260068874379599E-4</v>
      </c>
    </row>
    <row r="1077" spans="1:36">
      <c r="A1077" s="11" t="s">
        <v>256</v>
      </c>
      <c r="B1077" s="11">
        <v>7207</v>
      </c>
      <c r="C1077" s="11" t="s">
        <v>2751</v>
      </c>
      <c r="D1077" s="11" t="s">
        <v>2752</v>
      </c>
      <c r="E1077" s="4" t="s">
        <v>505</v>
      </c>
      <c r="F1077" s="11" t="s">
        <v>2753</v>
      </c>
      <c r="G1077" s="11" t="s">
        <v>2754</v>
      </c>
      <c r="H1077" s="11" t="s">
        <v>511</v>
      </c>
      <c r="I1077" s="11" t="s">
        <v>364</v>
      </c>
      <c r="J1077" s="11" t="s">
        <v>154</v>
      </c>
      <c r="K1077" s="11" t="s">
        <v>155</v>
      </c>
      <c r="L1077" s="11" t="s">
        <v>517</v>
      </c>
      <c r="M1077" s="11" t="s">
        <v>342</v>
      </c>
      <c r="N1077" s="11" t="s">
        <v>738</v>
      </c>
      <c r="O1077" s="11" t="s">
        <v>312</v>
      </c>
      <c r="P1077" s="11" t="s">
        <v>2418</v>
      </c>
      <c r="Q1077" s="11" t="s">
        <v>158</v>
      </c>
      <c r="R1077" s="11" t="s">
        <v>596</v>
      </c>
      <c r="S1077" s="11" t="s">
        <v>159</v>
      </c>
      <c r="T1077" s="158">
        <v>3.56</v>
      </c>
      <c r="U1077" s="11" t="s">
        <v>2175</v>
      </c>
      <c r="V1077" s="174">
        <v>4.5999999999999999E-2</v>
      </c>
      <c r="W1077" s="189">
        <v>4.9149999999999999E-2</v>
      </c>
      <c r="X1077" s="4" t="s">
        <v>602</v>
      </c>
      <c r="Y1077" s="4" t="s">
        <v>312</v>
      </c>
      <c r="Z1077" s="158">
        <v>9000</v>
      </c>
      <c r="AA1077" s="158">
        <v>3.7589999999999999</v>
      </c>
      <c r="AB1077" s="158">
        <v>100.154</v>
      </c>
      <c r="AD1077" s="158">
        <v>33.883000000000003</v>
      </c>
      <c r="AG1077" s="11" t="s">
        <v>37</v>
      </c>
      <c r="AH1077" s="189">
        <v>6.0000000000000002E-6</v>
      </c>
      <c r="AI1077" s="189">
        <v>1.51224840831123E-3</v>
      </c>
      <c r="AJ1077" s="189">
        <v>3.4847024435694698E-4</v>
      </c>
    </row>
    <row r="1078" spans="1:36">
      <c r="A1078" s="11" t="s">
        <v>256</v>
      </c>
      <c r="B1078" s="11">
        <v>7207</v>
      </c>
      <c r="C1078" s="11" t="s">
        <v>2755</v>
      </c>
      <c r="D1078" s="11" t="s">
        <v>2756</v>
      </c>
      <c r="E1078" s="4" t="s">
        <v>505</v>
      </c>
      <c r="F1078" s="11" t="s">
        <v>2757</v>
      </c>
      <c r="G1078" s="11" t="s">
        <v>2758</v>
      </c>
      <c r="H1078" s="11" t="s">
        <v>511</v>
      </c>
      <c r="I1078" s="11" t="s">
        <v>364</v>
      </c>
      <c r="J1078" s="11" t="s">
        <v>154</v>
      </c>
      <c r="K1078" s="11" t="s">
        <v>155</v>
      </c>
      <c r="L1078" s="11" t="s">
        <v>517</v>
      </c>
      <c r="M1078" s="11" t="s">
        <v>342</v>
      </c>
      <c r="N1078" s="11" t="s">
        <v>738</v>
      </c>
      <c r="O1078" s="11" t="s">
        <v>312</v>
      </c>
      <c r="P1078" s="11" t="s">
        <v>2327</v>
      </c>
      <c r="Q1078" s="11" t="s">
        <v>621</v>
      </c>
      <c r="R1078" s="11" t="s">
        <v>596</v>
      </c>
      <c r="S1078" s="11" t="s">
        <v>159</v>
      </c>
      <c r="T1078" s="158">
        <v>0.78</v>
      </c>
      <c r="U1078" s="11" t="s">
        <v>2759</v>
      </c>
      <c r="V1078" s="174">
        <v>3.3500000000000002E-2</v>
      </c>
      <c r="W1078" s="189">
        <v>5.5079999999999997E-2</v>
      </c>
      <c r="X1078" s="4" t="s">
        <v>602</v>
      </c>
      <c r="Y1078" s="4" t="s">
        <v>312</v>
      </c>
      <c r="Z1078" s="158">
        <v>10000</v>
      </c>
      <c r="AA1078" s="158">
        <v>3.7589999999999999</v>
      </c>
      <c r="AB1078" s="158">
        <v>99.387</v>
      </c>
      <c r="AD1078" s="158">
        <v>37.36</v>
      </c>
      <c r="AG1078" s="11" t="s">
        <v>37</v>
      </c>
      <c r="AH1078" s="189">
        <v>0</v>
      </c>
      <c r="AI1078" s="189">
        <v>1.6674173952005899E-3</v>
      </c>
      <c r="AJ1078" s="189">
        <v>3.8422612578540698E-4</v>
      </c>
    </row>
    <row r="1079" spans="1:36">
      <c r="A1079" s="11" t="s">
        <v>256</v>
      </c>
      <c r="B1079" s="11">
        <v>7207</v>
      </c>
      <c r="C1079" s="11" t="s">
        <v>2760</v>
      </c>
      <c r="D1079" s="11" t="s">
        <v>2761</v>
      </c>
      <c r="E1079" s="4" t="s">
        <v>505</v>
      </c>
      <c r="F1079" s="11" t="s">
        <v>2762</v>
      </c>
      <c r="G1079" s="11" t="s">
        <v>2763</v>
      </c>
      <c r="H1079" s="11" t="s">
        <v>511</v>
      </c>
      <c r="I1079" s="11" t="s">
        <v>364</v>
      </c>
      <c r="J1079" s="11" t="s">
        <v>154</v>
      </c>
      <c r="K1079" s="11" t="s">
        <v>155</v>
      </c>
      <c r="L1079" s="11" t="s">
        <v>517</v>
      </c>
      <c r="M1079" s="11" t="s">
        <v>342</v>
      </c>
      <c r="N1079" s="11" t="s">
        <v>704</v>
      </c>
      <c r="O1079" s="11" t="s">
        <v>312</v>
      </c>
      <c r="P1079" s="11" t="s">
        <v>168</v>
      </c>
      <c r="Q1079" s="11" t="s">
        <v>158</v>
      </c>
      <c r="R1079" s="11" t="s">
        <v>596</v>
      </c>
      <c r="S1079" s="11" t="s">
        <v>159</v>
      </c>
      <c r="T1079" s="158">
        <v>3.12</v>
      </c>
      <c r="U1079" s="11" t="s">
        <v>2764</v>
      </c>
      <c r="V1079" s="174">
        <v>4.5499999999999999E-2</v>
      </c>
      <c r="W1079" s="189">
        <v>4.9110000000000001E-2</v>
      </c>
      <c r="X1079" s="4" t="s">
        <v>602</v>
      </c>
      <c r="Y1079" s="4" t="s">
        <v>312</v>
      </c>
      <c r="Z1079" s="158">
        <v>30000</v>
      </c>
      <c r="AA1079" s="158">
        <v>3.7589999999999999</v>
      </c>
      <c r="AB1079" s="158">
        <v>99.274000000000001</v>
      </c>
      <c r="AD1079" s="158">
        <v>111.95099999999999</v>
      </c>
      <c r="AG1079" s="11" t="s">
        <v>37</v>
      </c>
      <c r="AH1079" s="189">
        <v>0</v>
      </c>
      <c r="AI1079" s="189">
        <v>4.9965480356881E-3</v>
      </c>
      <c r="AJ1079" s="189">
        <v>1.15136395936554E-3</v>
      </c>
    </row>
    <row r="1080" spans="1:36">
      <c r="A1080" s="11" t="s">
        <v>256</v>
      </c>
      <c r="B1080" s="11">
        <v>7207</v>
      </c>
      <c r="C1080" s="11" t="s">
        <v>2765</v>
      </c>
      <c r="D1080" s="11" t="s">
        <v>2766</v>
      </c>
      <c r="E1080" s="4" t="s">
        <v>505</v>
      </c>
      <c r="F1080" s="11" t="s">
        <v>2767</v>
      </c>
      <c r="G1080" s="11" t="s">
        <v>2768</v>
      </c>
      <c r="H1080" s="11" t="s">
        <v>511</v>
      </c>
      <c r="I1080" s="11" t="s">
        <v>364</v>
      </c>
      <c r="J1080" s="11" t="s">
        <v>154</v>
      </c>
      <c r="K1080" s="11" t="s">
        <v>155</v>
      </c>
      <c r="L1080" s="11" t="s">
        <v>517</v>
      </c>
      <c r="M1080" s="11" t="s">
        <v>342</v>
      </c>
      <c r="N1080" s="11" t="s">
        <v>726</v>
      </c>
      <c r="O1080" s="11" t="s">
        <v>312</v>
      </c>
      <c r="P1080" s="11" t="s">
        <v>2769</v>
      </c>
      <c r="Q1080" s="11" t="s">
        <v>158</v>
      </c>
      <c r="R1080" s="11" t="s">
        <v>596</v>
      </c>
      <c r="S1080" s="11" t="s">
        <v>159</v>
      </c>
      <c r="T1080" s="158">
        <v>3.97</v>
      </c>
      <c r="U1080" s="11" t="s">
        <v>2596</v>
      </c>
      <c r="V1080" s="174">
        <v>6.9000000000000006E-2</v>
      </c>
      <c r="W1080" s="189">
        <v>6.7960000000000007E-2</v>
      </c>
      <c r="X1080" s="4" t="s">
        <v>602</v>
      </c>
      <c r="Y1080" s="4" t="s">
        <v>312</v>
      </c>
      <c r="Z1080" s="158">
        <v>20000</v>
      </c>
      <c r="AA1080" s="158">
        <v>3.7589999999999999</v>
      </c>
      <c r="AB1080" s="158">
        <v>102.36</v>
      </c>
      <c r="AD1080" s="158">
        <v>76.953999999999994</v>
      </c>
      <c r="AG1080" s="11" t="s">
        <v>37</v>
      </c>
      <c r="AH1080" s="189">
        <v>3.1000000000000001E-5</v>
      </c>
      <c r="AI1080" s="189">
        <v>3.4345626492268298E-3</v>
      </c>
      <c r="AJ1080" s="189">
        <v>7.9143272960813498E-4</v>
      </c>
    </row>
    <row r="1081" spans="1:36">
      <c r="A1081" s="11" t="s">
        <v>256</v>
      </c>
      <c r="B1081" s="11">
        <v>7207</v>
      </c>
      <c r="C1081" s="11" t="s">
        <v>2770</v>
      </c>
      <c r="D1081" s="11" t="s">
        <v>2771</v>
      </c>
      <c r="E1081" s="4" t="s">
        <v>505</v>
      </c>
      <c r="F1081" s="11" t="s">
        <v>2772</v>
      </c>
      <c r="G1081" s="11" t="s">
        <v>2773</v>
      </c>
      <c r="H1081" s="11" t="s">
        <v>511</v>
      </c>
      <c r="I1081" s="11" t="s">
        <v>364</v>
      </c>
      <c r="J1081" s="11" t="s">
        <v>154</v>
      </c>
      <c r="K1081" s="11" t="s">
        <v>155</v>
      </c>
      <c r="L1081" s="11" t="s">
        <v>517</v>
      </c>
      <c r="M1081" s="11" t="s">
        <v>342</v>
      </c>
      <c r="N1081" s="11" t="s">
        <v>2774</v>
      </c>
      <c r="O1081" s="11" t="s">
        <v>312</v>
      </c>
      <c r="P1081" s="11" t="s">
        <v>2734</v>
      </c>
      <c r="Q1081" s="11" t="s">
        <v>621</v>
      </c>
      <c r="R1081" s="11" t="s">
        <v>596</v>
      </c>
      <c r="S1081" s="11" t="s">
        <v>159</v>
      </c>
      <c r="T1081" s="158">
        <v>7.3</v>
      </c>
      <c r="U1081" s="11" t="s">
        <v>2775</v>
      </c>
      <c r="V1081" s="174">
        <v>5.8749999999999997E-2</v>
      </c>
      <c r="W1081" s="189">
        <v>6.2039999999999998E-2</v>
      </c>
      <c r="X1081" s="4" t="s">
        <v>602</v>
      </c>
      <c r="Y1081" s="4" t="s">
        <v>312</v>
      </c>
      <c r="Z1081" s="158">
        <v>20000</v>
      </c>
      <c r="AA1081" s="158">
        <v>3.7589999999999999</v>
      </c>
      <c r="AB1081" s="158">
        <v>100.241</v>
      </c>
      <c r="AD1081" s="158">
        <v>75.361000000000004</v>
      </c>
      <c r="AG1081" s="11" t="s">
        <v>37</v>
      </c>
      <c r="AH1081" s="189">
        <v>4.0000000000000003E-5</v>
      </c>
      <c r="AI1081" s="189">
        <v>3.36346375136698E-3</v>
      </c>
      <c r="AJ1081" s="189">
        <v>7.7504927688002302E-4</v>
      </c>
    </row>
    <row r="1082" spans="1:36">
      <c r="A1082" s="11" t="s">
        <v>256</v>
      </c>
      <c r="B1082" s="11">
        <v>7207</v>
      </c>
      <c r="C1082" s="11" t="s">
        <v>2745</v>
      </c>
      <c r="D1082" s="11" t="s">
        <v>2746</v>
      </c>
      <c r="E1082" s="4" t="s">
        <v>505</v>
      </c>
      <c r="F1082" s="11" t="s">
        <v>2923</v>
      </c>
      <c r="G1082" s="11" t="s">
        <v>2924</v>
      </c>
      <c r="H1082" s="11" t="s">
        <v>511</v>
      </c>
      <c r="I1082" s="11" t="s">
        <v>364</v>
      </c>
      <c r="J1082" s="11" t="s">
        <v>154</v>
      </c>
      <c r="K1082" s="11" t="s">
        <v>468</v>
      </c>
      <c r="L1082" s="11" t="s">
        <v>517</v>
      </c>
      <c r="M1082" s="11" t="s">
        <v>156</v>
      </c>
      <c r="N1082" s="11" t="s">
        <v>757</v>
      </c>
      <c r="O1082" s="11" t="s">
        <v>312</v>
      </c>
      <c r="P1082" s="11" t="s">
        <v>2749</v>
      </c>
      <c r="Q1082" s="11" t="s">
        <v>158</v>
      </c>
      <c r="R1082" s="11" t="s">
        <v>596</v>
      </c>
      <c r="S1082" s="11" t="s">
        <v>169</v>
      </c>
      <c r="T1082" s="158">
        <v>2.86</v>
      </c>
      <c r="U1082" s="11" t="s">
        <v>2925</v>
      </c>
      <c r="V1082" s="174">
        <v>2.6249999999999999E-2</v>
      </c>
      <c r="W1082" s="189">
        <v>7.9949999999999993E-2</v>
      </c>
      <c r="X1082" s="4" t="s">
        <v>602</v>
      </c>
      <c r="Y1082" s="4" t="s">
        <v>312</v>
      </c>
      <c r="Z1082" s="158">
        <v>10000</v>
      </c>
      <c r="AA1082" s="158">
        <v>4.0199999999999996</v>
      </c>
      <c r="AB1082" s="158">
        <v>86.938999999999993</v>
      </c>
      <c r="AD1082" s="158">
        <v>34.951000000000001</v>
      </c>
      <c r="AG1082" s="11" t="s">
        <v>37</v>
      </c>
      <c r="AH1082" s="189">
        <v>2.9E-5</v>
      </c>
      <c r="AI1082" s="189">
        <v>1.55991910218711E-3</v>
      </c>
      <c r="AJ1082" s="189">
        <v>3.59455091986671E-4</v>
      </c>
    </row>
    <row r="1083" spans="1:36">
      <c r="A1083" s="11" t="s">
        <v>256</v>
      </c>
      <c r="B1083" s="11">
        <v>7207</v>
      </c>
      <c r="C1083" s="11" t="s">
        <v>2926</v>
      </c>
      <c r="D1083" s="11" t="s">
        <v>2927</v>
      </c>
      <c r="E1083" s="4" t="s">
        <v>505</v>
      </c>
      <c r="F1083" s="11" t="s">
        <v>2928</v>
      </c>
      <c r="G1083" s="11" t="s">
        <v>2929</v>
      </c>
      <c r="H1083" s="11" t="s">
        <v>511</v>
      </c>
      <c r="I1083" s="11" t="s">
        <v>364</v>
      </c>
      <c r="J1083" s="11" t="s">
        <v>154</v>
      </c>
      <c r="K1083" s="11" t="s">
        <v>155</v>
      </c>
      <c r="L1083" s="11" t="s">
        <v>517</v>
      </c>
      <c r="M1083" s="11" t="s">
        <v>342</v>
      </c>
      <c r="N1083" s="11" t="s">
        <v>737</v>
      </c>
      <c r="O1083" s="11" t="s">
        <v>312</v>
      </c>
      <c r="P1083" s="11" t="s">
        <v>2769</v>
      </c>
      <c r="Q1083" s="11" t="s">
        <v>621</v>
      </c>
      <c r="R1083" s="11" t="s">
        <v>596</v>
      </c>
      <c r="S1083" s="11" t="s">
        <v>159</v>
      </c>
      <c r="T1083" s="158">
        <v>5.95</v>
      </c>
      <c r="U1083" s="11" t="s">
        <v>194</v>
      </c>
      <c r="V1083" s="174">
        <v>2.4500000000000001E-2</v>
      </c>
      <c r="W1083" s="189">
        <v>5.5120000000000002E-2</v>
      </c>
      <c r="X1083" s="4" t="s">
        <v>602</v>
      </c>
      <c r="Y1083" s="4" t="s">
        <v>312</v>
      </c>
      <c r="Z1083" s="158">
        <v>4000</v>
      </c>
      <c r="AA1083" s="158">
        <v>3.7589999999999999</v>
      </c>
      <c r="AB1083" s="158">
        <v>85.105000000000004</v>
      </c>
      <c r="AD1083" s="158">
        <v>12.795999999999999</v>
      </c>
      <c r="AG1083" s="11" t="s">
        <v>37</v>
      </c>
      <c r="AH1083" s="189">
        <v>9.9999999999999995E-7</v>
      </c>
      <c r="AI1083" s="189">
        <v>5.7111831511891004E-4</v>
      </c>
      <c r="AJ1083" s="189">
        <v>1.3160386728293101E-4</v>
      </c>
    </row>
    <row r="1084" spans="1:36">
      <c r="A1084" s="11" t="s">
        <v>256</v>
      </c>
      <c r="B1084" s="11">
        <v>7207</v>
      </c>
      <c r="C1084" s="11" t="s">
        <v>362</v>
      </c>
      <c r="D1084" s="11" t="s">
        <v>1802</v>
      </c>
      <c r="E1084" s="4" t="s">
        <v>1552</v>
      </c>
      <c r="F1084" s="11" t="s">
        <v>2930</v>
      </c>
      <c r="G1084" s="11" t="s">
        <v>2931</v>
      </c>
      <c r="H1084" s="11" t="s">
        <v>511</v>
      </c>
      <c r="I1084" s="11" t="s">
        <v>364</v>
      </c>
      <c r="J1084" s="11" t="s">
        <v>154</v>
      </c>
      <c r="K1084" s="11" t="s">
        <v>2114</v>
      </c>
      <c r="L1084" s="11" t="s">
        <v>517</v>
      </c>
      <c r="M1084" s="11" t="s">
        <v>342</v>
      </c>
      <c r="N1084" s="11" t="s">
        <v>725</v>
      </c>
      <c r="O1084" s="11" t="s">
        <v>312</v>
      </c>
      <c r="P1084" s="11" t="s">
        <v>2327</v>
      </c>
      <c r="Q1084" s="11" t="s">
        <v>621</v>
      </c>
      <c r="R1084" s="11" t="s">
        <v>596</v>
      </c>
      <c r="S1084" s="11" t="s">
        <v>159</v>
      </c>
      <c r="T1084" s="158">
        <v>2.82</v>
      </c>
      <c r="U1084" s="11" t="s">
        <v>2932</v>
      </c>
      <c r="V1084" s="174">
        <v>5.1249999999999997E-2</v>
      </c>
      <c r="W1084" s="189">
        <v>6.0760000000000002E-2</v>
      </c>
      <c r="X1084" s="4" t="s">
        <v>602</v>
      </c>
      <c r="Y1084" s="4" t="s">
        <v>312</v>
      </c>
      <c r="Z1084" s="158">
        <v>60000</v>
      </c>
      <c r="AA1084" s="158">
        <v>3.7589999999999999</v>
      </c>
      <c r="AB1084" s="158">
        <v>99.316000000000003</v>
      </c>
      <c r="AD1084" s="158">
        <v>223.99799999999999</v>
      </c>
      <c r="AG1084" s="11" t="s">
        <v>37</v>
      </c>
      <c r="AH1084" s="189">
        <v>0</v>
      </c>
      <c r="AI1084" s="189">
        <v>9.9973664957691295E-3</v>
      </c>
      <c r="AJ1084" s="189">
        <v>2.3037119606540402E-3</v>
      </c>
    </row>
    <row r="1085" spans="1:36">
      <c r="A1085" s="11" t="s">
        <v>256</v>
      </c>
      <c r="B1085" s="11">
        <v>7207</v>
      </c>
      <c r="C1085" s="11" t="s">
        <v>2776</v>
      </c>
      <c r="D1085" s="11" t="s">
        <v>2777</v>
      </c>
      <c r="E1085" s="4" t="s">
        <v>505</v>
      </c>
      <c r="F1085" s="11" t="s">
        <v>2778</v>
      </c>
      <c r="G1085" s="11" t="s">
        <v>2779</v>
      </c>
      <c r="H1085" s="11" t="s">
        <v>511</v>
      </c>
      <c r="I1085" s="11" t="s">
        <v>364</v>
      </c>
      <c r="J1085" s="11" t="s">
        <v>154</v>
      </c>
      <c r="K1085" s="11" t="s">
        <v>431</v>
      </c>
      <c r="L1085" s="11" t="s">
        <v>517</v>
      </c>
      <c r="M1085" s="11" t="s">
        <v>342</v>
      </c>
      <c r="N1085" s="11" t="s">
        <v>723</v>
      </c>
      <c r="O1085" s="11" t="s">
        <v>312</v>
      </c>
      <c r="P1085" s="11" t="s">
        <v>2743</v>
      </c>
      <c r="Q1085" s="11" t="s">
        <v>158</v>
      </c>
      <c r="R1085" s="11" t="s">
        <v>596</v>
      </c>
      <c r="S1085" s="11" t="s">
        <v>159</v>
      </c>
      <c r="T1085" s="158">
        <v>3.95</v>
      </c>
      <c r="U1085" s="11" t="s">
        <v>2780</v>
      </c>
      <c r="V1085" s="174">
        <v>4.3749999999999997E-2</v>
      </c>
      <c r="W1085" s="189">
        <v>5.9139999999999998E-2</v>
      </c>
      <c r="X1085" s="4" t="s">
        <v>602</v>
      </c>
      <c r="Y1085" s="4" t="s">
        <v>312</v>
      </c>
      <c r="Z1085" s="158">
        <v>25000</v>
      </c>
      <c r="AA1085" s="158">
        <v>3.7589999999999999</v>
      </c>
      <c r="AB1085" s="158">
        <v>94.977999999999994</v>
      </c>
      <c r="AD1085" s="158">
        <v>89.256</v>
      </c>
      <c r="AG1085" s="11" t="s">
        <v>37</v>
      </c>
      <c r="AH1085" s="189">
        <v>6.9999999999999999E-6</v>
      </c>
      <c r="AI1085" s="189">
        <v>3.9836177005643601E-3</v>
      </c>
      <c r="AJ1085" s="189">
        <v>9.1795251753019305E-4</v>
      </c>
    </row>
    <row r="1086" spans="1:36">
      <c r="A1086" s="11" t="s">
        <v>256</v>
      </c>
      <c r="B1086" s="11">
        <v>7207</v>
      </c>
      <c r="C1086" s="11" t="s">
        <v>2933</v>
      </c>
      <c r="D1086" s="11" t="s">
        <v>2934</v>
      </c>
      <c r="E1086" s="4" t="s">
        <v>505</v>
      </c>
      <c r="F1086" s="11" t="s">
        <v>2935</v>
      </c>
      <c r="G1086" s="11" t="s">
        <v>2936</v>
      </c>
      <c r="H1086" s="11" t="s">
        <v>511</v>
      </c>
      <c r="I1086" s="11" t="s">
        <v>364</v>
      </c>
      <c r="J1086" s="11" t="s">
        <v>154</v>
      </c>
      <c r="K1086" s="11" t="s">
        <v>470</v>
      </c>
      <c r="L1086" s="11" t="s">
        <v>517</v>
      </c>
      <c r="M1086" s="11" t="s">
        <v>553</v>
      </c>
      <c r="N1086" s="11" t="s">
        <v>757</v>
      </c>
      <c r="O1086" s="11" t="s">
        <v>312</v>
      </c>
      <c r="P1086" s="11" t="s">
        <v>2937</v>
      </c>
      <c r="Q1086" s="11" t="s">
        <v>158</v>
      </c>
      <c r="R1086" s="11" t="s">
        <v>596</v>
      </c>
      <c r="S1086" s="11" t="s">
        <v>169</v>
      </c>
      <c r="T1086" s="158">
        <v>3.46</v>
      </c>
      <c r="U1086" s="11" t="s">
        <v>2938</v>
      </c>
      <c r="V1086" s="174">
        <v>1.6250000000000001E-2</v>
      </c>
      <c r="W1086" s="189">
        <v>6.0409999999999998E-2</v>
      </c>
      <c r="X1086" s="4" t="s">
        <v>602</v>
      </c>
      <c r="Y1086" s="4" t="s">
        <v>312</v>
      </c>
      <c r="Z1086" s="158">
        <v>10000</v>
      </c>
      <c r="AA1086" s="158">
        <v>4.0199999999999996</v>
      </c>
      <c r="AB1086" s="158">
        <v>86.126000000000005</v>
      </c>
      <c r="AD1086" s="158">
        <v>34.625</v>
      </c>
      <c r="AG1086" s="11" t="s">
        <v>37</v>
      </c>
      <c r="AH1086" s="189">
        <v>2.9E-5</v>
      </c>
      <c r="AI1086" s="189">
        <v>1.5453428913972599E-3</v>
      </c>
      <c r="AJ1086" s="189">
        <v>3.5609626832527999E-4</v>
      </c>
    </row>
    <row r="1087" spans="1:36">
      <c r="A1087" s="11" t="s">
        <v>256</v>
      </c>
      <c r="B1087" s="11">
        <v>7207</v>
      </c>
      <c r="C1087" s="11" t="s">
        <v>2939</v>
      </c>
      <c r="D1087" s="11" t="s">
        <v>2940</v>
      </c>
      <c r="E1087" s="4" t="s">
        <v>505</v>
      </c>
      <c r="F1087" s="11" t="s">
        <v>2941</v>
      </c>
      <c r="G1087" s="11" t="s">
        <v>2942</v>
      </c>
      <c r="H1087" s="11" t="s">
        <v>511</v>
      </c>
      <c r="I1087" s="11" t="s">
        <v>364</v>
      </c>
      <c r="J1087" s="11" t="s">
        <v>154</v>
      </c>
      <c r="K1087" s="11" t="s">
        <v>155</v>
      </c>
      <c r="L1087" s="11" t="s">
        <v>517</v>
      </c>
      <c r="M1087" s="11" t="s">
        <v>156</v>
      </c>
      <c r="N1087" s="11" t="s">
        <v>701</v>
      </c>
      <c r="O1087" s="11" t="s">
        <v>312</v>
      </c>
      <c r="P1087" s="11" t="s">
        <v>2943</v>
      </c>
      <c r="Q1087" s="11" t="s">
        <v>158</v>
      </c>
      <c r="R1087" s="11" t="s">
        <v>596</v>
      </c>
      <c r="S1087" s="11" t="s">
        <v>159</v>
      </c>
      <c r="T1087" s="158">
        <v>6.17</v>
      </c>
      <c r="U1087" s="11" t="s">
        <v>246</v>
      </c>
      <c r="V1087" s="174">
        <v>4.4999999999999998E-2</v>
      </c>
      <c r="W1087" s="189">
        <v>7.0239999999999997E-2</v>
      </c>
      <c r="X1087" s="4" t="s">
        <v>602</v>
      </c>
      <c r="Y1087" s="4" t="s">
        <v>312</v>
      </c>
      <c r="Z1087" s="158">
        <v>10000</v>
      </c>
      <c r="AA1087" s="158">
        <v>3.7589999999999999</v>
      </c>
      <c r="AB1087" s="158">
        <v>87.688999999999993</v>
      </c>
      <c r="AD1087" s="158">
        <v>32.962000000000003</v>
      </c>
      <c r="AG1087" s="11" t="s">
        <v>37</v>
      </c>
      <c r="AH1087" s="189">
        <v>2.1999999999999999E-5</v>
      </c>
      <c r="AI1087" s="189">
        <v>1.4711549203935701E-3</v>
      </c>
      <c r="AJ1087" s="189">
        <v>3.3900099466394301E-4</v>
      </c>
    </row>
    <row r="1088" spans="1:36">
      <c r="A1088" s="11" t="s">
        <v>256</v>
      </c>
      <c r="B1088" s="11">
        <v>7207</v>
      </c>
      <c r="C1088" s="11" t="s">
        <v>2781</v>
      </c>
      <c r="D1088" s="11" t="s">
        <v>2782</v>
      </c>
      <c r="E1088" s="4" t="s">
        <v>505</v>
      </c>
      <c r="F1088" s="11" t="s">
        <v>2783</v>
      </c>
      <c r="G1088" s="11" t="s">
        <v>2784</v>
      </c>
      <c r="H1088" s="11" t="s">
        <v>511</v>
      </c>
      <c r="I1088" s="11" t="s">
        <v>364</v>
      </c>
      <c r="J1088" s="11" t="s">
        <v>154</v>
      </c>
      <c r="K1088" s="11" t="s">
        <v>155</v>
      </c>
      <c r="L1088" s="11" t="s">
        <v>517</v>
      </c>
      <c r="M1088" s="11" t="s">
        <v>156</v>
      </c>
      <c r="N1088" s="11" t="s">
        <v>1999</v>
      </c>
      <c r="O1088" s="11" t="s">
        <v>312</v>
      </c>
      <c r="P1088" s="11" t="s">
        <v>2354</v>
      </c>
      <c r="Q1088" s="11" t="s">
        <v>621</v>
      </c>
      <c r="R1088" s="11" t="s">
        <v>596</v>
      </c>
      <c r="S1088" s="11" t="s">
        <v>159</v>
      </c>
      <c r="T1088" s="158">
        <v>3.57</v>
      </c>
      <c r="U1088" s="11" t="s">
        <v>2785</v>
      </c>
      <c r="V1088" s="174">
        <v>5.1999999999999998E-2</v>
      </c>
      <c r="W1088" s="189">
        <v>5.423E-2</v>
      </c>
      <c r="X1088" s="4" t="s">
        <v>602</v>
      </c>
      <c r="Y1088" s="4" t="s">
        <v>312</v>
      </c>
      <c r="Z1088" s="158">
        <v>15000</v>
      </c>
      <c r="AA1088" s="158">
        <v>3.7589999999999999</v>
      </c>
      <c r="AB1088" s="158">
        <v>102.297</v>
      </c>
      <c r="AD1088" s="158">
        <v>57.68</v>
      </c>
      <c r="AG1088" s="11" t="s">
        <v>37</v>
      </c>
      <c r="AH1088" s="189">
        <v>3.0000000000000001E-5</v>
      </c>
      <c r="AI1088" s="189">
        <v>2.5743435601120199E-3</v>
      </c>
      <c r="AJ1088" s="189">
        <v>5.9321082734863995E-4</v>
      </c>
    </row>
    <row r="1089" spans="1:36">
      <c r="A1089" s="11" t="s">
        <v>256</v>
      </c>
      <c r="B1089" s="11">
        <v>7207</v>
      </c>
      <c r="C1089" s="11" t="s">
        <v>2781</v>
      </c>
      <c r="D1089" s="11" t="s">
        <v>2782</v>
      </c>
      <c r="E1089" s="4" t="s">
        <v>505</v>
      </c>
      <c r="F1089" s="11" t="s">
        <v>2786</v>
      </c>
      <c r="G1089" s="11" t="s">
        <v>2787</v>
      </c>
      <c r="H1089" s="11" t="s">
        <v>511</v>
      </c>
      <c r="I1089" s="11" t="s">
        <v>364</v>
      </c>
      <c r="J1089" s="11" t="s">
        <v>154</v>
      </c>
      <c r="K1089" s="11" t="s">
        <v>155</v>
      </c>
      <c r="L1089" s="11" t="s">
        <v>517</v>
      </c>
      <c r="M1089" s="11" t="s">
        <v>156</v>
      </c>
      <c r="N1089" s="11" t="s">
        <v>1999</v>
      </c>
      <c r="O1089" s="11" t="s">
        <v>312</v>
      </c>
      <c r="P1089" s="11" t="s">
        <v>2354</v>
      </c>
      <c r="Q1089" s="11" t="s">
        <v>621</v>
      </c>
      <c r="R1089" s="11" t="s">
        <v>596</v>
      </c>
      <c r="S1089" s="11" t="s">
        <v>159</v>
      </c>
      <c r="T1089" s="158">
        <v>6.91</v>
      </c>
      <c r="U1089" s="11" t="s">
        <v>2788</v>
      </c>
      <c r="V1089" s="174">
        <v>5.45E-2</v>
      </c>
      <c r="W1089" s="189">
        <v>5.7049999999999997E-2</v>
      </c>
      <c r="X1089" s="4" t="s">
        <v>602</v>
      </c>
      <c r="Y1089" s="4" t="s">
        <v>312</v>
      </c>
      <c r="Z1089" s="158">
        <v>15000</v>
      </c>
      <c r="AA1089" s="158">
        <v>3.7589999999999999</v>
      </c>
      <c r="AB1089" s="158">
        <v>102.005</v>
      </c>
      <c r="AD1089" s="158">
        <v>57.515999999999998</v>
      </c>
      <c r="AG1089" s="11" t="s">
        <v>37</v>
      </c>
      <c r="AH1089" s="189">
        <v>1.5E-5</v>
      </c>
      <c r="AI1089" s="189">
        <v>2.56700852183367E-3</v>
      </c>
      <c r="AJ1089" s="189">
        <v>5.91520600685363E-4</v>
      </c>
    </row>
    <row r="1090" spans="1:36">
      <c r="A1090" s="11" t="s">
        <v>256</v>
      </c>
      <c r="B1090" s="11">
        <v>7207</v>
      </c>
      <c r="C1090" s="11" t="s">
        <v>2944</v>
      </c>
      <c r="D1090" s="11" t="s">
        <v>2945</v>
      </c>
      <c r="E1090" s="4" t="s">
        <v>34</v>
      </c>
      <c r="F1090" s="11" t="s">
        <v>2946</v>
      </c>
      <c r="G1090" s="11" t="s">
        <v>2947</v>
      </c>
      <c r="H1090" s="11" t="s">
        <v>511</v>
      </c>
      <c r="I1090" s="11" t="s">
        <v>364</v>
      </c>
      <c r="J1090" s="11" t="s">
        <v>154</v>
      </c>
      <c r="K1090" s="11" t="s">
        <v>155</v>
      </c>
      <c r="L1090" s="11" t="s">
        <v>517</v>
      </c>
      <c r="M1090" s="11" t="s">
        <v>342</v>
      </c>
      <c r="N1090" s="11" t="s">
        <v>675</v>
      </c>
      <c r="O1090" s="11" t="s">
        <v>312</v>
      </c>
      <c r="P1090" s="11" t="s">
        <v>2769</v>
      </c>
      <c r="Q1090" s="11" t="s">
        <v>158</v>
      </c>
      <c r="R1090" s="11" t="s">
        <v>596</v>
      </c>
      <c r="S1090" s="11" t="s">
        <v>159</v>
      </c>
      <c r="T1090" s="158">
        <v>5.34</v>
      </c>
      <c r="U1090" s="11" t="s">
        <v>2948</v>
      </c>
      <c r="V1090" s="174">
        <v>4.4999999999999998E-2</v>
      </c>
      <c r="W1090" s="189">
        <v>5.9499999999999997E-2</v>
      </c>
      <c r="X1090" s="4" t="s">
        <v>602</v>
      </c>
      <c r="Y1090" s="4" t="s">
        <v>312</v>
      </c>
      <c r="Z1090" s="158">
        <v>4000</v>
      </c>
      <c r="AA1090" s="158">
        <v>3.7589999999999999</v>
      </c>
      <c r="AB1090" s="158">
        <v>95.087000000000003</v>
      </c>
      <c r="AD1090" s="158">
        <v>14.297000000000001</v>
      </c>
      <c r="AG1090" s="11" t="s">
        <v>37</v>
      </c>
      <c r="AH1090" s="189">
        <v>0</v>
      </c>
      <c r="AI1090" s="189">
        <v>6.3810835071885096E-4</v>
      </c>
      <c r="AJ1090" s="189">
        <v>1.4704050715419399E-4</v>
      </c>
    </row>
    <row r="1091" spans="1:36">
      <c r="A1091" s="11" t="s">
        <v>256</v>
      </c>
      <c r="B1091" s="11">
        <v>7207</v>
      </c>
      <c r="C1091" s="11" t="s">
        <v>2949</v>
      </c>
      <c r="D1091" s="11" t="s">
        <v>2950</v>
      </c>
      <c r="E1091" s="4" t="s">
        <v>505</v>
      </c>
      <c r="F1091" s="11" t="s">
        <v>2951</v>
      </c>
      <c r="G1091" s="11" t="s">
        <v>2952</v>
      </c>
      <c r="H1091" s="11" t="s">
        <v>511</v>
      </c>
      <c r="I1091" s="11" t="s">
        <v>364</v>
      </c>
      <c r="J1091" s="11" t="s">
        <v>154</v>
      </c>
      <c r="K1091" s="11" t="s">
        <v>155</v>
      </c>
      <c r="L1091" s="11" t="s">
        <v>517</v>
      </c>
      <c r="M1091" s="11" t="s">
        <v>156</v>
      </c>
      <c r="N1091" s="11" t="s">
        <v>704</v>
      </c>
      <c r="O1091" s="11" t="s">
        <v>312</v>
      </c>
      <c r="P1091" s="11" t="s">
        <v>2769</v>
      </c>
      <c r="Q1091" s="11" t="s">
        <v>158</v>
      </c>
      <c r="R1091" s="11" t="s">
        <v>596</v>
      </c>
      <c r="S1091" s="11" t="s">
        <v>159</v>
      </c>
      <c r="T1091" s="158">
        <v>6.46</v>
      </c>
      <c r="U1091" s="11" t="s">
        <v>2953</v>
      </c>
      <c r="V1091" s="174">
        <v>3.15E-2</v>
      </c>
      <c r="W1091" s="189">
        <v>5.8680000000000003E-2</v>
      </c>
      <c r="X1091" s="4" t="s">
        <v>602</v>
      </c>
      <c r="Y1091" s="4" t="s">
        <v>312</v>
      </c>
      <c r="Z1091" s="158">
        <v>10000</v>
      </c>
      <c r="AA1091" s="158">
        <v>3.7589999999999999</v>
      </c>
      <c r="AB1091" s="158">
        <v>86.38</v>
      </c>
      <c r="AD1091" s="158">
        <v>32.47</v>
      </c>
      <c r="AG1091" s="11" t="s">
        <v>37</v>
      </c>
      <c r="AH1091" s="189">
        <v>0</v>
      </c>
      <c r="AI1091" s="189">
        <v>1.4491896843944699E-3</v>
      </c>
      <c r="AJ1091" s="189">
        <v>3.3393950402927101E-4</v>
      </c>
    </row>
    <row r="1092" spans="1:36">
      <c r="A1092" s="11" t="s">
        <v>256</v>
      </c>
      <c r="B1092" s="11">
        <v>7207</v>
      </c>
      <c r="C1092" s="11" t="s">
        <v>2954</v>
      </c>
      <c r="D1092" s="11" t="s">
        <v>2955</v>
      </c>
      <c r="E1092" s="4" t="s">
        <v>505</v>
      </c>
      <c r="F1092" s="11" t="s">
        <v>2956</v>
      </c>
      <c r="G1092" s="11" t="s">
        <v>2957</v>
      </c>
      <c r="H1092" s="11" t="s">
        <v>511</v>
      </c>
      <c r="I1092" s="11" t="s">
        <v>364</v>
      </c>
      <c r="J1092" s="11" t="s">
        <v>154</v>
      </c>
      <c r="K1092" s="11" t="s">
        <v>155</v>
      </c>
      <c r="L1092" s="11" t="s">
        <v>517</v>
      </c>
      <c r="M1092" s="11" t="s">
        <v>156</v>
      </c>
      <c r="N1092" s="11" t="s">
        <v>704</v>
      </c>
      <c r="O1092" s="11" t="s">
        <v>312</v>
      </c>
      <c r="P1092" s="11" t="s">
        <v>2221</v>
      </c>
      <c r="Q1092" s="11" t="s">
        <v>158</v>
      </c>
      <c r="R1092" s="11" t="s">
        <v>596</v>
      </c>
      <c r="S1092" s="11" t="s">
        <v>159</v>
      </c>
      <c r="T1092" s="158">
        <v>5.18</v>
      </c>
      <c r="U1092" s="11" t="s">
        <v>2958</v>
      </c>
      <c r="V1092" s="174">
        <v>2.7E-2</v>
      </c>
      <c r="W1092" s="189">
        <v>5.2929999999999998E-2</v>
      </c>
      <c r="X1092" s="4" t="s">
        <v>602</v>
      </c>
      <c r="Y1092" s="4" t="s">
        <v>312</v>
      </c>
      <c r="Z1092" s="158">
        <v>10000</v>
      </c>
      <c r="AA1092" s="158">
        <v>3.7589999999999999</v>
      </c>
      <c r="AB1092" s="158">
        <v>88.885999999999996</v>
      </c>
      <c r="AD1092" s="158">
        <v>33.411999999999999</v>
      </c>
      <c r="AG1092" s="11" t="s">
        <v>37</v>
      </c>
      <c r="AH1092" s="189">
        <v>1.1E-5</v>
      </c>
      <c r="AI1092" s="189">
        <v>1.4912344595465199E-3</v>
      </c>
      <c r="AJ1092" s="189">
        <v>3.4362796062849401E-4</v>
      </c>
    </row>
    <row r="1093" spans="1:36">
      <c r="A1093" s="11" t="s">
        <v>256</v>
      </c>
      <c r="B1093" s="11">
        <v>7207</v>
      </c>
      <c r="C1093" s="11" t="s">
        <v>2789</v>
      </c>
      <c r="D1093" s="11" t="s">
        <v>2790</v>
      </c>
      <c r="E1093" s="4" t="s">
        <v>505</v>
      </c>
      <c r="F1093" s="11" t="s">
        <v>2791</v>
      </c>
      <c r="G1093" s="11" t="s">
        <v>2792</v>
      </c>
      <c r="H1093" s="11" t="s">
        <v>511</v>
      </c>
      <c r="I1093" s="11" t="s">
        <v>364</v>
      </c>
      <c r="J1093" s="11" t="s">
        <v>154</v>
      </c>
      <c r="K1093" s="11" t="s">
        <v>474</v>
      </c>
      <c r="L1093" s="11" t="s">
        <v>517</v>
      </c>
      <c r="M1093" s="11" t="s">
        <v>342</v>
      </c>
      <c r="N1093" s="11" t="s">
        <v>746</v>
      </c>
      <c r="O1093" s="11" t="s">
        <v>312</v>
      </c>
      <c r="P1093" s="11" t="s">
        <v>2354</v>
      </c>
      <c r="Q1093" s="11" t="s">
        <v>621</v>
      </c>
      <c r="R1093" s="11" t="s">
        <v>596</v>
      </c>
      <c r="S1093" s="11" t="s">
        <v>159</v>
      </c>
      <c r="T1093" s="158">
        <v>3.45</v>
      </c>
      <c r="U1093" s="11" t="s">
        <v>2793</v>
      </c>
      <c r="V1093" s="174">
        <v>5.7000000000000002E-2</v>
      </c>
      <c r="W1093" s="189">
        <v>5.4559999999999997E-2</v>
      </c>
      <c r="X1093" s="4" t="s">
        <v>602</v>
      </c>
      <c r="Y1093" s="4" t="s">
        <v>312</v>
      </c>
      <c r="Z1093" s="158">
        <v>20000</v>
      </c>
      <c r="AA1093" s="158">
        <v>3.7589999999999999</v>
      </c>
      <c r="AB1093" s="158">
        <v>101.672</v>
      </c>
      <c r="AD1093" s="158">
        <v>76.436999999999998</v>
      </c>
      <c r="AG1093" s="11" t="s">
        <v>37</v>
      </c>
      <c r="AH1093" s="189">
        <v>2.0000000000000002E-5</v>
      </c>
      <c r="AI1093" s="189">
        <v>3.4114887413235601E-3</v>
      </c>
      <c r="AJ1093" s="189">
        <v>7.8611576562184098E-4</v>
      </c>
    </row>
    <row r="1094" spans="1:36">
      <c r="A1094" s="11" t="s">
        <v>256</v>
      </c>
      <c r="B1094" s="11">
        <v>7207</v>
      </c>
      <c r="C1094" s="11" t="s">
        <v>2789</v>
      </c>
      <c r="D1094" s="11" t="s">
        <v>2790</v>
      </c>
      <c r="E1094" s="4" t="s">
        <v>505</v>
      </c>
      <c r="F1094" s="11" t="s">
        <v>2794</v>
      </c>
      <c r="G1094" s="11" t="s">
        <v>2795</v>
      </c>
      <c r="H1094" s="11" t="s">
        <v>511</v>
      </c>
      <c r="I1094" s="11" t="s">
        <v>364</v>
      </c>
      <c r="J1094" s="11" t="s">
        <v>154</v>
      </c>
      <c r="K1094" s="11" t="s">
        <v>155</v>
      </c>
      <c r="L1094" s="11" t="s">
        <v>517</v>
      </c>
      <c r="M1094" s="11" t="s">
        <v>342</v>
      </c>
      <c r="N1094" s="11" t="s">
        <v>746</v>
      </c>
      <c r="O1094" s="11" t="s">
        <v>312</v>
      </c>
      <c r="P1094" s="11" t="s">
        <v>2354</v>
      </c>
      <c r="Q1094" s="11" t="s">
        <v>621</v>
      </c>
      <c r="R1094" s="11" t="s">
        <v>596</v>
      </c>
      <c r="S1094" s="11" t="s">
        <v>159</v>
      </c>
      <c r="T1094" s="158">
        <v>3.45</v>
      </c>
      <c r="U1094" s="11" t="s">
        <v>2793</v>
      </c>
      <c r="V1094" s="174">
        <v>5.7000000000000002E-2</v>
      </c>
      <c r="W1094" s="189">
        <v>5.4649999999999997E-2</v>
      </c>
      <c r="X1094" s="4" t="s">
        <v>602</v>
      </c>
      <c r="Y1094" s="4" t="s">
        <v>312</v>
      </c>
      <c r="Z1094" s="158">
        <v>15000</v>
      </c>
      <c r="AA1094" s="158">
        <v>3.7589999999999999</v>
      </c>
      <c r="AB1094" s="158">
        <v>101.532</v>
      </c>
      <c r="AD1094" s="158">
        <v>57.249000000000002</v>
      </c>
      <c r="AG1094" s="11" t="s">
        <v>37</v>
      </c>
      <c r="AH1094" s="189">
        <v>1.5E-5</v>
      </c>
      <c r="AI1094" s="189">
        <v>2.5550933900189299E-3</v>
      </c>
      <c r="AJ1094" s="189">
        <v>5.8877497445609505E-4</v>
      </c>
    </row>
    <row r="1095" spans="1:36">
      <c r="A1095" s="11" t="s">
        <v>256</v>
      </c>
      <c r="B1095" s="11">
        <v>7207</v>
      </c>
      <c r="C1095" s="11" t="s">
        <v>1678</v>
      </c>
      <c r="D1095" s="11" t="s">
        <v>1679</v>
      </c>
      <c r="E1095" s="4" t="s">
        <v>505</v>
      </c>
      <c r="F1095" s="11" t="s">
        <v>2959</v>
      </c>
      <c r="G1095" s="11" t="s">
        <v>2960</v>
      </c>
      <c r="H1095" s="11" t="s">
        <v>511</v>
      </c>
      <c r="I1095" s="11" t="s">
        <v>364</v>
      </c>
      <c r="J1095" s="11" t="s">
        <v>154</v>
      </c>
      <c r="K1095" s="11" t="s">
        <v>426</v>
      </c>
      <c r="L1095" s="11" t="s">
        <v>517</v>
      </c>
      <c r="M1095" s="11" t="s">
        <v>342</v>
      </c>
      <c r="N1095" s="11" t="s">
        <v>675</v>
      </c>
      <c r="O1095" s="11" t="s">
        <v>312</v>
      </c>
      <c r="P1095" s="11" t="s">
        <v>2961</v>
      </c>
      <c r="Q1095" s="11" t="s">
        <v>621</v>
      </c>
      <c r="R1095" s="11" t="s">
        <v>596</v>
      </c>
      <c r="S1095" s="11" t="s">
        <v>159</v>
      </c>
      <c r="T1095" s="158">
        <v>2.57</v>
      </c>
      <c r="U1095" s="11" t="s">
        <v>2891</v>
      </c>
      <c r="V1095" s="174">
        <v>6.5000000000000002E-2</v>
      </c>
      <c r="W1095" s="189">
        <v>8.5900000000000004E-2</v>
      </c>
      <c r="X1095" s="4" t="s">
        <v>602</v>
      </c>
      <c r="Y1095" s="4" t="s">
        <v>312</v>
      </c>
      <c r="Z1095" s="158">
        <v>10000</v>
      </c>
      <c r="AA1095" s="158">
        <v>3.7589999999999999</v>
      </c>
      <c r="AB1095" s="158">
        <v>99.774000000000001</v>
      </c>
      <c r="AD1095" s="158">
        <v>37.505000000000003</v>
      </c>
      <c r="AG1095" s="11" t="s">
        <v>37</v>
      </c>
      <c r="AH1095" s="189">
        <v>2.1999999999999999E-5</v>
      </c>
      <c r="AI1095" s="189">
        <v>1.67391007905138E-3</v>
      </c>
      <c r="AJ1095" s="189">
        <v>3.8572224713397899E-4</v>
      </c>
    </row>
    <row r="1096" spans="1:36">
      <c r="A1096" s="11" t="s">
        <v>256</v>
      </c>
      <c r="B1096" s="11">
        <v>7207</v>
      </c>
      <c r="C1096" s="11" t="s">
        <v>2962</v>
      </c>
      <c r="D1096" s="11" t="s">
        <v>2963</v>
      </c>
      <c r="E1096" s="4" t="s">
        <v>505</v>
      </c>
      <c r="F1096" s="11" t="s">
        <v>2964</v>
      </c>
      <c r="G1096" s="11" t="s">
        <v>2965</v>
      </c>
      <c r="H1096" s="11" t="s">
        <v>511</v>
      </c>
      <c r="I1096" s="11" t="s">
        <v>364</v>
      </c>
      <c r="J1096" s="11" t="s">
        <v>154</v>
      </c>
      <c r="K1096" s="11" t="s">
        <v>155</v>
      </c>
      <c r="L1096" s="11" t="s">
        <v>517</v>
      </c>
      <c r="M1096" s="11" t="s">
        <v>156</v>
      </c>
      <c r="N1096" s="11" t="s">
        <v>698</v>
      </c>
      <c r="O1096" s="11" t="s">
        <v>312</v>
      </c>
      <c r="P1096" s="11" t="s">
        <v>2743</v>
      </c>
      <c r="Q1096" s="11" t="s">
        <v>158</v>
      </c>
      <c r="R1096" s="11" t="s">
        <v>596</v>
      </c>
      <c r="S1096" s="11" t="s">
        <v>159</v>
      </c>
      <c r="T1096" s="158">
        <v>5.16</v>
      </c>
      <c r="U1096" s="11" t="s">
        <v>2966</v>
      </c>
      <c r="V1096" s="174">
        <v>4.2500000000000003E-2</v>
      </c>
      <c r="W1096" s="189">
        <v>5.1999999999999998E-2</v>
      </c>
      <c r="X1096" s="4" t="s">
        <v>602</v>
      </c>
      <c r="Y1096" s="4" t="s">
        <v>312</v>
      </c>
      <c r="Z1096" s="158">
        <v>10000</v>
      </c>
      <c r="AA1096" s="158">
        <v>3.7589999999999999</v>
      </c>
      <c r="AB1096" s="158">
        <v>96.417000000000002</v>
      </c>
      <c r="AD1096" s="158">
        <v>36.243000000000002</v>
      </c>
      <c r="AG1096" s="11" t="s">
        <v>37</v>
      </c>
      <c r="AH1096" s="189">
        <v>1.2999999999999999E-5</v>
      </c>
      <c r="AI1096" s="189">
        <v>1.61758680160898E-3</v>
      </c>
      <c r="AJ1096" s="189">
        <v>3.7274356840271398E-4</v>
      </c>
    </row>
    <row r="1097" spans="1:36">
      <c r="A1097" s="11" t="s">
        <v>256</v>
      </c>
      <c r="B1097" s="11">
        <v>7207</v>
      </c>
      <c r="C1097" s="11" t="s">
        <v>2967</v>
      </c>
      <c r="D1097" s="11" t="s">
        <v>2968</v>
      </c>
      <c r="E1097" s="4" t="s">
        <v>505</v>
      </c>
      <c r="F1097" s="11" t="s">
        <v>2969</v>
      </c>
      <c r="G1097" s="11" t="s">
        <v>2970</v>
      </c>
      <c r="H1097" s="11" t="s">
        <v>511</v>
      </c>
      <c r="I1097" s="11" t="s">
        <v>364</v>
      </c>
      <c r="J1097" s="11" t="s">
        <v>154</v>
      </c>
      <c r="K1097" s="11" t="s">
        <v>155</v>
      </c>
      <c r="L1097" s="11" t="s">
        <v>517</v>
      </c>
      <c r="M1097" s="11" t="s">
        <v>156</v>
      </c>
      <c r="N1097" s="11" t="s">
        <v>2971</v>
      </c>
      <c r="O1097" s="11" t="s">
        <v>312</v>
      </c>
      <c r="P1097" s="11" t="s">
        <v>2769</v>
      </c>
      <c r="Q1097" s="11" t="s">
        <v>158</v>
      </c>
      <c r="R1097" s="11" t="s">
        <v>596</v>
      </c>
      <c r="S1097" s="11" t="s">
        <v>159</v>
      </c>
      <c r="T1097" s="158">
        <v>3.94</v>
      </c>
      <c r="U1097" s="11" t="s">
        <v>2972</v>
      </c>
      <c r="V1097" s="174">
        <v>3.125E-2</v>
      </c>
      <c r="W1097" s="189">
        <v>6.7650000000000002E-2</v>
      </c>
      <c r="X1097" s="4" t="s">
        <v>602</v>
      </c>
      <c r="Y1097" s="4" t="s">
        <v>312</v>
      </c>
      <c r="Z1097" s="158">
        <v>15000</v>
      </c>
      <c r="AA1097" s="158">
        <v>3.7589999999999999</v>
      </c>
      <c r="AB1097" s="158">
        <v>87.599000000000004</v>
      </c>
      <c r="AD1097" s="158">
        <v>49.392000000000003</v>
      </c>
      <c r="AG1097" s="11" t="s">
        <v>37</v>
      </c>
      <c r="AH1097" s="189">
        <v>2.0000000000000002E-5</v>
      </c>
      <c r="AI1097" s="189">
        <v>2.2044554617940298E-3</v>
      </c>
      <c r="AJ1097" s="189">
        <v>5.0797681731616195E-4</v>
      </c>
    </row>
    <row r="1098" spans="1:36">
      <c r="A1098" s="11" t="s">
        <v>256</v>
      </c>
      <c r="B1098" s="11">
        <v>7207</v>
      </c>
      <c r="C1098" s="11" t="s">
        <v>2115</v>
      </c>
      <c r="D1098" s="11" t="s">
        <v>2116</v>
      </c>
      <c r="E1098" s="4" t="s">
        <v>505</v>
      </c>
      <c r="F1098" s="11" t="s">
        <v>2796</v>
      </c>
      <c r="G1098" s="11" t="s">
        <v>2797</v>
      </c>
      <c r="H1098" s="11" t="s">
        <v>511</v>
      </c>
      <c r="I1098" s="11" t="s">
        <v>364</v>
      </c>
      <c r="J1098" s="11" t="s">
        <v>154</v>
      </c>
      <c r="K1098" s="11" t="s">
        <v>446</v>
      </c>
      <c r="L1098" s="11" t="s">
        <v>517</v>
      </c>
      <c r="M1098" s="11" t="s">
        <v>553</v>
      </c>
      <c r="N1098" s="11" t="s">
        <v>757</v>
      </c>
      <c r="O1098" s="11" t="s">
        <v>312</v>
      </c>
      <c r="P1098" s="11" t="s">
        <v>2221</v>
      </c>
      <c r="Q1098" s="11" t="s">
        <v>158</v>
      </c>
      <c r="R1098" s="11" t="s">
        <v>596</v>
      </c>
      <c r="S1098" s="11" t="s">
        <v>169</v>
      </c>
      <c r="T1098" s="158">
        <v>3.43</v>
      </c>
      <c r="U1098" s="11" t="s">
        <v>2798</v>
      </c>
      <c r="V1098" s="174">
        <v>1.25E-3</v>
      </c>
      <c r="W1098" s="189">
        <v>4.9979999999999997E-2</v>
      </c>
      <c r="X1098" s="4" t="s">
        <v>602</v>
      </c>
      <c r="Y1098" s="4" t="s">
        <v>312</v>
      </c>
      <c r="Z1098" s="158">
        <v>20000</v>
      </c>
      <c r="AA1098" s="158">
        <v>4.0199999999999996</v>
      </c>
      <c r="AB1098" s="158">
        <v>85.742999999999995</v>
      </c>
      <c r="AD1098" s="158">
        <v>68.941000000000003</v>
      </c>
      <c r="AG1098" s="11" t="s">
        <v>37</v>
      </c>
      <c r="AH1098" s="189">
        <v>2.0000000000000002E-5</v>
      </c>
      <c r="AI1098" s="189">
        <v>3.0769421328163999E-3</v>
      </c>
      <c r="AJ1098" s="189">
        <v>7.0902556154256099E-4</v>
      </c>
    </row>
    <row r="1099" spans="1:36">
      <c r="A1099" s="11" t="s">
        <v>256</v>
      </c>
      <c r="B1099" s="11">
        <v>7207</v>
      </c>
      <c r="C1099" s="11" t="s">
        <v>2973</v>
      </c>
      <c r="D1099" s="11" t="s">
        <v>2974</v>
      </c>
      <c r="E1099" s="4" t="s">
        <v>505</v>
      </c>
      <c r="F1099" s="11" t="s">
        <v>2975</v>
      </c>
      <c r="G1099" s="11" t="s">
        <v>2976</v>
      </c>
      <c r="H1099" s="11" t="s">
        <v>511</v>
      </c>
      <c r="I1099" s="11" t="s">
        <v>364</v>
      </c>
      <c r="J1099" s="11" t="s">
        <v>154</v>
      </c>
      <c r="K1099" s="11" t="s">
        <v>426</v>
      </c>
      <c r="L1099" s="11" t="s">
        <v>517</v>
      </c>
      <c r="M1099" s="11" t="s">
        <v>342</v>
      </c>
      <c r="N1099" s="11" t="s">
        <v>675</v>
      </c>
      <c r="O1099" s="11" t="s">
        <v>312</v>
      </c>
      <c r="P1099" s="11" t="s">
        <v>2977</v>
      </c>
      <c r="Q1099" s="11" t="s">
        <v>158</v>
      </c>
      <c r="R1099" s="11" t="s">
        <v>596</v>
      </c>
      <c r="S1099" s="11" t="s">
        <v>159</v>
      </c>
      <c r="T1099" s="158">
        <v>1.02</v>
      </c>
      <c r="U1099" s="11" t="s">
        <v>2235</v>
      </c>
      <c r="V1099" s="174">
        <v>0.09</v>
      </c>
      <c r="W1099" s="189">
        <v>8.2320000000000004E-2</v>
      </c>
      <c r="X1099" s="4" t="s">
        <v>602</v>
      </c>
      <c r="Y1099" s="4" t="s">
        <v>312</v>
      </c>
      <c r="Z1099" s="158">
        <v>5000</v>
      </c>
      <c r="AA1099" s="158">
        <v>3.7589999999999999</v>
      </c>
      <c r="AB1099" s="158">
        <v>105.29900000000001</v>
      </c>
      <c r="AD1099" s="158">
        <v>19.791</v>
      </c>
      <c r="AG1099" s="11" t="s">
        <v>37</v>
      </c>
      <c r="AH1099" s="189">
        <v>0</v>
      </c>
      <c r="AI1099" s="189">
        <v>8.8329860052299898E-4</v>
      </c>
      <c r="AJ1099" s="189">
        <v>2.0354015747196599E-4</v>
      </c>
    </row>
    <row r="1100" spans="1:36">
      <c r="A1100" s="11" t="s">
        <v>256</v>
      </c>
      <c r="B1100" s="11">
        <v>7207</v>
      </c>
      <c r="C1100" s="11" t="s">
        <v>1742</v>
      </c>
      <c r="D1100" s="11" t="s">
        <v>1743</v>
      </c>
      <c r="E1100" s="4" t="s">
        <v>1552</v>
      </c>
      <c r="F1100" s="11" t="s">
        <v>2799</v>
      </c>
      <c r="G1100" s="11" t="s">
        <v>2800</v>
      </c>
      <c r="H1100" s="11" t="s">
        <v>511</v>
      </c>
      <c r="I1100" s="11" t="s">
        <v>364</v>
      </c>
      <c r="J1100" s="11" t="s">
        <v>31</v>
      </c>
      <c r="K1100" s="11" t="s">
        <v>31</v>
      </c>
      <c r="L1100" s="11" t="s">
        <v>517</v>
      </c>
      <c r="M1100" s="11" t="s">
        <v>342</v>
      </c>
      <c r="N1100" s="11" t="s">
        <v>725</v>
      </c>
      <c r="O1100" s="11" t="s">
        <v>312</v>
      </c>
      <c r="P1100" s="11" t="s">
        <v>2801</v>
      </c>
      <c r="Q1100" s="11" t="s">
        <v>158</v>
      </c>
      <c r="R1100" s="11" t="s">
        <v>596</v>
      </c>
      <c r="S1100" s="11" t="s">
        <v>159</v>
      </c>
      <c r="T1100" s="158">
        <v>3.2</v>
      </c>
      <c r="U1100" s="11" t="s">
        <v>2802</v>
      </c>
      <c r="V1100" s="174">
        <v>5.3749999999999999E-2</v>
      </c>
      <c r="W1100" s="189">
        <v>6.182E-2</v>
      </c>
      <c r="X1100" s="4" t="s">
        <v>602</v>
      </c>
      <c r="Y1100" s="4" t="s">
        <v>312</v>
      </c>
      <c r="Z1100" s="158">
        <v>50000</v>
      </c>
      <c r="AA1100" s="158">
        <v>3.7589999999999999</v>
      </c>
      <c r="AB1100" s="158">
        <v>99.41</v>
      </c>
      <c r="AD1100" s="158">
        <v>186.84200000000001</v>
      </c>
      <c r="AG1100" s="11" t="s">
        <v>37</v>
      </c>
      <c r="AH1100" s="189">
        <v>6.3E-5</v>
      </c>
      <c r="AI1100" s="189">
        <v>8.3390140280575897E-3</v>
      </c>
      <c r="AJ1100" s="189">
        <v>1.9215746831556201E-3</v>
      </c>
    </row>
    <row r="1101" spans="1:36">
      <c r="A1101" s="11" t="s">
        <v>256</v>
      </c>
      <c r="B1101" s="11">
        <v>7207</v>
      </c>
      <c r="C1101" s="11" t="s">
        <v>2803</v>
      </c>
      <c r="D1101" s="11" t="s">
        <v>2804</v>
      </c>
      <c r="E1101" s="4" t="s">
        <v>505</v>
      </c>
      <c r="F1101" s="11" t="s">
        <v>2805</v>
      </c>
      <c r="G1101" s="11" t="s">
        <v>2806</v>
      </c>
      <c r="H1101" s="11" t="s">
        <v>511</v>
      </c>
      <c r="I1101" s="11" t="s">
        <v>364</v>
      </c>
      <c r="J1101" s="11" t="s">
        <v>154</v>
      </c>
      <c r="K1101" s="11" t="s">
        <v>155</v>
      </c>
      <c r="L1101" s="11" t="s">
        <v>517</v>
      </c>
      <c r="M1101" s="11" t="s">
        <v>342</v>
      </c>
      <c r="N1101" s="11" t="s">
        <v>737</v>
      </c>
      <c r="O1101" s="11" t="s">
        <v>312</v>
      </c>
      <c r="P1101" s="11" t="s">
        <v>2206</v>
      </c>
      <c r="Q1101" s="11" t="s">
        <v>158</v>
      </c>
      <c r="R1101" s="11" t="s">
        <v>596</v>
      </c>
      <c r="S1101" s="11" t="s">
        <v>159</v>
      </c>
      <c r="T1101" s="158">
        <v>1.58</v>
      </c>
      <c r="U1101" s="11" t="s">
        <v>2807</v>
      </c>
      <c r="V1101" s="174">
        <v>4.8750000000000002E-2</v>
      </c>
      <c r="W1101" s="189">
        <v>5.2900000000000003E-2</v>
      </c>
      <c r="X1101" s="4" t="s">
        <v>602</v>
      </c>
      <c r="Y1101" s="4" t="s">
        <v>312</v>
      </c>
      <c r="Z1101" s="158">
        <v>10000</v>
      </c>
      <c r="AA1101" s="158">
        <v>3.7589999999999999</v>
      </c>
      <c r="AB1101" s="158">
        <v>101.283</v>
      </c>
      <c r="AD1101" s="158">
        <v>38.072000000000003</v>
      </c>
      <c r="AG1101" s="11" t="s">
        <v>37</v>
      </c>
      <c r="AH1101" s="189">
        <v>0</v>
      </c>
      <c r="AI1101" s="189">
        <v>1.6992181245008E-3</v>
      </c>
      <c r="AJ1101" s="189">
        <v>3.9155402763610099E-4</v>
      </c>
    </row>
    <row r="1102" spans="1:36">
      <c r="A1102" s="11" t="s">
        <v>256</v>
      </c>
      <c r="B1102" s="11">
        <v>7207</v>
      </c>
      <c r="C1102" s="11" t="s">
        <v>2808</v>
      </c>
      <c r="D1102" s="11" t="s">
        <v>2809</v>
      </c>
      <c r="E1102" s="4" t="s">
        <v>505</v>
      </c>
      <c r="F1102" s="11" t="s">
        <v>2810</v>
      </c>
      <c r="G1102" s="11" t="s">
        <v>2811</v>
      </c>
      <c r="H1102" s="11" t="s">
        <v>511</v>
      </c>
      <c r="I1102" s="11" t="s">
        <v>364</v>
      </c>
      <c r="J1102" s="11" t="s">
        <v>154</v>
      </c>
      <c r="K1102" s="11" t="s">
        <v>155</v>
      </c>
      <c r="L1102" s="11" t="s">
        <v>517</v>
      </c>
      <c r="M1102" s="11" t="s">
        <v>342</v>
      </c>
      <c r="N1102" s="11" t="s">
        <v>719</v>
      </c>
      <c r="O1102" s="11" t="s">
        <v>312</v>
      </c>
      <c r="P1102" s="11" t="s">
        <v>2769</v>
      </c>
      <c r="Q1102" s="11" t="s">
        <v>158</v>
      </c>
      <c r="R1102" s="11" t="s">
        <v>596</v>
      </c>
      <c r="S1102" s="11" t="s">
        <v>159</v>
      </c>
      <c r="T1102" s="158">
        <v>3.42</v>
      </c>
      <c r="U1102" s="11" t="s">
        <v>2175</v>
      </c>
      <c r="V1102" s="174">
        <v>5.7000000000000002E-2</v>
      </c>
      <c r="W1102" s="189">
        <v>5.6270000000000001E-2</v>
      </c>
      <c r="X1102" s="4" t="s">
        <v>602</v>
      </c>
      <c r="Y1102" s="4" t="s">
        <v>312</v>
      </c>
      <c r="Z1102" s="158">
        <v>10000</v>
      </c>
      <c r="AA1102" s="158">
        <v>3.7589999999999999</v>
      </c>
      <c r="AB1102" s="158">
        <v>101.53100000000001</v>
      </c>
      <c r="AD1102" s="158">
        <v>38.165999999999997</v>
      </c>
      <c r="AG1102" s="11" t="s">
        <v>37</v>
      </c>
      <c r="AH1102" s="189">
        <v>0</v>
      </c>
      <c r="AI1102" s="189">
        <v>1.7033900010256699E-3</v>
      </c>
      <c r="AJ1102" s="189">
        <v>3.9251536098851801E-4</v>
      </c>
    </row>
    <row r="1103" spans="1:36">
      <c r="A1103" s="11" t="s">
        <v>256</v>
      </c>
      <c r="B1103" s="11">
        <v>7207</v>
      </c>
      <c r="C1103" s="11" t="s">
        <v>2983</v>
      </c>
      <c r="D1103" s="11" t="s">
        <v>2984</v>
      </c>
      <c r="E1103" s="4" t="s">
        <v>505</v>
      </c>
      <c r="F1103" s="11" t="s">
        <v>2985</v>
      </c>
      <c r="G1103" s="11" t="s">
        <v>2986</v>
      </c>
      <c r="H1103" s="11" t="s">
        <v>511</v>
      </c>
      <c r="I1103" s="11" t="s">
        <v>364</v>
      </c>
      <c r="J1103" s="11" t="s">
        <v>154</v>
      </c>
      <c r="K1103" s="11" t="s">
        <v>155</v>
      </c>
      <c r="L1103" s="11" t="s">
        <v>517</v>
      </c>
      <c r="M1103" s="11" t="s">
        <v>342</v>
      </c>
      <c r="N1103" s="11" t="s">
        <v>714</v>
      </c>
      <c r="O1103" s="11" t="s">
        <v>312</v>
      </c>
      <c r="P1103" s="11" t="s">
        <v>2743</v>
      </c>
      <c r="Q1103" s="11" t="s">
        <v>158</v>
      </c>
      <c r="R1103" s="11" t="s">
        <v>596</v>
      </c>
      <c r="S1103" s="11" t="s">
        <v>159</v>
      </c>
      <c r="T1103" s="158">
        <v>5.0999999999999996</v>
      </c>
      <c r="U1103" s="11" t="s">
        <v>2987</v>
      </c>
      <c r="V1103" s="174">
        <v>3.7499999999999999E-2</v>
      </c>
      <c r="W1103" s="189">
        <v>5.2540000000000003E-2</v>
      </c>
      <c r="X1103" s="4" t="s">
        <v>602</v>
      </c>
      <c r="Y1103" s="4" t="s">
        <v>312</v>
      </c>
      <c r="Z1103" s="158">
        <v>10000</v>
      </c>
      <c r="AA1103" s="158">
        <v>3.7589999999999999</v>
      </c>
      <c r="AB1103" s="158">
        <v>94.272999999999996</v>
      </c>
      <c r="AD1103" s="158">
        <v>35.436999999999998</v>
      </c>
      <c r="AG1103" s="11" t="s">
        <v>37</v>
      </c>
      <c r="AH1103" s="189">
        <v>1.0000000000000001E-5</v>
      </c>
      <c r="AI1103" s="189">
        <v>1.5816158231491001E-3</v>
      </c>
      <c r="AJ1103" s="189">
        <v>3.6445470819642702E-4</v>
      </c>
    </row>
    <row r="1104" spans="1:36">
      <c r="A1104" s="11" t="s">
        <v>256</v>
      </c>
      <c r="B1104" s="11">
        <v>7207</v>
      </c>
      <c r="C1104" s="11" t="s">
        <v>2988</v>
      </c>
      <c r="D1104" s="11" t="s">
        <v>2989</v>
      </c>
      <c r="E1104" s="4" t="s">
        <v>505</v>
      </c>
      <c r="F1104" s="11" t="s">
        <v>2990</v>
      </c>
      <c r="G1104" s="11" t="s">
        <v>2991</v>
      </c>
      <c r="H1104" s="11" t="s">
        <v>511</v>
      </c>
      <c r="I1104" s="11" t="s">
        <v>364</v>
      </c>
      <c r="J1104" s="11" t="s">
        <v>154</v>
      </c>
      <c r="K1104" s="11" t="s">
        <v>155</v>
      </c>
      <c r="L1104" s="11" t="s">
        <v>517</v>
      </c>
      <c r="M1104" s="11" t="s">
        <v>156</v>
      </c>
      <c r="N1104" s="11" t="s">
        <v>706</v>
      </c>
      <c r="O1104" s="11" t="s">
        <v>312</v>
      </c>
      <c r="P1104" s="11" t="s">
        <v>2221</v>
      </c>
      <c r="Q1104" s="11" t="s">
        <v>158</v>
      </c>
      <c r="R1104" s="11" t="s">
        <v>596</v>
      </c>
      <c r="S1104" s="11" t="s">
        <v>159</v>
      </c>
      <c r="T1104" s="158">
        <v>5.26</v>
      </c>
      <c r="U1104" s="11" t="s">
        <v>2992</v>
      </c>
      <c r="V1104" s="174">
        <v>3.5999999999999997E-2</v>
      </c>
      <c r="W1104" s="189">
        <v>5.2380000000000003E-2</v>
      </c>
      <c r="X1104" s="4" t="s">
        <v>602</v>
      </c>
      <c r="Y1104" s="4" t="s">
        <v>312</v>
      </c>
      <c r="Z1104" s="158">
        <v>10000</v>
      </c>
      <c r="AA1104" s="158">
        <v>3.7589999999999999</v>
      </c>
      <c r="AB1104" s="158">
        <v>92.516000000000005</v>
      </c>
      <c r="AC1104" s="158">
        <v>0.18</v>
      </c>
      <c r="AD1104" s="158">
        <v>35.453000000000003</v>
      </c>
      <c r="AG1104" s="11" t="s">
        <v>37</v>
      </c>
      <c r="AH1104" s="189">
        <v>2.9E-5</v>
      </c>
      <c r="AI1104" s="189">
        <v>1.5823358399780999E-3</v>
      </c>
      <c r="AJ1104" s="189">
        <v>3.6462062302825297E-4</v>
      </c>
    </row>
    <row r="1105" spans="1:36">
      <c r="A1105" s="11" t="s">
        <v>256</v>
      </c>
      <c r="B1105" s="11">
        <v>7207</v>
      </c>
      <c r="C1105" s="11" t="s">
        <v>2993</v>
      </c>
      <c r="D1105" s="11" t="s">
        <v>2994</v>
      </c>
      <c r="E1105" s="4" t="s">
        <v>505</v>
      </c>
      <c r="F1105" s="11" t="s">
        <v>2995</v>
      </c>
      <c r="G1105" s="11" t="s">
        <v>2996</v>
      </c>
      <c r="H1105" s="11" t="s">
        <v>511</v>
      </c>
      <c r="I1105" s="11" t="s">
        <v>364</v>
      </c>
      <c r="J1105" s="11" t="s">
        <v>154</v>
      </c>
      <c r="K1105" s="11" t="s">
        <v>155</v>
      </c>
      <c r="L1105" s="11" t="s">
        <v>517</v>
      </c>
      <c r="M1105" s="11" t="s">
        <v>156</v>
      </c>
      <c r="N1105" s="11" t="s">
        <v>735</v>
      </c>
      <c r="O1105" s="11" t="s">
        <v>312</v>
      </c>
      <c r="P1105" s="11" t="s">
        <v>2354</v>
      </c>
      <c r="Q1105" s="11" t="s">
        <v>621</v>
      </c>
      <c r="R1105" s="11" t="s">
        <v>596</v>
      </c>
      <c r="S1105" s="11" t="s">
        <v>159</v>
      </c>
      <c r="T1105" s="158">
        <v>4.37</v>
      </c>
      <c r="U1105" s="11" t="s">
        <v>2997</v>
      </c>
      <c r="V1105" s="174">
        <v>4.5999999999999999E-2</v>
      </c>
      <c r="W1105" s="189">
        <v>5.3769999999999998E-2</v>
      </c>
      <c r="X1105" s="4" t="s">
        <v>602</v>
      </c>
      <c r="Y1105" s="4" t="s">
        <v>312</v>
      </c>
      <c r="Z1105" s="158">
        <v>10000</v>
      </c>
      <c r="AA1105" s="158">
        <v>3.7589999999999999</v>
      </c>
      <c r="AB1105" s="158">
        <v>97.816000000000003</v>
      </c>
      <c r="AD1105" s="158">
        <v>36.768999999999998</v>
      </c>
      <c r="AG1105" s="11" t="s">
        <v>37</v>
      </c>
      <c r="AH1105" s="189">
        <v>1.2999999999999999E-5</v>
      </c>
      <c r="AI1105" s="189">
        <v>1.6410477539991601E-3</v>
      </c>
      <c r="AJ1105" s="189">
        <v>3.7814971977792703E-4</v>
      </c>
    </row>
    <row r="1106" spans="1:36">
      <c r="A1106" s="11" t="s">
        <v>256</v>
      </c>
      <c r="B1106" s="11">
        <v>7207</v>
      </c>
      <c r="C1106" s="11" t="s">
        <v>2998</v>
      </c>
      <c r="D1106" s="11" t="s">
        <v>2999</v>
      </c>
      <c r="E1106" s="4" t="s">
        <v>505</v>
      </c>
      <c r="F1106" s="11" t="s">
        <v>3000</v>
      </c>
      <c r="G1106" s="11" t="s">
        <v>3001</v>
      </c>
      <c r="H1106" s="11" t="s">
        <v>511</v>
      </c>
      <c r="I1106" s="11" t="s">
        <v>364</v>
      </c>
      <c r="J1106" s="11" t="s">
        <v>154</v>
      </c>
      <c r="K1106" s="11" t="s">
        <v>155</v>
      </c>
      <c r="L1106" s="11" t="s">
        <v>517</v>
      </c>
      <c r="M1106" s="11" t="s">
        <v>156</v>
      </c>
      <c r="N1106" s="11" t="s">
        <v>733</v>
      </c>
      <c r="O1106" s="11" t="s">
        <v>312</v>
      </c>
      <c r="P1106" s="11" t="s">
        <v>2743</v>
      </c>
      <c r="Q1106" s="11" t="s">
        <v>158</v>
      </c>
      <c r="R1106" s="11" t="s">
        <v>596</v>
      </c>
      <c r="S1106" s="11" t="s">
        <v>159</v>
      </c>
      <c r="T1106" s="158">
        <v>3.2</v>
      </c>
      <c r="U1106" s="11" t="s">
        <v>2328</v>
      </c>
      <c r="V1106" s="174">
        <v>3.2500000000000001E-2</v>
      </c>
      <c r="W1106" s="189">
        <v>5.3019999999999998E-2</v>
      </c>
      <c r="X1106" s="4" t="s">
        <v>602</v>
      </c>
      <c r="Y1106" s="4" t="s">
        <v>312</v>
      </c>
      <c r="Z1106" s="158">
        <v>10000</v>
      </c>
      <c r="AA1106" s="158">
        <v>3.7589999999999999</v>
      </c>
      <c r="AB1106" s="158">
        <v>94.647000000000006</v>
      </c>
      <c r="AD1106" s="158">
        <v>35.578000000000003</v>
      </c>
      <c r="AG1106" s="11" t="s">
        <v>37</v>
      </c>
      <c r="AH1106" s="189">
        <v>3.9999999999999998E-6</v>
      </c>
      <c r="AI1106" s="189">
        <v>1.5878948859573299E-3</v>
      </c>
      <c r="AJ1106" s="189">
        <v>3.6590160444646799E-4</v>
      </c>
    </row>
    <row r="1107" spans="1:36">
      <c r="A1107" s="11" t="s">
        <v>256</v>
      </c>
      <c r="B1107" s="11">
        <v>7207</v>
      </c>
      <c r="C1107" s="11" t="s">
        <v>3002</v>
      </c>
      <c r="D1107" s="11" t="s">
        <v>3003</v>
      </c>
      <c r="E1107" s="4" t="s">
        <v>505</v>
      </c>
      <c r="F1107" s="11" t="s">
        <v>3004</v>
      </c>
      <c r="G1107" s="11" t="s">
        <v>3005</v>
      </c>
      <c r="H1107" s="11" t="s">
        <v>511</v>
      </c>
      <c r="I1107" s="11" t="s">
        <v>364</v>
      </c>
      <c r="J1107" s="11" t="s">
        <v>154</v>
      </c>
      <c r="K1107" s="11" t="s">
        <v>155</v>
      </c>
      <c r="L1107" s="11" t="s">
        <v>517</v>
      </c>
      <c r="M1107" s="11" t="s">
        <v>156</v>
      </c>
      <c r="N1107" s="11" t="s">
        <v>723</v>
      </c>
      <c r="O1107" s="11" t="s">
        <v>312</v>
      </c>
      <c r="P1107" s="11" t="s">
        <v>2961</v>
      </c>
      <c r="Q1107" s="11" t="s">
        <v>621</v>
      </c>
      <c r="R1107" s="11" t="s">
        <v>596</v>
      </c>
      <c r="S1107" s="11" t="s">
        <v>159</v>
      </c>
      <c r="T1107" s="158">
        <v>1.67</v>
      </c>
      <c r="U1107" s="11" t="s">
        <v>3006</v>
      </c>
      <c r="V1107" s="174">
        <v>4.3749999999999997E-2</v>
      </c>
      <c r="W1107" s="189">
        <v>6.3939999999999997E-2</v>
      </c>
      <c r="X1107" s="4" t="s">
        <v>602</v>
      </c>
      <c r="Y1107" s="4" t="s">
        <v>312</v>
      </c>
      <c r="Z1107" s="158">
        <v>10000</v>
      </c>
      <c r="AA1107" s="158">
        <v>3.7589999999999999</v>
      </c>
      <c r="AB1107" s="158">
        <v>98.013999999999996</v>
      </c>
      <c r="AD1107" s="158">
        <v>36.843000000000004</v>
      </c>
      <c r="AG1107" s="11" t="s">
        <v>37</v>
      </c>
      <c r="AH1107" s="189">
        <v>0</v>
      </c>
      <c r="AI1107" s="189">
        <v>1.64437774585138E-3</v>
      </c>
      <c r="AJ1107" s="189">
        <v>3.7891705606214602E-4</v>
      </c>
    </row>
    <row r="1108" spans="1:36">
      <c r="A1108" s="11" t="s">
        <v>256</v>
      </c>
      <c r="B1108" s="11">
        <v>7207</v>
      </c>
      <c r="C1108" s="11" t="s">
        <v>1786</v>
      </c>
      <c r="D1108" s="11" t="s">
        <v>1787</v>
      </c>
      <c r="E1108" s="4" t="s">
        <v>1552</v>
      </c>
      <c r="F1108" s="11" t="s">
        <v>3007</v>
      </c>
      <c r="G1108" s="11" t="s">
        <v>3008</v>
      </c>
      <c r="H1108" s="11" t="s">
        <v>511</v>
      </c>
      <c r="I1108" s="11" t="s">
        <v>364</v>
      </c>
      <c r="J1108" s="11" t="s">
        <v>31</v>
      </c>
      <c r="K1108" s="11" t="s">
        <v>155</v>
      </c>
      <c r="L1108" s="11" t="s">
        <v>517</v>
      </c>
      <c r="M1108" s="11" t="s">
        <v>342</v>
      </c>
      <c r="N1108" s="11" t="s">
        <v>723</v>
      </c>
      <c r="O1108" s="11" t="s">
        <v>312</v>
      </c>
      <c r="P1108" s="11" t="s">
        <v>2814</v>
      </c>
      <c r="Q1108" s="11" t="s">
        <v>158</v>
      </c>
      <c r="R1108" s="11" t="s">
        <v>596</v>
      </c>
      <c r="S1108" s="11" t="s">
        <v>169</v>
      </c>
      <c r="T1108" s="158">
        <v>2.73</v>
      </c>
      <c r="U1108" s="11" t="s">
        <v>3009</v>
      </c>
      <c r="V1108" s="174">
        <v>3.7499999999999999E-2</v>
      </c>
      <c r="W1108" s="189">
        <v>4.6969999999999998E-2</v>
      </c>
      <c r="X1108" s="4" t="s">
        <v>602</v>
      </c>
      <c r="Y1108" s="4" t="s">
        <v>312</v>
      </c>
      <c r="Z1108" s="158">
        <v>10000</v>
      </c>
      <c r="AA1108" s="158">
        <v>4.0199999999999996</v>
      </c>
      <c r="AB1108" s="158">
        <v>98.337999999999994</v>
      </c>
      <c r="AD1108" s="158">
        <v>39.533999999999999</v>
      </c>
      <c r="AG1108" s="11" t="s">
        <v>37</v>
      </c>
      <c r="AH1108" s="189">
        <v>9.0000000000000002E-6</v>
      </c>
      <c r="AI1108" s="189">
        <v>1.7644570859043399E-3</v>
      </c>
      <c r="AJ1108" s="189">
        <v>4.0658716418757199E-4</v>
      </c>
    </row>
    <row r="1109" spans="1:36">
      <c r="A1109" s="11" t="s">
        <v>256</v>
      </c>
      <c r="B1109" s="11">
        <v>7207</v>
      </c>
      <c r="C1109" s="11" t="s">
        <v>1786</v>
      </c>
      <c r="D1109" s="11" t="s">
        <v>1787</v>
      </c>
      <c r="E1109" s="4" t="s">
        <v>1552</v>
      </c>
      <c r="F1109" s="11" t="s">
        <v>3010</v>
      </c>
      <c r="G1109" s="11" t="s">
        <v>3011</v>
      </c>
      <c r="H1109" s="11" t="s">
        <v>511</v>
      </c>
      <c r="I1109" s="11" t="s">
        <v>364</v>
      </c>
      <c r="J1109" s="11" t="s">
        <v>31</v>
      </c>
      <c r="K1109" s="11" t="s">
        <v>155</v>
      </c>
      <c r="L1109" s="11" t="s">
        <v>517</v>
      </c>
      <c r="M1109" s="11" t="s">
        <v>156</v>
      </c>
      <c r="N1109" s="11" t="s">
        <v>723</v>
      </c>
      <c r="O1109" s="11" t="s">
        <v>312</v>
      </c>
      <c r="P1109" s="11" t="s">
        <v>2814</v>
      </c>
      <c r="Q1109" s="11" t="s">
        <v>158</v>
      </c>
      <c r="R1109" s="11" t="s">
        <v>596</v>
      </c>
      <c r="S1109" s="11" t="s">
        <v>169</v>
      </c>
      <c r="T1109" s="158">
        <v>5.13</v>
      </c>
      <c r="U1109" s="11" t="s">
        <v>3012</v>
      </c>
      <c r="V1109" s="174">
        <v>4.3749999999999997E-2</v>
      </c>
      <c r="W1109" s="189">
        <v>5.033E-2</v>
      </c>
      <c r="X1109" s="4" t="s">
        <v>602</v>
      </c>
      <c r="Y1109" s="4" t="s">
        <v>312</v>
      </c>
      <c r="Z1109" s="158">
        <v>5000</v>
      </c>
      <c r="AA1109" s="158">
        <v>4.0199999999999996</v>
      </c>
      <c r="AB1109" s="158">
        <v>97.528999999999996</v>
      </c>
      <c r="AD1109" s="158">
        <v>19.603999999999999</v>
      </c>
      <c r="AG1109" s="11" t="s">
        <v>37</v>
      </c>
      <c r="AH1109" s="189">
        <v>6.9999999999999999E-6</v>
      </c>
      <c r="AI1109" s="189">
        <v>8.7496473201941697E-4</v>
      </c>
      <c r="AJ1109" s="189">
        <v>2.0161976848169101E-4</v>
      </c>
    </row>
    <row r="1110" spans="1:36">
      <c r="A1110" s="11" t="s">
        <v>256</v>
      </c>
      <c r="B1110" s="11">
        <v>7207</v>
      </c>
      <c r="C1110" s="11" t="s">
        <v>1786</v>
      </c>
      <c r="D1110" s="11" t="s">
        <v>1787</v>
      </c>
      <c r="E1110" s="4" t="s">
        <v>1552</v>
      </c>
      <c r="F1110" s="11" t="s">
        <v>2812</v>
      </c>
      <c r="G1110" s="11" t="s">
        <v>2813</v>
      </c>
      <c r="H1110" s="11" t="s">
        <v>511</v>
      </c>
      <c r="I1110" s="11" t="s">
        <v>364</v>
      </c>
      <c r="J1110" s="11" t="s">
        <v>31</v>
      </c>
      <c r="K1110" s="11" t="s">
        <v>155</v>
      </c>
      <c r="L1110" s="11" t="s">
        <v>517</v>
      </c>
      <c r="M1110" s="11" t="s">
        <v>342</v>
      </c>
      <c r="N1110" s="11" t="s">
        <v>723</v>
      </c>
      <c r="O1110" s="11" t="s">
        <v>312</v>
      </c>
      <c r="P1110" s="11" t="s">
        <v>2814</v>
      </c>
      <c r="Q1110" s="11" t="s">
        <v>158</v>
      </c>
      <c r="R1110" s="11" t="s">
        <v>596</v>
      </c>
      <c r="S1110" s="11" t="s">
        <v>169</v>
      </c>
      <c r="T1110" s="158">
        <v>4.17</v>
      </c>
      <c r="U1110" s="11" t="s">
        <v>2815</v>
      </c>
      <c r="V1110" s="174">
        <v>7.3749999999999996E-2</v>
      </c>
      <c r="W1110" s="189">
        <v>5.0279999999999998E-2</v>
      </c>
      <c r="X1110" s="4" t="s">
        <v>602</v>
      </c>
      <c r="Y1110" s="4" t="s">
        <v>312</v>
      </c>
      <c r="Z1110" s="158">
        <v>3000</v>
      </c>
      <c r="AA1110" s="158">
        <v>4.0199999999999996</v>
      </c>
      <c r="AB1110" s="158">
        <v>113.035</v>
      </c>
      <c r="AD1110" s="158">
        <v>13.632999999999999</v>
      </c>
      <c r="AG1110" s="11" t="s">
        <v>37</v>
      </c>
      <c r="AH1110" s="189">
        <v>3.9999999999999998E-6</v>
      </c>
      <c r="AI1110" s="189">
        <v>6.0844732288302199E-4</v>
      </c>
      <c r="AJ1110" s="189">
        <v>1.4020566073542901E-4</v>
      </c>
    </row>
    <row r="1111" spans="1:36">
      <c r="A1111" s="11" t="s">
        <v>256</v>
      </c>
      <c r="B1111" s="11">
        <v>7207</v>
      </c>
      <c r="C1111" s="11" t="s">
        <v>1786</v>
      </c>
      <c r="D1111" s="11" t="s">
        <v>1787</v>
      </c>
      <c r="E1111" s="4" t="s">
        <v>1552</v>
      </c>
      <c r="F1111" s="11" t="s">
        <v>2816</v>
      </c>
      <c r="G1111" s="11" t="s">
        <v>2817</v>
      </c>
      <c r="H1111" s="11" t="s">
        <v>511</v>
      </c>
      <c r="I1111" s="11" t="s">
        <v>364</v>
      </c>
      <c r="J1111" s="11" t="s">
        <v>31</v>
      </c>
      <c r="K1111" s="11" t="s">
        <v>155</v>
      </c>
      <c r="L1111" s="11" t="s">
        <v>517</v>
      </c>
      <c r="M1111" s="11" t="s">
        <v>342</v>
      </c>
      <c r="N1111" s="11" t="s">
        <v>723</v>
      </c>
      <c r="O1111" s="11" t="s">
        <v>312</v>
      </c>
      <c r="P1111" s="11" t="s">
        <v>2814</v>
      </c>
      <c r="Q1111" s="11" t="s">
        <v>158</v>
      </c>
      <c r="R1111" s="11" t="s">
        <v>596</v>
      </c>
      <c r="S1111" s="11" t="s">
        <v>169</v>
      </c>
      <c r="T1111" s="158">
        <v>5.43</v>
      </c>
      <c r="U1111" s="11" t="s">
        <v>2818</v>
      </c>
      <c r="V1111" s="174">
        <v>7.8750000000000001E-2</v>
      </c>
      <c r="W1111" s="189">
        <v>5.2429999999999997E-2</v>
      </c>
      <c r="X1111" s="4" t="s">
        <v>602</v>
      </c>
      <c r="Y1111" s="4" t="s">
        <v>312</v>
      </c>
      <c r="Z1111" s="158">
        <v>3000</v>
      </c>
      <c r="AA1111" s="158">
        <v>4.0199999999999996</v>
      </c>
      <c r="AB1111" s="158">
        <v>117.645</v>
      </c>
      <c r="AD1111" s="158">
        <v>14.189</v>
      </c>
      <c r="AG1111" s="11" t="s">
        <v>37</v>
      </c>
      <c r="AH1111" s="189">
        <v>6.0000000000000002E-6</v>
      </c>
      <c r="AI1111" s="189">
        <v>6.3326122720765003E-4</v>
      </c>
      <c r="AJ1111" s="189">
        <v>1.4592357536898399E-4</v>
      </c>
    </row>
    <row r="1112" spans="1:36">
      <c r="A1112" s="11" t="s">
        <v>256</v>
      </c>
      <c r="B1112" s="11">
        <v>7207</v>
      </c>
      <c r="C1112" s="11" t="s">
        <v>1786</v>
      </c>
      <c r="D1112" s="11" t="s">
        <v>1787</v>
      </c>
      <c r="E1112" s="4" t="s">
        <v>1552</v>
      </c>
      <c r="F1112" s="11" t="s">
        <v>3013</v>
      </c>
      <c r="G1112" s="11" t="s">
        <v>3014</v>
      </c>
      <c r="H1112" s="11" t="s">
        <v>511</v>
      </c>
      <c r="I1112" s="11" t="s">
        <v>364</v>
      </c>
      <c r="J1112" s="11" t="s">
        <v>31</v>
      </c>
      <c r="K1112" s="11" t="s">
        <v>155</v>
      </c>
      <c r="L1112" s="11" t="s">
        <v>517</v>
      </c>
      <c r="M1112" s="11" t="s">
        <v>156</v>
      </c>
      <c r="N1112" s="11" t="s">
        <v>723</v>
      </c>
      <c r="O1112" s="11" t="s">
        <v>312</v>
      </c>
      <c r="P1112" s="11" t="s">
        <v>2814</v>
      </c>
      <c r="Q1112" s="11" t="s">
        <v>158</v>
      </c>
      <c r="R1112" s="11" t="s">
        <v>596</v>
      </c>
      <c r="S1112" s="11" t="s">
        <v>159</v>
      </c>
      <c r="T1112" s="158">
        <v>2.19</v>
      </c>
      <c r="U1112" s="11" t="s">
        <v>3015</v>
      </c>
      <c r="V1112" s="174">
        <v>3.15E-2</v>
      </c>
      <c r="W1112" s="189">
        <v>6.3009999999999997E-2</v>
      </c>
      <c r="X1112" s="4" t="s">
        <v>602</v>
      </c>
      <c r="Y1112" s="4" t="s">
        <v>312</v>
      </c>
      <c r="Z1112" s="158">
        <v>50000</v>
      </c>
      <c r="AA1112" s="158">
        <v>3.7589999999999999</v>
      </c>
      <c r="AB1112" s="158">
        <v>94.74</v>
      </c>
      <c r="AD1112" s="158">
        <v>178.06399999999999</v>
      </c>
      <c r="AG1112" s="11" t="s">
        <v>37</v>
      </c>
      <c r="AH1112" s="189">
        <v>1.4E-5</v>
      </c>
      <c r="AI1112" s="189">
        <v>7.9472628654320993E-3</v>
      </c>
      <c r="AJ1112" s="189">
        <v>1.83130272610349E-3</v>
      </c>
    </row>
    <row r="1113" spans="1:36">
      <c r="A1113" s="11" t="s">
        <v>256</v>
      </c>
      <c r="B1113" s="11">
        <v>7207</v>
      </c>
      <c r="C1113" s="11" t="s">
        <v>3016</v>
      </c>
      <c r="D1113" s="11" t="s">
        <v>3017</v>
      </c>
      <c r="E1113" s="4" t="s">
        <v>505</v>
      </c>
      <c r="F1113" s="11" t="s">
        <v>3018</v>
      </c>
      <c r="G1113" s="11" t="s">
        <v>3019</v>
      </c>
      <c r="H1113" s="11" t="s">
        <v>511</v>
      </c>
      <c r="I1113" s="11" t="s">
        <v>364</v>
      </c>
      <c r="J1113" s="11" t="s">
        <v>154</v>
      </c>
      <c r="K1113" s="11" t="s">
        <v>155</v>
      </c>
      <c r="L1113" s="11" t="s">
        <v>517</v>
      </c>
      <c r="M1113" s="11" t="s">
        <v>156</v>
      </c>
      <c r="N1113" s="11" t="s">
        <v>739</v>
      </c>
      <c r="O1113" s="11" t="s">
        <v>312</v>
      </c>
      <c r="P1113" s="11" t="s">
        <v>2221</v>
      </c>
      <c r="Q1113" s="11" t="s">
        <v>158</v>
      </c>
      <c r="R1113" s="11" t="s">
        <v>596</v>
      </c>
      <c r="S1113" s="11" t="s">
        <v>159</v>
      </c>
      <c r="T1113" s="158">
        <v>4.74</v>
      </c>
      <c r="U1113" s="11" t="s">
        <v>3020</v>
      </c>
      <c r="V1113" s="174">
        <v>4.0160000000000001E-2</v>
      </c>
      <c r="W1113" s="189">
        <v>5.3199999999999997E-2</v>
      </c>
      <c r="X1113" s="4" t="s">
        <v>602</v>
      </c>
      <c r="Y1113" s="4" t="s">
        <v>312</v>
      </c>
      <c r="Z1113" s="158">
        <v>10000</v>
      </c>
      <c r="AA1113" s="158">
        <v>3.7589999999999999</v>
      </c>
      <c r="AB1113" s="158">
        <v>94.822999999999993</v>
      </c>
      <c r="AD1113" s="158">
        <v>35.643999999999998</v>
      </c>
      <c r="AG1113" s="11" t="s">
        <v>37</v>
      </c>
      <c r="AH1113" s="189">
        <v>3.0000000000000001E-6</v>
      </c>
      <c r="AI1113" s="189">
        <v>1.5908451145236399E-3</v>
      </c>
      <c r="AJ1113" s="189">
        <v>3.6658143116260903E-4</v>
      </c>
    </row>
    <row r="1114" spans="1:36">
      <c r="A1114" s="11" t="s">
        <v>256</v>
      </c>
      <c r="B1114" s="11">
        <v>7207</v>
      </c>
      <c r="C1114" s="11" t="s">
        <v>3021</v>
      </c>
      <c r="D1114" s="11" t="s">
        <v>3022</v>
      </c>
      <c r="E1114" s="4" t="s">
        <v>505</v>
      </c>
      <c r="F1114" s="11" t="s">
        <v>3023</v>
      </c>
      <c r="G1114" s="11" t="s">
        <v>3024</v>
      </c>
      <c r="H1114" s="11" t="s">
        <v>511</v>
      </c>
      <c r="I1114" s="11" t="s">
        <v>364</v>
      </c>
      <c r="J1114" s="11" t="s">
        <v>154</v>
      </c>
      <c r="K1114" s="11" t="s">
        <v>155</v>
      </c>
      <c r="L1114" s="11" t="s">
        <v>517</v>
      </c>
      <c r="M1114" s="11" t="s">
        <v>535</v>
      </c>
      <c r="N1114" s="11" t="s">
        <v>723</v>
      </c>
      <c r="O1114" s="11" t="s">
        <v>312</v>
      </c>
      <c r="P1114" s="11" t="s">
        <v>2769</v>
      </c>
      <c r="Q1114" s="11" t="s">
        <v>158</v>
      </c>
      <c r="R1114" s="11" t="s">
        <v>596</v>
      </c>
      <c r="S1114" s="11" t="s">
        <v>159</v>
      </c>
      <c r="T1114" s="158">
        <v>2.85</v>
      </c>
      <c r="U1114" s="11" t="s">
        <v>3025</v>
      </c>
      <c r="V1114" s="174">
        <v>2.3E-2</v>
      </c>
      <c r="W1114" s="189">
        <v>5.7570000000000003E-2</v>
      </c>
      <c r="X1114" s="4" t="s">
        <v>602</v>
      </c>
      <c r="Y1114" s="4" t="s">
        <v>312</v>
      </c>
      <c r="Z1114" s="158">
        <v>10000</v>
      </c>
      <c r="AA1114" s="158">
        <v>3.7589999999999999</v>
      </c>
      <c r="AB1114" s="158">
        <v>91.283000000000001</v>
      </c>
      <c r="AD1114" s="158">
        <v>34.313000000000002</v>
      </c>
      <c r="AG1114" s="11" t="s">
        <v>37</v>
      </c>
      <c r="AH1114" s="189">
        <v>0</v>
      </c>
      <c r="AI1114" s="189">
        <v>1.53145317994825E-3</v>
      </c>
      <c r="AJ1114" s="189">
        <v>3.5289563599789198E-4</v>
      </c>
    </row>
    <row r="1115" spans="1:36">
      <c r="A1115" s="11" t="s">
        <v>256</v>
      </c>
      <c r="B1115" s="11">
        <v>7207</v>
      </c>
      <c r="C1115" s="11" t="s">
        <v>1674</v>
      </c>
      <c r="D1115" s="11" t="s">
        <v>1675</v>
      </c>
      <c r="E1115" s="4" t="s">
        <v>1552</v>
      </c>
      <c r="F1115" s="11" t="s">
        <v>2819</v>
      </c>
      <c r="G1115" s="11" t="s">
        <v>2820</v>
      </c>
      <c r="H1115" s="11" t="s">
        <v>511</v>
      </c>
      <c r="I1115" s="11" t="s">
        <v>1154</v>
      </c>
      <c r="J1115" s="11" t="s">
        <v>31</v>
      </c>
      <c r="K1115" s="11" t="s">
        <v>155</v>
      </c>
      <c r="L1115" s="11" t="s">
        <v>517</v>
      </c>
      <c r="M1115" s="11" t="s">
        <v>32</v>
      </c>
      <c r="N1115" s="11" t="s">
        <v>629</v>
      </c>
      <c r="O1115" s="11" t="s">
        <v>312</v>
      </c>
      <c r="P1115" s="27" t="s">
        <v>2165</v>
      </c>
      <c r="Q1115" s="27" t="s">
        <v>2165</v>
      </c>
      <c r="R1115" s="16" t="s">
        <v>2165</v>
      </c>
      <c r="S1115" s="11" t="s">
        <v>35</v>
      </c>
      <c r="T1115" s="158">
        <v>0.627</v>
      </c>
      <c r="U1115" s="11" t="s">
        <v>2821</v>
      </c>
      <c r="V1115" s="174">
        <v>4.2500000000000003E-2</v>
      </c>
      <c r="W1115" s="189">
        <v>5.5780000000000003E-2</v>
      </c>
      <c r="X1115" s="4" t="s">
        <v>602</v>
      </c>
      <c r="Y1115" s="4" t="s">
        <v>312</v>
      </c>
      <c r="Z1115" s="158">
        <v>99000.09</v>
      </c>
      <c r="AA1115" s="158">
        <v>1</v>
      </c>
      <c r="AB1115" s="158">
        <v>100.64</v>
      </c>
      <c r="AD1115" s="158">
        <v>99.634</v>
      </c>
      <c r="AG1115" s="11" t="s">
        <v>37</v>
      </c>
      <c r="AH1115" s="189">
        <v>1.1919999999999999E-3</v>
      </c>
      <c r="AI1115" s="189">
        <v>4.4467957611317201E-3</v>
      </c>
      <c r="AJ1115" s="189">
        <v>1.02468350898611E-3</v>
      </c>
    </row>
    <row r="1116" spans="1:36">
      <c r="A1116" s="11" t="s">
        <v>256</v>
      </c>
      <c r="B1116" s="11">
        <v>7207</v>
      </c>
      <c r="C1116" s="11" t="s">
        <v>2323</v>
      </c>
      <c r="D1116" s="11" t="s">
        <v>2324</v>
      </c>
      <c r="E1116" s="4" t="s">
        <v>504</v>
      </c>
      <c r="F1116" s="11" t="s">
        <v>2822</v>
      </c>
      <c r="G1116" s="11" t="s">
        <v>2823</v>
      </c>
      <c r="H1116" s="11" t="s">
        <v>511</v>
      </c>
      <c r="I1116" s="11" t="s">
        <v>1154</v>
      </c>
      <c r="J1116" s="11" t="s">
        <v>154</v>
      </c>
      <c r="K1116" s="11" t="s">
        <v>155</v>
      </c>
      <c r="L1116" s="11" t="s">
        <v>517</v>
      </c>
      <c r="M1116" s="11" t="s">
        <v>32</v>
      </c>
      <c r="N1116" s="11" t="s">
        <v>653</v>
      </c>
      <c r="O1116" s="11" t="s">
        <v>312</v>
      </c>
      <c r="P1116" s="11" t="s">
        <v>2161</v>
      </c>
      <c r="Q1116" s="11" t="s">
        <v>358</v>
      </c>
      <c r="R1116" s="11" t="s">
        <v>596</v>
      </c>
      <c r="S1116" s="11" t="s">
        <v>35</v>
      </c>
      <c r="T1116" s="158">
        <v>1.105</v>
      </c>
      <c r="U1116" s="11" t="s">
        <v>119</v>
      </c>
      <c r="V1116" s="174">
        <v>5.9499999999999997E-2</v>
      </c>
      <c r="W1116" s="189">
        <v>7.4579999999999994E-2</v>
      </c>
      <c r="X1116" s="4" t="s">
        <v>602</v>
      </c>
      <c r="Y1116" s="4" t="s">
        <v>530</v>
      </c>
      <c r="Z1116" s="158">
        <v>139330.59</v>
      </c>
      <c r="AA1116" s="158">
        <v>1</v>
      </c>
      <c r="AB1116" s="158">
        <v>99.4</v>
      </c>
      <c r="AD1116" s="158">
        <v>138.495</v>
      </c>
      <c r="AG1116" s="11" t="s">
        <v>37</v>
      </c>
      <c r="AH1116" s="189">
        <v>4.86E-4</v>
      </c>
      <c r="AI1116" s="189">
        <v>6.1812146612812797E-3</v>
      </c>
      <c r="AJ1116" s="189">
        <v>1.4243489175464401E-3</v>
      </c>
    </row>
    <row r="1117" spans="1:36">
      <c r="A1117" s="11" t="s">
        <v>256</v>
      </c>
      <c r="B1117" s="11">
        <v>7207</v>
      </c>
      <c r="C1117" s="11" t="s">
        <v>1754</v>
      </c>
      <c r="D1117" s="11" t="s">
        <v>1755</v>
      </c>
      <c r="E1117" s="4" t="s">
        <v>1552</v>
      </c>
      <c r="F1117" s="11" t="s">
        <v>2824</v>
      </c>
      <c r="G1117" s="11" t="s">
        <v>2825</v>
      </c>
      <c r="H1117" s="11" t="s">
        <v>511</v>
      </c>
      <c r="I1117" s="11" t="s">
        <v>1154</v>
      </c>
      <c r="J1117" s="11" t="s">
        <v>154</v>
      </c>
      <c r="K1117" s="11" t="s">
        <v>31</v>
      </c>
      <c r="L1117" s="11" t="s">
        <v>517</v>
      </c>
      <c r="M1117" s="11" t="s">
        <v>32</v>
      </c>
      <c r="N1117" s="11" t="s">
        <v>635</v>
      </c>
      <c r="O1117" s="11" t="s">
        <v>312</v>
      </c>
      <c r="P1117" s="11" t="s">
        <v>168</v>
      </c>
      <c r="Q1117" s="11" t="s">
        <v>604</v>
      </c>
      <c r="R1117" s="11" t="s">
        <v>596</v>
      </c>
      <c r="S1117" s="11" t="s">
        <v>35</v>
      </c>
      <c r="T1117" s="158">
        <v>0.98399999999999999</v>
      </c>
      <c r="U1117" s="11" t="s">
        <v>2188</v>
      </c>
      <c r="V1117" s="174">
        <v>4.1700000000000001E-2</v>
      </c>
      <c r="W1117" s="189">
        <v>5.5230000000000001E-2</v>
      </c>
      <c r="X1117" s="4" t="s">
        <v>602</v>
      </c>
      <c r="Y1117" s="4" t="s">
        <v>312</v>
      </c>
      <c r="Z1117" s="158">
        <v>18545.45</v>
      </c>
      <c r="AA1117" s="158">
        <v>1</v>
      </c>
      <c r="AB1117" s="158">
        <v>98.79</v>
      </c>
      <c r="AD1117" s="158">
        <v>18.321000000000002</v>
      </c>
      <c r="AG1117" s="11" t="s">
        <v>37</v>
      </c>
      <c r="AH1117" s="189">
        <v>9.7E-5</v>
      </c>
      <c r="AI1117" s="189">
        <v>8.1769497097882999E-4</v>
      </c>
      <c r="AJ1117" s="189">
        <v>1.8842298975513101E-4</v>
      </c>
    </row>
    <row r="1118" spans="1:36">
      <c r="A1118" s="11" t="s">
        <v>256</v>
      </c>
      <c r="B1118" s="11">
        <v>7207</v>
      </c>
      <c r="C1118" s="11" t="s">
        <v>2826</v>
      </c>
      <c r="D1118" s="11" t="s">
        <v>2827</v>
      </c>
      <c r="E1118" s="4" t="s">
        <v>1552</v>
      </c>
      <c r="F1118" s="11" t="s">
        <v>2828</v>
      </c>
      <c r="G1118" s="11" t="s">
        <v>2829</v>
      </c>
      <c r="H1118" s="11" t="s">
        <v>511</v>
      </c>
      <c r="I1118" s="11" t="s">
        <v>1155</v>
      </c>
      <c r="J1118" s="11" t="s">
        <v>31</v>
      </c>
      <c r="K1118" s="11" t="s">
        <v>31</v>
      </c>
      <c r="L1118" s="11" t="s">
        <v>517</v>
      </c>
      <c r="M1118" s="11" t="s">
        <v>32</v>
      </c>
      <c r="N1118" s="11" t="s">
        <v>667</v>
      </c>
      <c r="O1118" s="11" t="s">
        <v>312</v>
      </c>
      <c r="P1118" s="11" t="s">
        <v>174</v>
      </c>
      <c r="Q1118" s="11" t="s">
        <v>604</v>
      </c>
      <c r="R1118" s="11" t="s">
        <v>596</v>
      </c>
      <c r="S1118" s="11" t="s">
        <v>35</v>
      </c>
      <c r="T1118" s="158">
        <v>1.478</v>
      </c>
      <c r="U1118" s="11" t="s">
        <v>2203</v>
      </c>
      <c r="V1118" s="174">
        <v>1.4999999999999999E-2</v>
      </c>
      <c r="W1118" s="189">
        <v>5.1529999999999999E-2</v>
      </c>
      <c r="X1118" s="4" t="s">
        <v>602</v>
      </c>
      <c r="Y1118" s="4" t="s">
        <v>312</v>
      </c>
      <c r="Z1118" s="158">
        <v>1333.33</v>
      </c>
      <c r="AA1118" s="158">
        <v>1</v>
      </c>
      <c r="AB1118" s="158">
        <v>94.9</v>
      </c>
      <c r="AD1118" s="158">
        <v>1.2649999999999999</v>
      </c>
      <c r="AG1118" s="11" t="s">
        <v>37</v>
      </c>
      <c r="AH1118" s="189">
        <v>2.5999999999999998E-5</v>
      </c>
      <c r="AI1118" s="189">
        <v>5.6473516175696498E-5</v>
      </c>
      <c r="AJ1118" s="189">
        <v>1.3013298525086501E-5</v>
      </c>
    </row>
    <row r="1119" spans="1:36">
      <c r="A1119" s="11" t="s">
        <v>256</v>
      </c>
      <c r="B1119" s="11">
        <v>7207</v>
      </c>
      <c r="C1119" s="11" t="s">
        <v>2830</v>
      </c>
      <c r="D1119" s="11" t="s">
        <v>2831</v>
      </c>
      <c r="E1119" s="4" t="s">
        <v>504</v>
      </c>
      <c r="F1119" s="11" t="s">
        <v>2832</v>
      </c>
      <c r="G1119" s="11" t="s">
        <v>2833</v>
      </c>
      <c r="H1119" s="11" t="s">
        <v>511</v>
      </c>
      <c r="I1119" s="11" t="s">
        <v>364</v>
      </c>
      <c r="J1119" s="11" t="s">
        <v>31</v>
      </c>
      <c r="K1119" s="11" t="s">
        <v>31</v>
      </c>
      <c r="L1119" s="11" t="s">
        <v>517</v>
      </c>
      <c r="M1119" s="11" t="s">
        <v>32</v>
      </c>
      <c r="N1119" s="11" t="s">
        <v>669</v>
      </c>
      <c r="O1119" s="11" t="s">
        <v>312</v>
      </c>
      <c r="P1119" s="11" t="s">
        <v>2394</v>
      </c>
      <c r="Q1119" s="11" t="s">
        <v>358</v>
      </c>
      <c r="R1119" s="11" t="s">
        <v>596</v>
      </c>
      <c r="S1119" s="11" t="s">
        <v>35</v>
      </c>
      <c r="T1119" s="158">
        <v>1</v>
      </c>
      <c r="U1119" s="11" t="s">
        <v>2834</v>
      </c>
      <c r="V1119" s="174">
        <v>3.3700000000000001E-2</v>
      </c>
      <c r="W1119" s="189">
        <v>6.54E-2</v>
      </c>
      <c r="X1119" s="4" t="s">
        <v>602</v>
      </c>
      <c r="Y1119" s="4" t="s">
        <v>312</v>
      </c>
      <c r="Z1119" s="158">
        <v>210667.11</v>
      </c>
      <c r="AA1119" s="158">
        <v>1</v>
      </c>
      <c r="AB1119" s="158">
        <v>103.29</v>
      </c>
      <c r="AC1119" s="158">
        <v>3.774</v>
      </c>
      <c r="AD1119" s="158">
        <v>221.37200000000001</v>
      </c>
      <c r="AG1119" s="11" t="s">
        <v>37</v>
      </c>
      <c r="AH1119" s="189">
        <v>1.505E-3</v>
      </c>
      <c r="AI1119" s="189">
        <v>9.8801378213123296E-3</v>
      </c>
      <c r="AJ1119" s="189">
        <v>2.2766987367623301E-3</v>
      </c>
    </row>
    <row r="1120" spans="1:36">
      <c r="A1120" s="11" t="s">
        <v>256</v>
      </c>
      <c r="B1120" s="11">
        <v>7207</v>
      </c>
      <c r="C1120" s="11" t="s">
        <v>1947</v>
      </c>
      <c r="D1120" s="11" t="s">
        <v>1948</v>
      </c>
      <c r="E1120" s="4" t="s">
        <v>1552</v>
      </c>
      <c r="F1120" s="11" t="s">
        <v>2835</v>
      </c>
      <c r="G1120" s="11" t="s">
        <v>2836</v>
      </c>
      <c r="H1120" s="11" t="s">
        <v>511</v>
      </c>
      <c r="I1120" s="11" t="s">
        <v>1154</v>
      </c>
      <c r="J1120" s="11" t="s">
        <v>31</v>
      </c>
      <c r="K1120" s="11" t="s">
        <v>31</v>
      </c>
      <c r="L1120" s="11" t="s">
        <v>517</v>
      </c>
      <c r="M1120" s="11" t="s">
        <v>32</v>
      </c>
      <c r="N1120" s="11" t="s">
        <v>635</v>
      </c>
      <c r="O1120" s="11" t="s">
        <v>312</v>
      </c>
      <c r="P1120" s="11" t="s">
        <v>174</v>
      </c>
      <c r="Q1120" s="11" t="s">
        <v>604</v>
      </c>
      <c r="R1120" s="11" t="s">
        <v>596</v>
      </c>
      <c r="S1120" s="11" t="s">
        <v>35</v>
      </c>
      <c r="T1120" s="158">
        <v>1.4630000000000001</v>
      </c>
      <c r="U1120" s="11" t="s">
        <v>2333</v>
      </c>
      <c r="V1120" s="174">
        <v>0.02</v>
      </c>
      <c r="W1120" s="189">
        <v>5.7119999999999997E-2</v>
      </c>
      <c r="X1120" s="4" t="s">
        <v>602</v>
      </c>
      <c r="Y1120" s="4" t="s">
        <v>312</v>
      </c>
      <c r="Z1120" s="158">
        <v>8000</v>
      </c>
      <c r="AA1120" s="158">
        <v>1</v>
      </c>
      <c r="AB1120" s="158">
        <v>94.88</v>
      </c>
      <c r="AD1120" s="158">
        <v>7.59</v>
      </c>
      <c r="AG1120" s="11" t="s">
        <v>37</v>
      </c>
      <c r="AH1120" s="189">
        <v>2.3E-5</v>
      </c>
      <c r="AI1120" s="189">
        <v>3.3877053384414799E-4</v>
      </c>
      <c r="AJ1120" s="189">
        <v>7.8063531137344597E-5</v>
      </c>
    </row>
    <row r="1121" spans="1:36">
      <c r="A1121" s="11" t="s">
        <v>256</v>
      </c>
      <c r="B1121" s="11">
        <v>7207</v>
      </c>
      <c r="C1121" s="11" t="s">
        <v>2837</v>
      </c>
      <c r="D1121" s="11" t="s">
        <v>2838</v>
      </c>
      <c r="E1121" s="4" t="s">
        <v>1552</v>
      </c>
      <c r="F1121" s="11" t="s">
        <v>2839</v>
      </c>
      <c r="G1121" s="11" t="s">
        <v>2840</v>
      </c>
      <c r="H1121" s="11" t="s">
        <v>511</v>
      </c>
      <c r="I1121" s="11" t="s">
        <v>945</v>
      </c>
      <c r="J1121" s="11" t="s">
        <v>154</v>
      </c>
      <c r="K1121" s="11" t="s">
        <v>31</v>
      </c>
      <c r="L1121" s="11" t="s">
        <v>517</v>
      </c>
      <c r="M1121" s="11" t="s">
        <v>32</v>
      </c>
      <c r="N1121" s="11" t="s">
        <v>635</v>
      </c>
      <c r="O1121" s="11" t="s">
        <v>312</v>
      </c>
      <c r="P1121" s="27" t="s">
        <v>2165</v>
      </c>
      <c r="Q1121" s="27" t="s">
        <v>2165</v>
      </c>
      <c r="R1121" s="27" t="s">
        <v>2165</v>
      </c>
      <c r="S1121" s="11" t="s">
        <v>35</v>
      </c>
      <c r="T1121" s="158">
        <v>1.6639999999999999</v>
      </c>
      <c r="U1121" s="11" t="s">
        <v>2235</v>
      </c>
      <c r="V1121" s="174">
        <v>2.8500000000000001E-2</v>
      </c>
      <c r="W1121" s="189">
        <v>2.3E-2</v>
      </c>
      <c r="X1121" s="4" t="s">
        <v>602</v>
      </c>
      <c r="Y1121" s="4" t="s">
        <v>312</v>
      </c>
      <c r="Z1121" s="158">
        <v>114684.17</v>
      </c>
      <c r="AA1121" s="158">
        <v>1</v>
      </c>
      <c r="AB1121" s="158">
        <v>116.03</v>
      </c>
      <c r="AD1121" s="158">
        <v>133.06800000000001</v>
      </c>
      <c r="AG1121" s="11" t="s">
        <v>37</v>
      </c>
      <c r="AH1121" s="189">
        <v>7.8299999999999995E-4</v>
      </c>
      <c r="AI1121" s="189">
        <v>5.9390192583686002E-3</v>
      </c>
      <c r="AJ1121" s="189">
        <v>1.3685393754293801E-3</v>
      </c>
    </row>
    <row r="1122" spans="1:36">
      <c r="A1122" s="11" t="s">
        <v>256</v>
      </c>
      <c r="B1122" s="11">
        <v>7207</v>
      </c>
      <c r="C1122" s="11" t="s">
        <v>3026</v>
      </c>
      <c r="D1122" s="11" t="s">
        <v>3027</v>
      </c>
      <c r="E1122" s="4" t="s">
        <v>504</v>
      </c>
      <c r="F1122" s="11" t="s">
        <v>3028</v>
      </c>
      <c r="G1122" s="11" t="s">
        <v>3029</v>
      </c>
      <c r="H1122" s="11" t="s">
        <v>511</v>
      </c>
      <c r="I1122" s="11" t="s">
        <v>364</v>
      </c>
      <c r="J1122" s="11" t="s">
        <v>154</v>
      </c>
      <c r="K1122" s="11" t="s">
        <v>426</v>
      </c>
      <c r="L1122" s="11" t="s">
        <v>517</v>
      </c>
      <c r="M1122" s="11" t="s">
        <v>32</v>
      </c>
      <c r="N1122" s="11" t="s">
        <v>653</v>
      </c>
      <c r="O1122" s="11" t="s">
        <v>312</v>
      </c>
      <c r="P1122" s="11" t="s">
        <v>2418</v>
      </c>
      <c r="Q1122" s="11" t="s">
        <v>604</v>
      </c>
      <c r="R1122" s="11" t="s">
        <v>596</v>
      </c>
      <c r="S1122" s="11" t="s">
        <v>35</v>
      </c>
      <c r="T1122" s="158">
        <v>3.13</v>
      </c>
      <c r="U1122" s="11" t="s">
        <v>3030</v>
      </c>
      <c r="V1122" s="174">
        <v>4.2999999999999997E-2</v>
      </c>
      <c r="W1122" s="189">
        <v>7.8320000000000001E-2</v>
      </c>
      <c r="X1122" s="4" t="s">
        <v>602</v>
      </c>
      <c r="Y1122" s="4" t="s">
        <v>312</v>
      </c>
      <c r="Z1122" s="158">
        <v>57893.41</v>
      </c>
      <c r="AA1122" s="158">
        <v>1</v>
      </c>
      <c r="AB1122" s="158">
        <v>90.67</v>
      </c>
      <c r="AD1122" s="158">
        <v>52.491999999999997</v>
      </c>
      <c r="AG1122" s="11" t="s">
        <v>37</v>
      </c>
      <c r="AH1122" s="189">
        <v>5.1E-5</v>
      </c>
      <c r="AI1122" s="189">
        <v>2.3427918905513699E-3</v>
      </c>
      <c r="AJ1122" s="189">
        <v>5.3985394072234298E-4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4E727BE0-231F-4736-98FD-AE1A2DD9CC5C}">
      <formula1>israel_abroad</formula1>
    </dataValidation>
    <dataValidation type="list" allowBlank="1" showInputMessage="1" showErrorMessage="1" sqref="O2:O20" xr:uid="{C5B480EC-9C55-4454-AEF7-671102E01FCE}">
      <formula1>Holding_interest</formula1>
    </dataValidation>
    <dataValidation type="list" allowBlank="1" showInputMessage="1" showErrorMessage="1" sqref="Q2 Q4:Q5 Q10:Q15 Q17:Q20" xr:uid="{F811C311-B79F-47DA-8724-918EED522304}">
      <formula1>Rating_Agency</formula1>
    </dataValidation>
    <dataValidation type="list" allowBlank="1" showInputMessage="1" showErrorMessage="1" sqref="R2 R4:R5 R10:R15 R17:R20" xr:uid="{7746C028-FF06-4475-B657-C02C1409D5F2}">
      <formula1>What_is_rated</formula1>
    </dataValidation>
    <dataValidation type="list" allowBlank="1" showInputMessage="1" showErrorMessage="1" sqref="X2:X20" xr:uid="{D335B76E-AEB0-4F04-967F-289A64076F65}">
      <formula1>Subordination_Risk</formula1>
    </dataValidation>
    <dataValidation type="list" allowBlank="1" showInputMessage="1" showErrorMessage="1" sqref="AG2:AG5 AG8:AG19" xr:uid="{A497B1DA-0F01-4F9F-AEE8-8FDF198F1F6D}">
      <formula1>In_the_books</formula1>
    </dataValidation>
    <dataValidation type="list" allowBlank="1" showInputMessage="1" showErrorMessage="1" sqref="K2:K20 K146 K206 K353 K441 K590 K679 K827 K908 K1053" xr:uid="{693F1C74-42F4-43C7-8DF3-BD2B971190F0}">
      <formula1>Country_list</formula1>
    </dataValidation>
    <dataValidation type="list" allowBlank="1" showInputMessage="1" showErrorMessage="1" sqref="Y2:Y20" xr:uid="{50C0367A-0707-43FA-958C-9223A27F01F0}">
      <formula1>Yes_No_Bad_Debt</formula1>
    </dataValidation>
    <dataValidation type="list" allowBlank="1" showInputMessage="1" showErrorMessage="1" sqref="H3:H20" xr:uid="{CFDE7130-E011-4CC0-A75F-B67C3224B0B3}">
      <formula1>Type_of_Security_ID_Fund</formula1>
    </dataValidation>
    <dataValidation type="list" allowBlank="1" showInputMessage="1" showErrorMessage="1" sqref="E2:E20" xr:uid="{02A59201-B4DA-44AA-857A-C831562A88F3}">
      <formula1>Issuer_Number_Type_2</formula1>
    </dataValidation>
    <dataValidation type="list" allowBlank="1" showInputMessage="1" showErrorMessage="1" sqref="H2" xr:uid="{252002C3-4CD6-459E-9B34-69D68641F165}">
      <formula1>Security_ID_Number_Type</formula1>
    </dataValidation>
    <dataValidation type="list" allowBlank="1" showInputMessage="1" showErrorMessage="1" sqref="N2:N20" xr:uid="{0F182491-9916-49E7-93E4-B17C49544D48}">
      <formula1>Industry_Sector</formula1>
    </dataValidation>
    <dataValidation type="list" allowBlank="1" showInputMessage="1" showErrorMessage="1" sqref="L799 L125 L325 L562 L2:L20 L28 L58 L206:L207 L224 L254 L441:L442 L459 L490 L679:L680 L697 L728 L908:L909 L926 L956 L1027" xr:uid="{AAFAEDD7-DF36-4297-AC28-8D9CB257866E}">
      <formula1>Tradeable_Status</formula1>
    </dataValidation>
    <dataValidation type="list" allowBlank="1" showInputMessage="1" showErrorMessage="1" sqref="M2:M20" xr:uid="{4500E499-5C4C-4AEC-A140-711E1522A7F2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594B5D-D50D-4050-87DB-80379931120C}">
          <x14:formula1>
            <xm:f>'\\NTAS107777AUF\atlas_outputfiles$\ReshimatNechasim\MH\2402\[512362914_gm_0224_638578485450012666.xlsx]אפשרויות בחירה'!#REF!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621"/>
  <sheetViews>
    <sheetView rightToLeft="1" zoomScale="70" zoomScaleNormal="70" workbookViewId="0"/>
  </sheetViews>
  <sheetFormatPr defaultColWidth="9" defaultRowHeight="14.4"/>
  <cols>
    <col min="1" max="11" width="11.6640625" style="4" customWidth="1"/>
    <col min="12" max="13" width="11.6640625" style="2" customWidth="1"/>
    <col min="14" max="19" width="11.6640625" style="4" customWidth="1"/>
    <col min="20" max="20" width="11.6640625" style="2" customWidth="1"/>
    <col min="21" max="26" width="11.6640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516</v>
      </c>
      <c r="M1" s="19" t="s">
        <v>8</v>
      </c>
      <c r="N1" s="19" t="s">
        <v>322</v>
      </c>
      <c r="O1" s="19" t="s">
        <v>298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 t="s">
        <v>26</v>
      </c>
      <c r="B2" s="18">
        <v>13711</v>
      </c>
      <c r="C2" s="18" t="s">
        <v>1602</v>
      </c>
      <c r="D2" s="18" t="s">
        <v>1603</v>
      </c>
      <c r="E2" s="18" t="s">
        <v>1552</v>
      </c>
      <c r="F2" s="18" t="s">
        <v>1604</v>
      </c>
      <c r="G2" s="18" t="s">
        <v>1605</v>
      </c>
      <c r="H2" s="18" t="s">
        <v>511</v>
      </c>
      <c r="I2" s="18" t="s">
        <v>1121</v>
      </c>
      <c r="J2" s="18" t="s">
        <v>31</v>
      </c>
      <c r="K2" s="18" t="s">
        <v>31</v>
      </c>
      <c r="L2" s="20" t="s">
        <v>517</v>
      </c>
      <c r="M2" s="18" t="s">
        <v>32</v>
      </c>
      <c r="N2" s="20" t="s">
        <v>654</v>
      </c>
      <c r="O2" s="20" t="s">
        <v>312</v>
      </c>
      <c r="P2" s="18" t="s">
        <v>35</v>
      </c>
      <c r="Q2" s="151">
        <v>558</v>
      </c>
      <c r="R2" s="151">
        <v>1</v>
      </c>
      <c r="S2" s="151">
        <v>128.1</v>
      </c>
      <c r="T2" s="20"/>
      <c r="U2" s="151">
        <v>0.71499999999999997</v>
      </c>
      <c r="V2" s="168">
        <v>1.9999999999999999E-6</v>
      </c>
      <c r="W2" s="168">
        <v>1.8981802854357299E-4</v>
      </c>
      <c r="X2" s="168">
        <v>1.9471472892999299E-5</v>
      </c>
    </row>
    <row r="3" spans="1:24">
      <c r="A3" s="18" t="s">
        <v>26</v>
      </c>
      <c r="B3" s="18">
        <v>13711</v>
      </c>
      <c r="C3" s="18" t="s">
        <v>1606</v>
      </c>
      <c r="D3" s="18" t="s">
        <v>1607</v>
      </c>
      <c r="E3" s="18" t="s">
        <v>1552</v>
      </c>
      <c r="F3" s="18" t="s">
        <v>1608</v>
      </c>
      <c r="G3" s="18" t="s">
        <v>1609</v>
      </c>
      <c r="H3" s="18" t="s">
        <v>511</v>
      </c>
      <c r="I3" s="18" t="s">
        <v>1121</v>
      </c>
      <c r="J3" s="18" t="s">
        <v>31</v>
      </c>
      <c r="K3" s="18" t="s">
        <v>31</v>
      </c>
      <c r="L3" s="20" t="s">
        <v>517</v>
      </c>
      <c r="M3" s="18" t="s">
        <v>32</v>
      </c>
      <c r="N3" s="20" t="s">
        <v>628</v>
      </c>
      <c r="O3" s="20" t="s">
        <v>312</v>
      </c>
      <c r="P3" s="18" t="s">
        <v>35</v>
      </c>
      <c r="Q3" s="151">
        <v>1971</v>
      </c>
      <c r="R3" s="151">
        <v>1</v>
      </c>
      <c r="S3" s="151">
        <v>2633</v>
      </c>
      <c r="T3" s="20"/>
      <c r="U3" s="151">
        <v>51.896000000000001</v>
      </c>
      <c r="V3" s="168">
        <v>9.0000000000000002E-6</v>
      </c>
      <c r="W3" s="168">
        <v>1.3781345262647E-2</v>
      </c>
      <c r="X3" s="168">
        <v>1.4136860063800299E-3</v>
      </c>
    </row>
    <row r="4" spans="1:24">
      <c r="A4" s="18" t="s">
        <v>26</v>
      </c>
      <c r="B4" s="18">
        <v>13711</v>
      </c>
      <c r="C4" s="18" t="s">
        <v>1610</v>
      </c>
      <c r="D4" s="18" t="s">
        <v>1611</v>
      </c>
      <c r="E4" s="18" t="s">
        <v>1552</v>
      </c>
      <c r="F4" s="18" t="s">
        <v>1612</v>
      </c>
      <c r="G4" s="18" t="s">
        <v>1613</v>
      </c>
      <c r="H4" s="18" t="s">
        <v>511</v>
      </c>
      <c r="I4" s="18" t="s">
        <v>1121</v>
      </c>
      <c r="J4" s="18" t="s">
        <v>31</v>
      </c>
      <c r="K4" s="18" t="s">
        <v>31</v>
      </c>
      <c r="L4" s="20" t="s">
        <v>517</v>
      </c>
      <c r="M4" s="18" t="s">
        <v>32</v>
      </c>
      <c r="N4" s="20" t="s">
        <v>666</v>
      </c>
      <c r="O4" s="20" t="s">
        <v>312</v>
      </c>
      <c r="P4" s="18" t="s">
        <v>35</v>
      </c>
      <c r="Q4" s="151">
        <v>1775</v>
      </c>
      <c r="R4" s="151">
        <v>1</v>
      </c>
      <c r="S4" s="151">
        <v>369.3</v>
      </c>
      <c r="T4" s="20"/>
      <c r="U4" s="151">
        <v>6.5549999999999997</v>
      </c>
      <c r="V4" s="168">
        <v>3.1999999999999999E-5</v>
      </c>
      <c r="W4" s="168">
        <v>1.74073152618678E-3</v>
      </c>
      <c r="X4" s="168">
        <v>1.78563685368562E-4</v>
      </c>
    </row>
    <row r="5" spans="1:24">
      <c r="A5" s="18" t="s">
        <v>26</v>
      </c>
      <c r="B5" s="18">
        <v>13711</v>
      </c>
      <c r="C5" s="18" t="s">
        <v>1614</v>
      </c>
      <c r="D5" s="18" t="s">
        <v>1615</v>
      </c>
      <c r="E5" s="18" t="s">
        <v>1552</v>
      </c>
      <c r="F5" s="18" t="s">
        <v>1616</v>
      </c>
      <c r="G5" s="18" t="s">
        <v>1617</v>
      </c>
      <c r="H5" s="18" t="s">
        <v>511</v>
      </c>
      <c r="I5" s="18" t="s">
        <v>1121</v>
      </c>
      <c r="J5" s="18" t="s">
        <v>31</v>
      </c>
      <c r="K5" s="18" t="s">
        <v>155</v>
      </c>
      <c r="L5" s="20" t="s">
        <v>517</v>
      </c>
      <c r="M5" s="18" t="s">
        <v>32</v>
      </c>
      <c r="N5" s="20" t="s">
        <v>634</v>
      </c>
      <c r="O5" s="20" t="s">
        <v>312</v>
      </c>
      <c r="P5" s="18" t="s">
        <v>35</v>
      </c>
      <c r="Q5" s="151">
        <v>400</v>
      </c>
      <c r="R5" s="151">
        <v>1</v>
      </c>
      <c r="S5" s="151">
        <v>2219</v>
      </c>
      <c r="T5" s="20"/>
      <c r="U5" s="151">
        <v>8.8759999999999994</v>
      </c>
      <c r="V5" s="168">
        <v>2.0999999999999999E-5</v>
      </c>
      <c r="W5" s="168">
        <v>2.3570642634041399E-3</v>
      </c>
      <c r="X5" s="168">
        <v>2.4178690119203199E-4</v>
      </c>
    </row>
    <row r="6" spans="1:24">
      <c r="A6" s="18" t="s">
        <v>26</v>
      </c>
      <c r="B6" s="18">
        <v>13711</v>
      </c>
      <c r="C6" s="18" t="s">
        <v>1618</v>
      </c>
      <c r="D6" s="18" t="s">
        <v>1619</v>
      </c>
      <c r="E6" s="18" t="s">
        <v>1552</v>
      </c>
      <c r="F6" s="18" t="s">
        <v>1620</v>
      </c>
      <c r="G6" s="18" t="s">
        <v>1621</v>
      </c>
      <c r="H6" s="18" t="s">
        <v>511</v>
      </c>
      <c r="I6" s="18" t="s">
        <v>1121</v>
      </c>
      <c r="J6" s="18" t="s">
        <v>31</v>
      </c>
      <c r="K6" s="18" t="s">
        <v>31</v>
      </c>
      <c r="L6" s="20" t="s">
        <v>517</v>
      </c>
      <c r="M6" s="18" t="s">
        <v>32</v>
      </c>
      <c r="N6" s="20" t="s">
        <v>666</v>
      </c>
      <c r="O6" s="20" t="s">
        <v>312</v>
      </c>
      <c r="P6" s="18" t="s">
        <v>35</v>
      </c>
      <c r="Q6" s="151">
        <v>793</v>
      </c>
      <c r="R6" s="151">
        <v>1</v>
      </c>
      <c r="S6" s="151">
        <v>1710</v>
      </c>
      <c r="T6" s="20"/>
      <c r="U6" s="151">
        <v>13.56</v>
      </c>
      <c r="V6" s="168">
        <v>4.6999999999999997E-5</v>
      </c>
      <c r="W6" s="168">
        <v>3.6010025384226201E-3</v>
      </c>
      <c r="X6" s="168">
        <v>3.6938969313140001E-4</v>
      </c>
    </row>
    <row r="7" spans="1:24">
      <c r="A7" s="18" t="s">
        <v>26</v>
      </c>
      <c r="B7" s="18">
        <v>13711</v>
      </c>
      <c r="C7" s="18" t="s">
        <v>1622</v>
      </c>
      <c r="D7" s="18" t="s">
        <v>1623</v>
      </c>
      <c r="E7" s="18" t="s">
        <v>1552</v>
      </c>
      <c r="F7" s="18" t="s">
        <v>1624</v>
      </c>
      <c r="G7" s="18" t="s">
        <v>1625</v>
      </c>
      <c r="H7" s="18" t="s">
        <v>511</v>
      </c>
      <c r="I7" s="18" t="s">
        <v>1121</v>
      </c>
      <c r="J7" s="18" t="s">
        <v>31</v>
      </c>
      <c r="K7" s="18" t="s">
        <v>31</v>
      </c>
      <c r="L7" s="20" t="s">
        <v>517</v>
      </c>
      <c r="M7" s="18" t="s">
        <v>32</v>
      </c>
      <c r="N7" s="20" t="s">
        <v>635</v>
      </c>
      <c r="O7" s="20" t="s">
        <v>312</v>
      </c>
      <c r="P7" s="18" t="s">
        <v>35</v>
      </c>
      <c r="Q7" s="151">
        <v>1079</v>
      </c>
      <c r="R7" s="151">
        <v>1</v>
      </c>
      <c r="S7" s="151">
        <v>1549</v>
      </c>
      <c r="T7" s="20"/>
      <c r="U7" s="151">
        <v>16.713999999999999</v>
      </c>
      <c r="V7" s="168">
        <v>5.0000000000000004E-6</v>
      </c>
      <c r="W7" s="168">
        <v>4.4384056500563797E-3</v>
      </c>
      <c r="X7" s="168">
        <v>4.5529023753067499E-4</v>
      </c>
    </row>
    <row r="8" spans="1:24">
      <c r="A8" s="18" t="s">
        <v>26</v>
      </c>
      <c r="B8" s="18">
        <v>13711</v>
      </c>
      <c r="C8" s="18" t="s">
        <v>1626</v>
      </c>
      <c r="D8" s="18" t="s">
        <v>1627</v>
      </c>
      <c r="E8" s="18" t="s">
        <v>1552</v>
      </c>
      <c r="F8" s="18" t="s">
        <v>1628</v>
      </c>
      <c r="G8" s="18" t="s">
        <v>1629</v>
      </c>
      <c r="H8" s="18" t="s">
        <v>511</v>
      </c>
      <c r="I8" s="18" t="s">
        <v>1121</v>
      </c>
      <c r="J8" s="18" t="s">
        <v>31</v>
      </c>
      <c r="K8" s="18" t="s">
        <v>31</v>
      </c>
      <c r="L8" s="20" t="s">
        <v>517</v>
      </c>
      <c r="M8" s="18" t="s">
        <v>32</v>
      </c>
      <c r="N8" s="20" t="s">
        <v>633</v>
      </c>
      <c r="O8" s="20" t="s">
        <v>312</v>
      </c>
      <c r="P8" s="18" t="s">
        <v>35</v>
      </c>
      <c r="Q8" s="151">
        <v>10</v>
      </c>
      <c r="R8" s="151">
        <v>1</v>
      </c>
      <c r="S8" s="151">
        <v>9863</v>
      </c>
      <c r="T8" s="20"/>
      <c r="U8" s="151">
        <v>0.98599999999999999</v>
      </c>
      <c r="V8" s="168">
        <v>9.9999999999999995E-7</v>
      </c>
      <c r="W8" s="168">
        <v>2.6191668352810998E-4</v>
      </c>
      <c r="X8" s="168">
        <v>2.6867329951070401E-5</v>
      </c>
    </row>
    <row r="9" spans="1:24">
      <c r="A9" s="18" t="s">
        <v>26</v>
      </c>
      <c r="B9" s="18">
        <v>13711</v>
      </c>
      <c r="C9" s="18" t="s">
        <v>1630</v>
      </c>
      <c r="D9" s="18" t="s">
        <v>1631</v>
      </c>
      <c r="E9" s="18" t="s">
        <v>1552</v>
      </c>
      <c r="F9" s="18" t="s">
        <v>1632</v>
      </c>
      <c r="G9" s="18" t="s">
        <v>1633</v>
      </c>
      <c r="H9" s="18" t="s">
        <v>511</v>
      </c>
      <c r="I9" s="18" t="s">
        <v>1121</v>
      </c>
      <c r="J9" s="18" t="s">
        <v>31</v>
      </c>
      <c r="K9" s="18" t="s">
        <v>31</v>
      </c>
      <c r="L9" s="20" t="s">
        <v>517</v>
      </c>
      <c r="M9" s="18" t="s">
        <v>32</v>
      </c>
      <c r="N9" s="20" t="s">
        <v>650</v>
      </c>
      <c r="O9" s="20" t="s">
        <v>312</v>
      </c>
      <c r="P9" s="18" t="s">
        <v>35</v>
      </c>
      <c r="Q9" s="151">
        <v>23</v>
      </c>
      <c r="R9" s="151">
        <v>1</v>
      </c>
      <c r="S9" s="151">
        <v>6381</v>
      </c>
      <c r="T9" s="20"/>
      <c r="U9" s="151">
        <v>1.468</v>
      </c>
      <c r="V9" s="168">
        <v>1.9999999999999999E-6</v>
      </c>
      <c r="W9" s="168">
        <v>3.8973616774445901E-4</v>
      </c>
      <c r="X9" s="168">
        <v>3.9979011919384999E-5</v>
      </c>
    </row>
    <row r="10" spans="1:24">
      <c r="A10" s="18" t="s">
        <v>26</v>
      </c>
      <c r="B10" s="18">
        <v>13711</v>
      </c>
      <c r="C10" s="18" t="s">
        <v>1634</v>
      </c>
      <c r="D10" s="18" t="s">
        <v>1635</v>
      </c>
      <c r="E10" s="18" t="s">
        <v>1552</v>
      </c>
      <c r="F10" s="18" t="s">
        <v>1636</v>
      </c>
      <c r="G10" s="18" t="s">
        <v>1637</v>
      </c>
      <c r="H10" s="18" t="s">
        <v>511</v>
      </c>
      <c r="I10" s="18" t="s">
        <v>1121</v>
      </c>
      <c r="J10" s="18" t="s">
        <v>31</v>
      </c>
      <c r="K10" s="18" t="s">
        <v>31</v>
      </c>
      <c r="L10" s="20" t="s">
        <v>517</v>
      </c>
      <c r="M10" s="18" t="s">
        <v>32</v>
      </c>
      <c r="N10" s="20" t="s">
        <v>651</v>
      </c>
      <c r="O10" s="20" t="s">
        <v>312</v>
      </c>
      <c r="P10" s="18" t="s">
        <v>35</v>
      </c>
      <c r="Q10" s="151">
        <v>1000</v>
      </c>
      <c r="R10" s="151">
        <v>1</v>
      </c>
      <c r="S10" s="151">
        <v>990.44799999999998</v>
      </c>
      <c r="T10" s="20"/>
      <c r="U10" s="151">
        <v>9.9039999999999999</v>
      </c>
      <c r="V10" s="168">
        <v>0</v>
      </c>
      <c r="W10" s="168">
        <v>2.6301824553509102E-3</v>
      </c>
      <c r="X10" s="168">
        <v>2.6980327830794802E-4</v>
      </c>
    </row>
    <row r="11" spans="1:24">
      <c r="A11" s="18" t="s">
        <v>26</v>
      </c>
      <c r="B11" s="18">
        <v>13711</v>
      </c>
      <c r="C11" s="18" t="s">
        <v>1638</v>
      </c>
      <c r="D11" s="18" t="s">
        <v>1639</v>
      </c>
      <c r="E11" s="18" t="s">
        <v>1552</v>
      </c>
      <c r="F11" s="18" t="s">
        <v>1640</v>
      </c>
      <c r="G11" s="18" t="s">
        <v>1641</v>
      </c>
      <c r="H11" s="18" t="s">
        <v>511</v>
      </c>
      <c r="I11" s="18" t="s">
        <v>1121</v>
      </c>
      <c r="J11" s="18" t="s">
        <v>31</v>
      </c>
      <c r="K11" s="18" t="s">
        <v>31</v>
      </c>
      <c r="L11" s="20" t="s">
        <v>517</v>
      </c>
      <c r="M11" s="18" t="s">
        <v>32</v>
      </c>
      <c r="N11" s="20" t="s">
        <v>649</v>
      </c>
      <c r="O11" s="20" t="s">
        <v>312</v>
      </c>
      <c r="P11" s="18" t="s">
        <v>35</v>
      </c>
      <c r="Q11" s="151">
        <v>25</v>
      </c>
      <c r="R11" s="151">
        <v>1</v>
      </c>
      <c r="S11" s="151">
        <v>6972</v>
      </c>
      <c r="T11" s="20"/>
      <c r="U11" s="151">
        <v>1.7430000000000001</v>
      </c>
      <c r="V11" s="168">
        <v>1.9999999999999999E-6</v>
      </c>
      <c r="W11" s="168">
        <v>4.6286198863377902E-4</v>
      </c>
      <c r="X11" s="168">
        <v>4.7480235328719198E-5</v>
      </c>
    </row>
    <row r="12" spans="1:24">
      <c r="A12" s="18" t="s">
        <v>26</v>
      </c>
      <c r="B12" s="18">
        <v>13711</v>
      </c>
      <c r="C12" s="18" t="s">
        <v>1642</v>
      </c>
      <c r="D12" s="18" t="s">
        <v>1643</v>
      </c>
      <c r="E12" s="18" t="s">
        <v>1552</v>
      </c>
      <c r="F12" s="18" t="s">
        <v>1644</v>
      </c>
      <c r="G12" s="18" t="s">
        <v>1645</v>
      </c>
      <c r="H12" s="18" t="s">
        <v>511</v>
      </c>
      <c r="I12" s="18" t="s">
        <v>1121</v>
      </c>
      <c r="J12" s="18" t="s">
        <v>31</v>
      </c>
      <c r="K12" s="18" t="s">
        <v>31</v>
      </c>
      <c r="L12" s="20" t="s">
        <v>517</v>
      </c>
      <c r="M12" s="18" t="s">
        <v>32</v>
      </c>
      <c r="N12" s="20" t="s">
        <v>634</v>
      </c>
      <c r="O12" s="20" t="s">
        <v>312</v>
      </c>
      <c r="P12" s="18" t="s">
        <v>35</v>
      </c>
      <c r="Q12" s="151">
        <v>80</v>
      </c>
      <c r="R12" s="151">
        <v>1</v>
      </c>
      <c r="S12" s="151">
        <v>66410</v>
      </c>
      <c r="T12" s="152">
        <v>0.15</v>
      </c>
      <c r="U12" s="151">
        <v>53.277999999999999</v>
      </c>
      <c r="V12" s="168">
        <v>1.9999999999999999E-6</v>
      </c>
      <c r="W12" s="168">
        <v>1.4148323385396599E-2</v>
      </c>
      <c r="X12" s="168">
        <v>1.45133050529444E-3</v>
      </c>
    </row>
    <row r="13" spans="1:24">
      <c r="A13" s="18" t="s">
        <v>26</v>
      </c>
      <c r="B13" s="18">
        <v>13711</v>
      </c>
      <c r="C13" s="18" t="s">
        <v>1646</v>
      </c>
      <c r="D13" s="18" t="s">
        <v>1647</v>
      </c>
      <c r="E13" s="18" t="s">
        <v>1552</v>
      </c>
      <c r="F13" s="18" t="s">
        <v>1648</v>
      </c>
      <c r="G13" s="18" t="s">
        <v>1649</v>
      </c>
      <c r="H13" s="18" t="s">
        <v>511</v>
      </c>
      <c r="I13" s="18" t="s">
        <v>1121</v>
      </c>
      <c r="J13" s="18" t="s">
        <v>31</v>
      </c>
      <c r="K13" s="18" t="s">
        <v>31</v>
      </c>
      <c r="L13" s="20" t="s">
        <v>517</v>
      </c>
      <c r="M13" s="18" t="s">
        <v>32</v>
      </c>
      <c r="N13" s="20" t="s">
        <v>629</v>
      </c>
      <c r="O13" s="20" t="s">
        <v>312</v>
      </c>
      <c r="P13" s="18" t="s">
        <v>35</v>
      </c>
      <c r="Q13" s="151">
        <v>886</v>
      </c>
      <c r="R13" s="151">
        <v>1</v>
      </c>
      <c r="S13" s="151">
        <v>4400</v>
      </c>
      <c r="T13" s="20"/>
      <c r="U13" s="151">
        <v>38.984000000000002</v>
      </c>
      <c r="V13" s="168">
        <v>6.8999999999999997E-5</v>
      </c>
      <c r="W13" s="168">
        <v>1.0352387702179699E-2</v>
      </c>
      <c r="X13" s="168">
        <v>1.0619446322746901E-3</v>
      </c>
    </row>
    <row r="14" spans="1:24">
      <c r="A14" s="18" t="s">
        <v>26</v>
      </c>
      <c r="B14" s="18">
        <v>13711</v>
      </c>
      <c r="C14" s="18" t="s">
        <v>1650</v>
      </c>
      <c r="D14" s="18" t="s">
        <v>1651</v>
      </c>
      <c r="E14" s="18" t="s">
        <v>1552</v>
      </c>
      <c r="F14" s="18" t="s">
        <v>1652</v>
      </c>
      <c r="G14" s="18" t="s">
        <v>1653</v>
      </c>
      <c r="H14" s="18" t="s">
        <v>511</v>
      </c>
      <c r="I14" s="18" t="s">
        <v>1121</v>
      </c>
      <c r="J14" s="18" t="s">
        <v>31</v>
      </c>
      <c r="K14" s="18" t="s">
        <v>31</v>
      </c>
      <c r="L14" s="20" t="s">
        <v>517</v>
      </c>
      <c r="M14" s="18" t="s">
        <v>32</v>
      </c>
      <c r="N14" s="20" t="s">
        <v>652</v>
      </c>
      <c r="O14" s="20" t="s">
        <v>312</v>
      </c>
      <c r="P14" s="18" t="s">
        <v>35</v>
      </c>
      <c r="Q14" s="151">
        <v>2740</v>
      </c>
      <c r="R14" s="151">
        <v>1</v>
      </c>
      <c r="S14" s="151">
        <v>2350</v>
      </c>
      <c r="T14" s="20"/>
      <c r="U14" s="151">
        <v>64.39</v>
      </c>
      <c r="V14" s="168">
        <v>1.5E-5</v>
      </c>
      <c r="W14" s="168">
        <v>1.7099072546258798E-2</v>
      </c>
      <c r="X14" s="168">
        <v>1.7540174141229101E-3</v>
      </c>
    </row>
    <row r="15" spans="1:24">
      <c r="A15" s="18" t="s">
        <v>26</v>
      </c>
      <c r="B15" s="18">
        <v>13711</v>
      </c>
      <c r="C15" s="18" t="s">
        <v>1654</v>
      </c>
      <c r="D15" s="18" t="s">
        <v>1655</v>
      </c>
      <c r="E15" s="18" t="s">
        <v>1552</v>
      </c>
      <c r="F15" s="18" t="s">
        <v>1656</v>
      </c>
      <c r="G15" s="18" t="s">
        <v>1657</v>
      </c>
      <c r="H15" s="18" t="s">
        <v>511</v>
      </c>
      <c r="I15" s="18" t="s">
        <v>1121</v>
      </c>
      <c r="J15" s="18" t="s">
        <v>31</v>
      </c>
      <c r="K15" s="18" t="s">
        <v>31</v>
      </c>
      <c r="L15" s="20" t="s">
        <v>517</v>
      </c>
      <c r="M15" s="18" t="s">
        <v>32</v>
      </c>
      <c r="N15" s="20" t="s">
        <v>667</v>
      </c>
      <c r="O15" s="20" t="s">
        <v>312</v>
      </c>
      <c r="P15" s="18" t="s">
        <v>35</v>
      </c>
      <c r="Q15" s="151">
        <v>4435</v>
      </c>
      <c r="R15" s="151">
        <v>1</v>
      </c>
      <c r="S15" s="151">
        <v>482.7</v>
      </c>
      <c r="T15" s="20"/>
      <c r="U15" s="151">
        <v>21.408000000000001</v>
      </c>
      <c r="V15" s="168">
        <v>2.1999999999999999E-5</v>
      </c>
      <c r="W15" s="168">
        <v>5.6849291008977797E-3</v>
      </c>
      <c r="X15" s="168">
        <v>5.8315821598233495E-4</v>
      </c>
    </row>
    <row r="16" spans="1:24">
      <c r="A16" s="18" t="s">
        <v>26</v>
      </c>
      <c r="B16" s="18">
        <v>13711</v>
      </c>
      <c r="C16" s="18" t="s">
        <v>1658</v>
      </c>
      <c r="D16" s="18" t="s">
        <v>1659</v>
      </c>
      <c r="E16" s="18" t="s">
        <v>1552</v>
      </c>
      <c r="F16" s="18" t="s">
        <v>1660</v>
      </c>
      <c r="G16" s="18" t="s">
        <v>1661</v>
      </c>
      <c r="H16" s="18" t="s">
        <v>511</v>
      </c>
      <c r="I16" s="18" t="s">
        <v>1121</v>
      </c>
      <c r="J16" s="18" t="s">
        <v>31</v>
      </c>
      <c r="K16" s="18" t="s">
        <v>31</v>
      </c>
      <c r="L16" s="20" t="s">
        <v>517</v>
      </c>
      <c r="M16" s="18" t="s">
        <v>32</v>
      </c>
      <c r="N16" s="20" t="s">
        <v>639</v>
      </c>
      <c r="O16" s="20" t="s">
        <v>312</v>
      </c>
      <c r="P16" s="18" t="s">
        <v>35</v>
      </c>
      <c r="Q16" s="151">
        <v>390</v>
      </c>
      <c r="R16" s="151">
        <v>1</v>
      </c>
      <c r="S16" s="151">
        <v>10000</v>
      </c>
      <c r="T16" s="20"/>
      <c r="U16" s="151">
        <v>39</v>
      </c>
      <c r="V16" s="168">
        <v>1.1E-5</v>
      </c>
      <c r="W16" s="168">
        <v>1.03566365787248E-2</v>
      </c>
      <c r="X16" s="168">
        <v>1.06238048067702E-3</v>
      </c>
    </row>
    <row r="17" spans="1:24">
      <c r="A17" s="18" t="s">
        <v>26</v>
      </c>
      <c r="B17" s="18">
        <v>13711</v>
      </c>
      <c r="C17" s="18" t="s">
        <v>1662</v>
      </c>
      <c r="D17" s="18" t="s">
        <v>1663</v>
      </c>
      <c r="E17" s="18" t="s">
        <v>1552</v>
      </c>
      <c r="F17" s="18" t="s">
        <v>1664</v>
      </c>
      <c r="G17" s="18" t="s">
        <v>1665</v>
      </c>
      <c r="H17" s="18" t="s">
        <v>511</v>
      </c>
      <c r="I17" s="18" t="s">
        <v>1121</v>
      </c>
      <c r="J17" s="18" t="s">
        <v>31</v>
      </c>
      <c r="K17" s="18" t="s">
        <v>31</v>
      </c>
      <c r="L17" s="20" t="s">
        <v>517</v>
      </c>
      <c r="M17" s="18" t="s">
        <v>32</v>
      </c>
      <c r="N17" s="20" t="s">
        <v>653</v>
      </c>
      <c r="O17" s="20" t="s">
        <v>312</v>
      </c>
      <c r="P17" s="18" t="s">
        <v>35</v>
      </c>
      <c r="Q17" s="151">
        <v>147</v>
      </c>
      <c r="R17" s="151">
        <v>1</v>
      </c>
      <c r="S17" s="151">
        <v>3254</v>
      </c>
      <c r="T17" s="20"/>
      <c r="U17" s="151">
        <v>4.7830000000000004</v>
      </c>
      <c r="V17" s="168">
        <v>3.0000000000000001E-6</v>
      </c>
      <c r="W17" s="168">
        <v>1.27024944302412E-3</v>
      </c>
      <c r="X17" s="168">
        <v>1.3030178317079101E-4</v>
      </c>
    </row>
    <row r="18" spans="1:24">
      <c r="A18" s="18" t="s">
        <v>26</v>
      </c>
      <c r="B18" s="18">
        <v>13711</v>
      </c>
      <c r="C18" s="18" t="s">
        <v>1666</v>
      </c>
      <c r="D18" s="18" t="s">
        <v>1667</v>
      </c>
      <c r="E18" s="18" t="s">
        <v>1552</v>
      </c>
      <c r="F18" s="18" t="s">
        <v>1668</v>
      </c>
      <c r="G18" s="18" t="s">
        <v>1669</v>
      </c>
      <c r="H18" s="18" t="s">
        <v>511</v>
      </c>
      <c r="I18" s="18" t="s">
        <v>1121</v>
      </c>
      <c r="J18" s="18" t="s">
        <v>31</v>
      </c>
      <c r="K18" s="18" t="s">
        <v>31</v>
      </c>
      <c r="L18" s="20" t="s">
        <v>517</v>
      </c>
      <c r="M18" s="18" t="s">
        <v>32</v>
      </c>
      <c r="N18" s="20" t="s">
        <v>664</v>
      </c>
      <c r="O18" s="20" t="s">
        <v>312</v>
      </c>
      <c r="P18" s="18" t="s">
        <v>35</v>
      </c>
      <c r="Q18" s="151">
        <v>161</v>
      </c>
      <c r="R18" s="151">
        <v>1</v>
      </c>
      <c r="S18" s="151">
        <v>7427</v>
      </c>
      <c r="T18" s="20"/>
      <c r="U18" s="151">
        <v>11.957000000000001</v>
      </c>
      <c r="V18" s="168">
        <v>6.9999999999999999E-6</v>
      </c>
      <c r="W18" s="168">
        <v>3.1753633638719201E-3</v>
      </c>
      <c r="X18" s="168">
        <v>3.2572776221233502E-4</v>
      </c>
    </row>
    <row r="19" spans="1:24">
      <c r="A19" s="18" t="s">
        <v>26</v>
      </c>
      <c r="B19" s="18">
        <v>13711</v>
      </c>
      <c r="C19" s="18" t="s">
        <v>1670</v>
      </c>
      <c r="D19" s="18" t="s">
        <v>1671</v>
      </c>
      <c r="E19" s="18" t="s">
        <v>1552</v>
      </c>
      <c r="F19" s="18" t="s">
        <v>1672</v>
      </c>
      <c r="G19" s="18" t="s">
        <v>1673</v>
      </c>
      <c r="H19" s="18" t="s">
        <v>511</v>
      </c>
      <c r="I19" s="18" t="s">
        <v>1121</v>
      </c>
      <c r="J19" s="18" t="s">
        <v>31</v>
      </c>
      <c r="K19" s="18" t="s">
        <v>31</v>
      </c>
      <c r="L19" s="20" t="s">
        <v>517</v>
      </c>
      <c r="M19" s="18" t="s">
        <v>32</v>
      </c>
      <c r="N19" s="20" t="s">
        <v>652</v>
      </c>
      <c r="O19" s="20" t="s">
        <v>312</v>
      </c>
      <c r="P19" s="18" t="s">
        <v>35</v>
      </c>
      <c r="Q19" s="151">
        <v>1792</v>
      </c>
      <c r="R19" s="151">
        <v>1</v>
      </c>
      <c r="S19" s="151">
        <v>1510</v>
      </c>
      <c r="T19" s="20"/>
      <c r="U19" s="151">
        <v>27.059000000000001</v>
      </c>
      <c r="V19" s="168">
        <v>3.9999999999999998E-6</v>
      </c>
      <c r="W19" s="168">
        <v>7.1857000131033497E-3</v>
      </c>
      <c r="X19" s="168">
        <v>7.3710681801886203E-4</v>
      </c>
    </row>
    <row r="20" spans="1:24">
      <c r="A20" s="4" t="s">
        <v>26</v>
      </c>
      <c r="B20" s="4">
        <v>13711</v>
      </c>
      <c r="C20" s="4" t="s">
        <v>1674</v>
      </c>
      <c r="D20" s="4" t="s">
        <v>1675</v>
      </c>
      <c r="E20" s="18" t="s">
        <v>1552</v>
      </c>
      <c r="F20" s="4" t="s">
        <v>1676</v>
      </c>
      <c r="G20" s="4" t="s">
        <v>1677</v>
      </c>
      <c r="H20" s="18" t="s">
        <v>511</v>
      </c>
      <c r="I20" s="4" t="s">
        <v>1121</v>
      </c>
      <c r="J20" s="4" t="s">
        <v>31</v>
      </c>
      <c r="K20" s="18" t="s">
        <v>155</v>
      </c>
      <c r="L20" s="20" t="s">
        <v>517</v>
      </c>
      <c r="M20" s="18" t="s">
        <v>32</v>
      </c>
      <c r="N20" s="20" t="s">
        <v>629</v>
      </c>
      <c r="O20" s="4" t="s">
        <v>312</v>
      </c>
      <c r="P20" s="4" t="s">
        <v>35</v>
      </c>
      <c r="Q20" s="150">
        <v>3000.2</v>
      </c>
      <c r="R20" s="150">
        <v>1</v>
      </c>
      <c r="S20" s="150">
        <v>5985</v>
      </c>
      <c r="U20" s="150">
        <v>179.56200000000001</v>
      </c>
      <c r="V20" s="166">
        <v>2.5000000000000001E-5</v>
      </c>
      <c r="W20" s="166">
        <v>4.7683540170509998E-2</v>
      </c>
      <c r="X20" s="166">
        <v>4.8913623589721201E-3</v>
      </c>
    </row>
    <row r="21" spans="1:24">
      <c r="A21" s="4" t="s">
        <v>26</v>
      </c>
      <c r="B21" s="4">
        <v>13711</v>
      </c>
      <c r="C21" s="4" t="s">
        <v>1678</v>
      </c>
      <c r="D21" s="4" t="s">
        <v>1679</v>
      </c>
      <c r="E21" s="4" t="s">
        <v>505</v>
      </c>
      <c r="F21" s="4" t="s">
        <v>1680</v>
      </c>
      <c r="G21" s="4" t="s">
        <v>1681</v>
      </c>
      <c r="H21" s="4" t="s">
        <v>511</v>
      </c>
      <c r="I21" s="4" t="s">
        <v>1121</v>
      </c>
      <c r="J21" s="4" t="s">
        <v>154</v>
      </c>
      <c r="K21" s="4" t="s">
        <v>426</v>
      </c>
      <c r="L21" s="2" t="s">
        <v>517</v>
      </c>
      <c r="M21" s="4" t="s">
        <v>32</v>
      </c>
      <c r="N21" s="20" t="s">
        <v>642</v>
      </c>
      <c r="O21" s="4" t="s">
        <v>312</v>
      </c>
      <c r="P21" s="4" t="s">
        <v>35</v>
      </c>
      <c r="Q21" s="150">
        <v>228</v>
      </c>
      <c r="R21" s="150">
        <v>1</v>
      </c>
      <c r="S21" s="150">
        <v>4611</v>
      </c>
      <c r="T21" s="149">
        <v>0.25700000000000001</v>
      </c>
      <c r="U21" s="150">
        <v>10.77</v>
      </c>
      <c r="V21" s="166">
        <v>9.9999999999999995E-7</v>
      </c>
      <c r="W21" s="166">
        <v>2.8600769669482298E-3</v>
      </c>
      <c r="X21" s="166">
        <v>2.9338578406444999E-4</v>
      </c>
    </row>
    <row r="22" spans="1:24">
      <c r="A22" s="4" t="s">
        <v>26</v>
      </c>
      <c r="B22" s="4">
        <v>13711</v>
      </c>
      <c r="C22" s="4" t="s">
        <v>1682</v>
      </c>
      <c r="D22" s="4" t="s">
        <v>1683</v>
      </c>
      <c r="E22" s="4" t="s">
        <v>1552</v>
      </c>
      <c r="F22" s="4" t="s">
        <v>1684</v>
      </c>
      <c r="G22" s="4" t="s">
        <v>1685</v>
      </c>
      <c r="H22" s="4" t="s">
        <v>511</v>
      </c>
      <c r="I22" s="4" t="s">
        <v>1121</v>
      </c>
      <c r="J22" s="4" t="s">
        <v>31</v>
      </c>
      <c r="K22" s="4" t="s">
        <v>31</v>
      </c>
      <c r="L22" s="2" t="s">
        <v>517</v>
      </c>
      <c r="M22" s="4" t="s">
        <v>32</v>
      </c>
      <c r="N22" s="4" t="s">
        <v>639</v>
      </c>
      <c r="O22" s="4" t="s">
        <v>312</v>
      </c>
      <c r="P22" s="4" t="s">
        <v>35</v>
      </c>
      <c r="Q22" s="150">
        <v>95</v>
      </c>
      <c r="R22" s="150">
        <v>1</v>
      </c>
      <c r="S22" s="150">
        <v>10800</v>
      </c>
      <c r="U22" s="150">
        <v>10.26</v>
      </c>
      <c r="V22" s="166">
        <v>3.0000000000000001E-6</v>
      </c>
      <c r="W22" s="166">
        <v>2.7245920845568399E-3</v>
      </c>
      <c r="X22" s="166">
        <v>2.7948778799349302E-4</v>
      </c>
    </row>
    <row r="23" spans="1:24">
      <c r="A23" s="4" t="s">
        <v>26</v>
      </c>
      <c r="B23" s="4">
        <v>13711</v>
      </c>
      <c r="C23" s="4" t="s">
        <v>1686</v>
      </c>
      <c r="D23" s="4" t="s">
        <v>1687</v>
      </c>
      <c r="E23" s="4" t="s">
        <v>1552</v>
      </c>
      <c r="F23" s="4" t="s">
        <v>1688</v>
      </c>
      <c r="G23" s="4" t="s">
        <v>1689</v>
      </c>
      <c r="H23" s="4" t="s">
        <v>511</v>
      </c>
      <c r="I23" s="4" t="s">
        <v>1121</v>
      </c>
      <c r="J23" s="4" t="s">
        <v>31</v>
      </c>
      <c r="K23" s="4" t="s">
        <v>31</v>
      </c>
      <c r="L23" s="2" t="s">
        <v>517</v>
      </c>
      <c r="M23" s="2" t="s">
        <v>32</v>
      </c>
      <c r="N23" s="4" t="s">
        <v>629</v>
      </c>
      <c r="O23" s="4" t="s">
        <v>312</v>
      </c>
      <c r="P23" s="4" t="s">
        <v>35</v>
      </c>
      <c r="Q23" s="150">
        <v>225</v>
      </c>
      <c r="R23" s="150">
        <v>1</v>
      </c>
      <c r="S23" s="150">
        <v>1526</v>
      </c>
      <c r="U23" s="150">
        <v>3.4329999999999998</v>
      </c>
      <c r="V23" s="166">
        <v>5.0000000000000004E-6</v>
      </c>
      <c r="W23" s="166">
        <v>9.11782351103889E-4</v>
      </c>
      <c r="X23" s="166">
        <v>9.3530343087296197E-5</v>
      </c>
    </row>
    <row r="24" spans="1:24">
      <c r="A24" s="4" t="s">
        <v>26</v>
      </c>
      <c r="B24" s="4">
        <v>13711</v>
      </c>
      <c r="C24" s="4" t="s">
        <v>1690</v>
      </c>
      <c r="D24" s="4" t="s">
        <v>1691</v>
      </c>
      <c r="E24" s="4" t="s">
        <v>1552</v>
      </c>
      <c r="F24" s="4" t="s">
        <v>1692</v>
      </c>
      <c r="G24" s="4" t="s">
        <v>1693</v>
      </c>
      <c r="H24" s="4" t="s">
        <v>511</v>
      </c>
      <c r="I24" s="4" t="s">
        <v>1121</v>
      </c>
      <c r="J24" s="4" t="s">
        <v>31</v>
      </c>
      <c r="K24" s="4" t="s">
        <v>489</v>
      </c>
      <c r="L24" s="2" t="s">
        <v>517</v>
      </c>
      <c r="M24" s="2" t="s">
        <v>32</v>
      </c>
      <c r="N24" s="4" t="s">
        <v>627</v>
      </c>
      <c r="O24" s="4" t="s">
        <v>312</v>
      </c>
      <c r="P24" s="4" t="s">
        <v>35</v>
      </c>
      <c r="Q24" s="150">
        <v>817</v>
      </c>
      <c r="R24" s="150">
        <v>1</v>
      </c>
      <c r="S24" s="150">
        <v>4596</v>
      </c>
      <c r="U24" s="150">
        <v>37.548999999999999</v>
      </c>
      <c r="V24" s="166">
        <v>3.3000000000000003E-5</v>
      </c>
      <c r="W24" s="166">
        <v>9.9714015645703501E-3</v>
      </c>
      <c r="X24" s="166">
        <v>1.02286319565885E-3</v>
      </c>
    </row>
    <row r="25" spans="1:24">
      <c r="A25" s="4" t="s">
        <v>26</v>
      </c>
      <c r="B25" s="4">
        <v>13711</v>
      </c>
      <c r="C25" s="4" t="s">
        <v>1694</v>
      </c>
      <c r="D25" s="4" t="s">
        <v>1695</v>
      </c>
      <c r="E25" s="4" t="s">
        <v>1552</v>
      </c>
      <c r="F25" s="4" t="s">
        <v>1696</v>
      </c>
      <c r="G25" s="4" t="s">
        <v>1697</v>
      </c>
      <c r="H25" s="4" t="s">
        <v>511</v>
      </c>
      <c r="I25" s="4" t="s">
        <v>1121</v>
      </c>
      <c r="J25" s="4" t="s">
        <v>31</v>
      </c>
      <c r="K25" s="4" t="s">
        <v>31</v>
      </c>
      <c r="L25" s="2" t="s">
        <v>517</v>
      </c>
      <c r="M25" s="2" t="s">
        <v>32</v>
      </c>
      <c r="N25" s="4" t="s">
        <v>652</v>
      </c>
      <c r="O25" s="4" t="s">
        <v>312</v>
      </c>
      <c r="P25" s="4" t="s">
        <v>35</v>
      </c>
      <c r="Q25" s="150">
        <v>1915</v>
      </c>
      <c r="R25" s="150">
        <v>1</v>
      </c>
      <c r="S25" s="150">
        <v>210.4</v>
      </c>
      <c r="U25" s="150">
        <v>4.0289999999999999</v>
      </c>
      <c r="V25" s="166">
        <v>6.0000000000000002E-6</v>
      </c>
      <c r="W25" s="166">
        <v>1.0699627137829501E-3</v>
      </c>
      <c r="X25" s="166">
        <v>1.09756434295503E-4</v>
      </c>
    </row>
    <row r="26" spans="1:24">
      <c r="A26" s="4" t="s">
        <v>26</v>
      </c>
      <c r="B26" s="4">
        <v>13711</v>
      </c>
      <c r="C26" s="4" t="s">
        <v>1698</v>
      </c>
      <c r="D26" s="4" t="s">
        <v>1699</v>
      </c>
      <c r="E26" s="4" t="s">
        <v>1552</v>
      </c>
      <c r="F26" s="4" t="s">
        <v>1700</v>
      </c>
      <c r="G26" s="4" t="s">
        <v>1701</v>
      </c>
      <c r="H26" s="4" t="s">
        <v>511</v>
      </c>
      <c r="I26" s="4" t="s">
        <v>1121</v>
      </c>
      <c r="J26" s="4" t="s">
        <v>31</v>
      </c>
      <c r="K26" s="4" t="s">
        <v>31</v>
      </c>
      <c r="L26" s="2" t="s">
        <v>517</v>
      </c>
      <c r="M26" s="2" t="s">
        <v>32</v>
      </c>
      <c r="N26" s="4" t="s">
        <v>628</v>
      </c>
      <c r="O26" s="4" t="s">
        <v>312</v>
      </c>
      <c r="P26" s="4" t="s">
        <v>35</v>
      </c>
      <c r="Q26" s="150">
        <v>21169</v>
      </c>
      <c r="R26" s="150">
        <v>1</v>
      </c>
      <c r="S26" s="150">
        <v>86.7</v>
      </c>
      <c r="U26" s="150">
        <v>18.353999999999999</v>
      </c>
      <c r="V26" s="166">
        <v>6.9999999999999999E-6</v>
      </c>
      <c r="W26" s="166">
        <v>4.87386583718634E-3</v>
      </c>
      <c r="X26" s="166">
        <v>4.9995960479119902E-4</v>
      </c>
    </row>
    <row r="27" spans="1:24">
      <c r="A27" s="4" t="s">
        <v>26</v>
      </c>
      <c r="B27" s="4">
        <v>13711</v>
      </c>
      <c r="C27" s="4" t="s">
        <v>1702</v>
      </c>
      <c r="D27" s="4" t="s">
        <v>1703</v>
      </c>
      <c r="E27" s="4" t="s">
        <v>1552</v>
      </c>
      <c r="F27" s="4" t="s">
        <v>1704</v>
      </c>
      <c r="G27" s="4" t="s">
        <v>1705</v>
      </c>
      <c r="H27" s="4" t="s">
        <v>511</v>
      </c>
      <c r="I27" s="4" t="s">
        <v>1121</v>
      </c>
      <c r="J27" s="4" t="s">
        <v>31</v>
      </c>
      <c r="K27" s="4" t="s">
        <v>31</v>
      </c>
      <c r="L27" s="2" t="s">
        <v>517</v>
      </c>
      <c r="M27" s="2" t="s">
        <v>32</v>
      </c>
      <c r="N27" s="4" t="s">
        <v>673</v>
      </c>
      <c r="O27" s="4" t="s">
        <v>312</v>
      </c>
      <c r="P27" s="4" t="s">
        <v>35</v>
      </c>
      <c r="Q27" s="150">
        <v>23457</v>
      </c>
      <c r="R27" s="150">
        <v>1</v>
      </c>
      <c r="S27" s="150">
        <v>423.6</v>
      </c>
      <c r="U27" s="150">
        <v>99.364000000000004</v>
      </c>
      <c r="V27" s="166">
        <v>7.9999999999999996E-6</v>
      </c>
      <c r="W27" s="166">
        <v>2.6386546262210198E-2</v>
      </c>
      <c r="X27" s="166">
        <v>2.7067235089661599E-3</v>
      </c>
    </row>
    <row r="28" spans="1:24">
      <c r="A28" s="4" t="s">
        <v>26</v>
      </c>
      <c r="B28" s="4">
        <v>13711</v>
      </c>
      <c r="C28" s="4" t="s">
        <v>1706</v>
      </c>
      <c r="D28" s="4" t="s">
        <v>1707</v>
      </c>
      <c r="E28" s="4" t="s">
        <v>1552</v>
      </c>
      <c r="F28" s="4" t="s">
        <v>1708</v>
      </c>
      <c r="G28" s="4" t="s">
        <v>1709</v>
      </c>
      <c r="H28" s="4" t="s">
        <v>511</v>
      </c>
      <c r="I28" s="4" t="s">
        <v>1121</v>
      </c>
      <c r="J28" s="4" t="s">
        <v>31</v>
      </c>
      <c r="K28" s="4" t="s">
        <v>31</v>
      </c>
      <c r="L28" s="2" t="s">
        <v>517</v>
      </c>
      <c r="M28" s="2" t="s">
        <v>32</v>
      </c>
      <c r="N28" s="4" t="s">
        <v>652</v>
      </c>
      <c r="O28" s="4" t="s">
        <v>312</v>
      </c>
      <c r="P28" s="4" t="s">
        <v>35</v>
      </c>
      <c r="Q28" s="150">
        <v>180</v>
      </c>
      <c r="R28" s="150">
        <v>1</v>
      </c>
      <c r="S28" s="150">
        <v>35740</v>
      </c>
      <c r="U28" s="150">
        <v>64.331999999999994</v>
      </c>
      <c r="V28" s="166">
        <v>6.9999999999999999E-6</v>
      </c>
      <c r="W28" s="166">
        <v>1.7083670368782701E-2</v>
      </c>
      <c r="X28" s="166">
        <v>1.75243746366446E-3</v>
      </c>
    </row>
    <row r="29" spans="1:24">
      <c r="A29" s="4" t="s">
        <v>26</v>
      </c>
      <c r="B29" s="4">
        <v>13711</v>
      </c>
      <c r="C29" s="4" t="s">
        <v>1710</v>
      </c>
      <c r="D29" s="4" t="s">
        <v>1711</v>
      </c>
      <c r="E29" s="4" t="s">
        <v>1552</v>
      </c>
      <c r="F29" s="4" t="s">
        <v>1712</v>
      </c>
      <c r="G29" s="4" t="s">
        <v>1713</v>
      </c>
      <c r="H29" s="4" t="s">
        <v>511</v>
      </c>
      <c r="I29" s="4" t="s">
        <v>1121</v>
      </c>
      <c r="J29" s="4" t="s">
        <v>31</v>
      </c>
      <c r="K29" s="4" t="s">
        <v>31</v>
      </c>
      <c r="L29" s="2" t="s">
        <v>517</v>
      </c>
      <c r="M29" s="2" t="s">
        <v>32</v>
      </c>
      <c r="N29" s="4" t="s">
        <v>644</v>
      </c>
      <c r="O29" s="4" t="s">
        <v>312</v>
      </c>
      <c r="P29" s="4" t="s">
        <v>35</v>
      </c>
      <c r="Q29" s="150">
        <v>94</v>
      </c>
      <c r="R29" s="150">
        <v>1</v>
      </c>
      <c r="S29" s="150">
        <v>835.6</v>
      </c>
      <c r="U29" s="150">
        <v>0.78500000000000003</v>
      </c>
      <c r="V29" s="166">
        <v>3.0000000000000001E-6</v>
      </c>
      <c r="W29" s="166">
        <v>2.0858372291465401E-4</v>
      </c>
      <c r="X29" s="166">
        <v>2.1396451842935802E-5</v>
      </c>
    </row>
    <row r="30" spans="1:24">
      <c r="A30" s="4" t="s">
        <v>26</v>
      </c>
      <c r="B30" s="4">
        <v>13711</v>
      </c>
      <c r="C30" s="4" t="s">
        <v>1714</v>
      </c>
      <c r="D30" s="4" t="s">
        <v>1715</v>
      </c>
      <c r="E30" s="4" t="s">
        <v>1552</v>
      </c>
      <c r="F30" s="4" t="s">
        <v>1716</v>
      </c>
      <c r="G30" s="4" t="s">
        <v>1717</v>
      </c>
      <c r="H30" s="4" t="s">
        <v>511</v>
      </c>
      <c r="I30" s="4" t="s">
        <v>1121</v>
      </c>
      <c r="J30" s="4" t="s">
        <v>31</v>
      </c>
      <c r="K30" s="4" t="s">
        <v>489</v>
      </c>
      <c r="L30" s="2" t="s">
        <v>517</v>
      </c>
      <c r="M30" s="2" t="s">
        <v>32</v>
      </c>
      <c r="N30" s="4" t="s">
        <v>653</v>
      </c>
      <c r="O30" s="4" t="s">
        <v>312</v>
      </c>
      <c r="P30" s="4" t="s">
        <v>35</v>
      </c>
      <c r="Q30" s="150">
        <v>800</v>
      </c>
      <c r="R30" s="150">
        <v>1</v>
      </c>
      <c r="S30" s="150">
        <v>881.8</v>
      </c>
      <c r="U30" s="150">
        <v>7.0540000000000003</v>
      </c>
      <c r="V30" s="166">
        <v>3.9999999999999998E-6</v>
      </c>
      <c r="W30" s="166">
        <v>1.87332966874247E-3</v>
      </c>
      <c r="X30" s="166">
        <v>1.9216556058687101E-4</v>
      </c>
    </row>
    <row r="31" spans="1:24">
      <c r="A31" s="4" t="s">
        <v>26</v>
      </c>
      <c r="B31" s="4">
        <v>13711</v>
      </c>
      <c r="C31" s="4" t="s">
        <v>1718</v>
      </c>
      <c r="D31" s="4" t="s">
        <v>1719</v>
      </c>
      <c r="E31" s="4" t="s">
        <v>1552</v>
      </c>
      <c r="F31" s="4" t="s">
        <v>1720</v>
      </c>
      <c r="G31" s="4" t="s">
        <v>1721</v>
      </c>
      <c r="H31" s="4" t="s">
        <v>511</v>
      </c>
      <c r="I31" s="4" t="s">
        <v>1121</v>
      </c>
      <c r="J31" s="4" t="s">
        <v>31</v>
      </c>
      <c r="K31" s="4" t="s">
        <v>155</v>
      </c>
      <c r="L31" s="2" t="s">
        <v>517</v>
      </c>
      <c r="M31" s="2" t="s">
        <v>32</v>
      </c>
      <c r="N31" s="4" t="s">
        <v>657</v>
      </c>
      <c r="O31" s="4" t="s">
        <v>312</v>
      </c>
      <c r="P31" s="4" t="s">
        <v>35</v>
      </c>
      <c r="Q31" s="150">
        <v>510</v>
      </c>
      <c r="R31" s="150">
        <v>1</v>
      </c>
      <c r="S31" s="150">
        <v>1681</v>
      </c>
      <c r="U31" s="150">
        <v>8.5730000000000004</v>
      </c>
      <c r="V31" s="166">
        <v>9.0000000000000002E-6</v>
      </c>
      <c r="W31" s="166">
        <v>2.2766277193093801E-3</v>
      </c>
      <c r="X31" s="166">
        <v>2.3353574612543999E-4</v>
      </c>
    </row>
    <row r="32" spans="1:24">
      <c r="A32" s="4" t="s">
        <v>26</v>
      </c>
      <c r="B32" s="4">
        <v>13711</v>
      </c>
      <c r="C32" s="4" t="s">
        <v>1722</v>
      </c>
      <c r="D32" s="4" t="s">
        <v>1723</v>
      </c>
      <c r="E32" s="4" t="s">
        <v>1552</v>
      </c>
      <c r="F32" s="4" t="s">
        <v>1724</v>
      </c>
      <c r="G32" s="4" t="s">
        <v>1725</v>
      </c>
      <c r="H32" s="4" t="s">
        <v>511</v>
      </c>
      <c r="I32" s="4" t="s">
        <v>1121</v>
      </c>
      <c r="J32" s="4" t="s">
        <v>31</v>
      </c>
      <c r="K32" s="4" t="s">
        <v>31</v>
      </c>
      <c r="L32" s="2" t="s">
        <v>517</v>
      </c>
      <c r="M32" s="2" t="s">
        <v>32</v>
      </c>
      <c r="N32" s="4" t="s">
        <v>669</v>
      </c>
      <c r="O32" s="4" t="s">
        <v>312</v>
      </c>
      <c r="P32" s="4" t="s">
        <v>35</v>
      </c>
      <c r="Q32" s="150">
        <v>148</v>
      </c>
      <c r="R32" s="150">
        <v>1</v>
      </c>
      <c r="S32" s="150">
        <v>3905</v>
      </c>
      <c r="U32" s="150">
        <v>5.7789999999999999</v>
      </c>
      <c r="V32" s="166">
        <v>1.2999999999999999E-5</v>
      </c>
      <c r="W32" s="166">
        <v>1.53474731905339E-3</v>
      </c>
      <c r="X32" s="166">
        <v>1.5743389102627599E-4</v>
      </c>
    </row>
    <row r="33" spans="1:24">
      <c r="A33" s="4" t="s">
        <v>26</v>
      </c>
      <c r="B33" s="4">
        <v>13711</v>
      </c>
      <c r="C33" s="4" t="s">
        <v>1726</v>
      </c>
      <c r="D33" s="4" t="s">
        <v>1727</v>
      </c>
      <c r="E33" s="4" t="s">
        <v>1552</v>
      </c>
      <c r="F33" s="4" t="s">
        <v>1728</v>
      </c>
      <c r="G33" s="4" t="s">
        <v>1729</v>
      </c>
      <c r="H33" s="4" t="s">
        <v>511</v>
      </c>
      <c r="I33" s="4" t="s">
        <v>1121</v>
      </c>
      <c r="J33" s="4" t="s">
        <v>31</v>
      </c>
      <c r="K33" s="4" t="s">
        <v>31</v>
      </c>
      <c r="L33" s="2" t="s">
        <v>517</v>
      </c>
      <c r="M33" s="2" t="s">
        <v>32</v>
      </c>
      <c r="N33" s="4" t="s">
        <v>650</v>
      </c>
      <c r="O33" s="4" t="s">
        <v>312</v>
      </c>
      <c r="P33" s="4" t="s">
        <v>35</v>
      </c>
      <c r="Q33" s="150">
        <v>50</v>
      </c>
      <c r="R33" s="150">
        <v>1</v>
      </c>
      <c r="S33" s="150">
        <v>39460</v>
      </c>
      <c r="U33" s="150">
        <v>19.73</v>
      </c>
      <c r="V33" s="166">
        <v>4.1E-5</v>
      </c>
      <c r="W33" s="166">
        <v>5.2393958896984798E-3</v>
      </c>
      <c r="X33" s="166">
        <v>5.3745556112198996E-4</v>
      </c>
    </row>
    <row r="34" spans="1:24">
      <c r="A34" s="4" t="s">
        <v>26</v>
      </c>
      <c r="B34" s="4">
        <v>13711</v>
      </c>
      <c r="C34" s="4" t="s">
        <v>1730</v>
      </c>
      <c r="D34" s="4" t="s">
        <v>1731</v>
      </c>
      <c r="E34" s="4" t="s">
        <v>1552</v>
      </c>
      <c r="F34" s="4" t="s">
        <v>1732</v>
      </c>
      <c r="G34" s="4" t="s">
        <v>1733</v>
      </c>
      <c r="H34" s="4" t="s">
        <v>511</v>
      </c>
      <c r="I34" s="4" t="s">
        <v>1121</v>
      </c>
      <c r="J34" s="4" t="s">
        <v>31</v>
      </c>
      <c r="K34" s="4" t="s">
        <v>31</v>
      </c>
      <c r="L34" s="2" t="s">
        <v>517</v>
      </c>
      <c r="M34" s="2" t="s">
        <v>32</v>
      </c>
      <c r="N34" s="4" t="s">
        <v>644</v>
      </c>
      <c r="O34" s="4" t="s">
        <v>312</v>
      </c>
      <c r="P34" s="4" t="s">
        <v>35</v>
      </c>
      <c r="Q34" s="150">
        <v>252</v>
      </c>
      <c r="R34" s="150">
        <v>1</v>
      </c>
      <c r="S34" s="150">
        <v>947.8</v>
      </c>
      <c r="U34" s="150">
        <v>2.3879999999999999</v>
      </c>
      <c r="V34" s="166">
        <v>1.7E-5</v>
      </c>
      <c r="W34" s="166">
        <v>6.3426591734037896E-4</v>
      </c>
      <c r="X34" s="166">
        <v>6.5062795727074694E-5</v>
      </c>
    </row>
    <row r="35" spans="1:24">
      <c r="A35" s="4" t="s">
        <v>26</v>
      </c>
      <c r="B35" s="4">
        <v>13711</v>
      </c>
      <c r="C35" s="4" t="s">
        <v>1734</v>
      </c>
      <c r="D35" s="4" t="s">
        <v>1735</v>
      </c>
      <c r="E35" s="4" t="s">
        <v>1552</v>
      </c>
      <c r="F35" s="4" t="s">
        <v>1736</v>
      </c>
      <c r="G35" s="4" t="s">
        <v>1737</v>
      </c>
      <c r="H35" s="4" t="s">
        <v>511</v>
      </c>
      <c r="I35" s="4" t="s">
        <v>1121</v>
      </c>
      <c r="J35" s="4" t="s">
        <v>31</v>
      </c>
      <c r="K35" s="4" t="s">
        <v>31</v>
      </c>
      <c r="L35" s="2" t="s">
        <v>517</v>
      </c>
      <c r="M35" s="2" t="s">
        <v>32</v>
      </c>
      <c r="N35" s="4" t="s">
        <v>659</v>
      </c>
      <c r="O35" s="4" t="s">
        <v>312</v>
      </c>
      <c r="P35" s="4" t="s">
        <v>35</v>
      </c>
      <c r="Q35" s="150">
        <v>2000</v>
      </c>
      <c r="R35" s="150">
        <v>1</v>
      </c>
      <c r="S35" s="150">
        <v>72.900000000000006</v>
      </c>
      <c r="U35" s="150">
        <v>1.458</v>
      </c>
      <c r="V35" s="166">
        <v>1.8E-5</v>
      </c>
      <c r="W35" s="166">
        <v>3.8717887517386601E-4</v>
      </c>
      <c r="X35" s="166">
        <v>3.9716685662233199E-5</v>
      </c>
    </row>
    <row r="36" spans="1:24">
      <c r="A36" s="4" t="s">
        <v>26</v>
      </c>
      <c r="B36" s="4">
        <v>13711</v>
      </c>
      <c r="C36" s="4" t="s">
        <v>1738</v>
      </c>
      <c r="D36" s="4" t="s">
        <v>1739</v>
      </c>
      <c r="E36" s="4" t="s">
        <v>1552</v>
      </c>
      <c r="F36" s="4" t="s">
        <v>1740</v>
      </c>
      <c r="G36" s="4" t="s">
        <v>1741</v>
      </c>
      <c r="H36" s="4" t="s">
        <v>511</v>
      </c>
      <c r="I36" s="4" t="s">
        <v>1121</v>
      </c>
      <c r="J36" s="4" t="s">
        <v>31</v>
      </c>
      <c r="K36" s="4" t="s">
        <v>31</v>
      </c>
      <c r="L36" s="2" t="s">
        <v>517</v>
      </c>
      <c r="M36" s="2" t="s">
        <v>32</v>
      </c>
      <c r="N36" s="4" t="s">
        <v>629</v>
      </c>
      <c r="O36" s="4" t="s">
        <v>312</v>
      </c>
      <c r="P36" s="4" t="s">
        <v>35</v>
      </c>
      <c r="Q36" s="150">
        <v>190</v>
      </c>
      <c r="R36" s="150">
        <v>1</v>
      </c>
      <c r="S36" s="150">
        <v>995.7</v>
      </c>
      <c r="U36" s="150">
        <v>1.8919999999999999</v>
      </c>
      <c r="V36" s="166">
        <v>9.9999999999999995E-7</v>
      </c>
      <c r="W36" s="166">
        <v>5.0238450714689699E-4</v>
      </c>
      <c r="X36" s="166">
        <v>5.1534442686133497E-5</v>
      </c>
    </row>
    <row r="37" spans="1:24">
      <c r="A37" s="4" t="s">
        <v>26</v>
      </c>
      <c r="B37" s="4">
        <v>13711</v>
      </c>
      <c r="C37" s="4" t="s">
        <v>1742</v>
      </c>
      <c r="D37" s="4" t="s">
        <v>1743</v>
      </c>
      <c r="E37" s="4" t="s">
        <v>1552</v>
      </c>
      <c r="F37" s="4" t="s">
        <v>1744</v>
      </c>
      <c r="G37" s="4" t="s">
        <v>1745</v>
      </c>
      <c r="H37" s="4" t="s">
        <v>511</v>
      </c>
      <c r="I37" s="4" t="s">
        <v>1121</v>
      </c>
      <c r="J37" s="4" t="s">
        <v>31</v>
      </c>
      <c r="K37" s="4" t="s">
        <v>31</v>
      </c>
      <c r="L37" s="2" t="s">
        <v>517</v>
      </c>
      <c r="M37" s="2" t="s">
        <v>32</v>
      </c>
      <c r="N37" s="4" t="s">
        <v>636</v>
      </c>
      <c r="O37" s="4" t="s">
        <v>312</v>
      </c>
      <c r="P37" s="4" t="s">
        <v>35</v>
      </c>
      <c r="Q37" s="150">
        <v>6815</v>
      </c>
      <c r="R37" s="150">
        <v>1</v>
      </c>
      <c r="S37" s="150">
        <v>1909</v>
      </c>
      <c r="U37" s="150">
        <v>130.09800000000001</v>
      </c>
      <c r="V37" s="166">
        <v>6.0000000000000002E-6</v>
      </c>
      <c r="W37" s="166">
        <v>3.4548239242095997E-2</v>
      </c>
      <c r="X37" s="166">
        <v>3.5439473745714702E-3</v>
      </c>
    </row>
    <row r="38" spans="1:24">
      <c r="A38" s="4" t="s">
        <v>26</v>
      </c>
      <c r="B38" s="4">
        <v>13711</v>
      </c>
      <c r="C38" s="4" t="s">
        <v>1746</v>
      </c>
      <c r="D38" s="4" t="s">
        <v>1747</v>
      </c>
      <c r="E38" s="4" t="s">
        <v>1552</v>
      </c>
      <c r="F38" s="4" t="s">
        <v>1748</v>
      </c>
      <c r="G38" s="4" t="s">
        <v>1749</v>
      </c>
      <c r="H38" s="4" t="s">
        <v>511</v>
      </c>
      <c r="I38" s="4" t="s">
        <v>1121</v>
      </c>
      <c r="J38" s="4" t="s">
        <v>31</v>
      </c>
      <c r="K38" s="4" t="s">
        <v>31</v>
      </c>
      <c r="L38" s="2" t="s">
        <v>517</v>
      </c>
      <c r="M38" s="2" t="s">
        <v>32</v>
      </c>
      <c r="N38" s="4" t="s">
        <v>650</v>
      </c>
      <c r="O38" s="4" t="s">
        <v>312</v>
      </c>
      <c r="P38" s="4" t="s">
        <v>35</v>
      </c>
      <c r="Q38" s="150">
        <v>728</v>
      </c>
      <c r="R38" s="150">
        <v>1</v>
      </c>
      <c r="S38" s="150">
        <v>3081</v>
      </c>
      <c r="U38" s="150">
        <v>22.43</v>
      </c>
      <c r="V38" s="166">
        <v>2.6999999999999999E-5</v>
      </c>
      <c r="W38" s="166">
        <v>5.9563088291562198E-3</v>
      </c>
      <c r="X38" s="166">
        <v>6.1099626204696804E-4</v>
      </c>
    </row>
    <row r="39" spans="1:24">
      <c r="A39" s="4" t="s">
        <v>26</v>
      </c>
      <c r="B39" s="4">
        <v>13711</v>
      </c>
      <c r="C39" s="4" t="s">
        <v>1750</v>
      </c>
      <c r="D39" s="4" t="s">
        <v>1751</v>
      </c>
      <c r="E39" s="4" t="s">
        <v>1552</v>
      </c>
      <c r="F39" s="4" t="s">
        <v>1752</v>
      </c>
      <c r="G39" s="4" t="s">
        <v>1753</v>
      </c>
      <c r="H39" s="4" t="s">
        <v>511</v>
      </c>
      <c r="I39" s="4" t="s">
        <v>1121</v>
      </c>
      <c r="J39" s="4" t="s">
        <v>31</v>
      </c>
      <c r="K39" s="4" t="s">
        <v>31</v>
      </c>
      <c r="L39" s="2" t="s">
        <v>517</v>
      </c>
      <c r="M39" s="2" t="s">
        <v>32</v>
      </c>
      <c r="N39" s="4" t="s">
        <v>650</v>
      </c>
      <c r="O39" s="4" t="s">
        <v>312</v>
      </c>
      <c r="P39" s="4" t="s">
        <v>35</v>
      </c>
      <c r="Q39" s="150">
        <v>236</v>
      </c>
      <c r="R39" s="150">
        <v>1</v>
      </c>
      <c r="S39" s="150">
        <v>1897</v>
      </c>
      <c r="U39" s="150">
        <v>4.4770000000000003</v>
      </c>
      <c r="V39" s="166">
        <v>1.9999999999999999E-6</v>
      </c>
      <c r="W39" s="166">
        <v>1.18886752389807E-3</v>
      </c>
      <c r="X39" s="166">
        <v>1.21953651834681E-4</v>
      </c>
    </row>
    <row r="40" spans="1:24">
      <c r="A40" s="4" t="s">
        <v>26</v>
      </c>
      <c r="B40" s="4">
        <v>13711</v>
      </c>
      <c r="C40" s="4" t="s">
        <v>1754</v>
      </c>
      <c r="D40" s="4" t="s">
        <v>1755</v>
      </c>
      <c r="E40" s="4" t="s">
        <v>1552</v>
      </c>
      <c r="F40" s="4" t="s">
        <v>1756</v>
      </c>
      <c r="G40" s="4" t="s">
        <v>1757</v>
      </c>
      <c r="H40" s="4" t="s">
        <v>511</v>
      </c>
      <c r="I40" s="4" t="s">
        <v>1121</v>
      </c>
      <c r="J40" s="4" t="s">
        <v>31</v>
      </c>
      <c r="K40" s="4" t="s">
        <v>31</v>
      </c>
      <c r="L40" s="2" t="s">
        <v>517</v>
      </c>
      <c r="M40" s="2" t="s">
        <v>32</v>
      </c>
      <c r="N40" s="4" t="s">
        <v>635</v>
      </c>
      <c r="O40" s="4" t="s">
        <v>312</v>
      </c>
      <c r="P40" s="4" t="s">
        <v>35</v>
      </c>
      <c r="Q40" s="150">
        <v>94</v>
      </c>
      <c r="R40" s="150">
        <v>1</v>
      </c>
      <c r="S40" s="150">
        <v>27830</v>
      </c>
      <c r="U40" s="150">
        <v>26.16</v>
      </c>
      <c r="V40" s="166">
        <v>5.0000000000000004E-6</v>
      </c>
      <c r="W40" s="166">
        <v>6.9469662622245404E-3</v>
      </c>
      <c r="X40" s="166">
        <v>7.12617585913E-4</v>
      </c>
    </row>
    <row r="41" spans="1:24">
      <c r="A41" s="4" t="s">
        <v>26</v>
      </c>
      <c r="B41" s="4">
        <v>13711</v>
      </c>
      <c r="C41" s="4" t="s">
        <v>1758</v>
      </c>
      <c r="D41" s="4" t="s">
        <v>1759</v>
      </c>
      <c r="E41" s="4" t="s">
        <v>1552</v>
      </c>
      <c r="F41" s="4" t="s">
        <v>1760</v>
      </c>
      <c r="G41" s="4" t="s">
        <v>1761</v>
      </c>
      <c r="H41" s="4" t="s">
        <v>511</v>
      </c>
      <c r="I41" s="4" t="s">
        <v>1121</v>
      </c>
      <c r="J41" s="4" t="s">
        <v>31</v>
      </c>
      <c r="K41" s="4" t="s">
        <v>31</v>
      </c>
      <c r="L41" s="2" t="s">
        <v>517</v>
      </c>
      <c r="M41" s="2" t="s">
        <v>32</v>
      </c>
      <c r="N41" s="4" t="s">
        <v>666</v>
      </c>
      <c r="O41" s="4" t="s">
        <v>312</v>
      </c>
      <c r="P41" s="4" t="s">
        <v>35</v>
      </c>
      <c r="Q41" s="150">
        <v>55</v>
      </c>
      <c r="R41" s="150">
        <v>1</v>
      </c>
      <c r="S41" s="150">
        <v>30090</v>
      </c>
      <c r="U41" s="150">
        <v>16.548999999999999</v>
      </c>
      <c r="V41" s="166">
        <v>9.0000000000000002E-6</v>
      </c>
      <c r="W41" s="166">
        <v>4.3947988989642703E-3</v>
      </c>
      <c r="X41" s="166">
        <v>4.50817070896522E-4</v>
      </c>
    </row>
    <row r="42" spans="1:24">
      <c r="A42" s="4" t="s">
        <v>26</v>
      </c>
      <c r="B42" s="4">
        <v>13711</v>
      </c>
      <c r="C42" s="4" t="s">
        <v>1762</v>
      </c>
      <c r="D42" s="4" t="s">
        <v>1763</v>
      </c>
      <c r="E42" s="4" t="s">
        <v>1552</v>
      </c>
      <c r="F42" s="4" t="s">
        <v>1764</v>
      </c>
      <c r="G42" s="4" t="s">
        <v>1765</v>
      </c>
      <c r="H42" s="4" t="s">
        <v>511</v>
      </c>
      <c r="I42" s="4" t="s">
        <v>1121</v>
      </c>
      <c r="J42" s="4" t="s">
        <v>31</v>
      </c>
      <c r="K42" s="4" t="s">
        <v>31</v>
      </c>
      <c r="L42" s="2" t="s">
        <v>517</v>
      </c>
      <c r="M42" s="2" t="s">
        <v>32</v>
      </c>
      <c r="N42" s="4" t="s">
        <v>633</v>
      </c>
      <c r="O42" s="4" t="s">
        <v>312</v>
      </c>
      <c r="P42" s="4" t="s">
        <v>35</v>
      </c>
      <c r="Q42" s="150">
        <v>1460</v>
      </c>
      <c r="R42" s="150">
        <v>1</v>
      </c>
      <c r="S42" s="150">
        <v>3419</v>
      </c>
      <c r="U42" s="150">
        <v>49.917000000000002</v>
      </c>
      <c r="V42" s="166">
        <v>6.0000000000000002E-6</v>
      </c>
      <c r="W42" s="166">
        <v>1.3255804378329201E-2</v>
      </c>
      <c r="X42" s="166">
        <v>1.35977618990121E-3</v>
      </c>
    </row>
    <row r="43" spans="1:24">
      <c r="A43" s="4" t="s">
        <v>26</v>
      </c>
      <c r="B43" s="4">
        <v>13711</v>
      </c>
      <c r="C43" s="4" t="s">
        <v>1766</v>
      </c>
      <c r="D43" s="4" t="s">
        <v>1767</v>
      </c>
      <c r="E43" s="4" t="s">
        <v>1552</v>
      </c>
      <c r="F43" s="4" t="s">
        <v>1768</v>
      </c>
      <c r="G43" s="4" t="s">
        <v>1769</v>
      </c>
      <c r="H43" s="4" t="s">
        <v>511</v>
      </c>
      <c r="I43" s="4" t="s">
        <v>1121</v>
      </c>
      <c r="J43" s="4" t="s">
        <v>31</v>
      </c>
      <c r="K43" s="4" t="s">
        <v>31</v>
      </c>
      <c r="L43" s="2" t="s">
        <v>517</v>
      </c>
      <c r="M43" s="2" t="s">
        <v>32</v>
      </c>
      <c r="N43" s="4" t="s">
        <v>633</v>
      </c>
      <c r="O43" s="4" t="s">
        <v>312</v>
      </c>
      <c r="P43" s="4" t="s">
        <v>35</v>
      </c>
      <c r="Q43" s="150">
        <v>1890</v>
      </c>
      <c r="R43" s="150">
        <v>1</v>
      </c>
      <c r="S43" s="150">
        <v>2997</v>
      </c>
      <c r="U43" s="150">
        <v>56.643000000000001</v>
      </c>
      <c r="V43" s="166">
        <v>9.0000000000000002E-6</v>
      </c>
      <c r="W43" s="166">
        <v>1.50418993005047E-2</v>
      </c>
      <c r="X43" s="166">
        <v>1.54299323797776E-3</v>
      </c>
    </row>
    <row r="44" spans="1:24">
      <c r="A44" s="4" t="s">
        <v>26</v>
      </c>
      <c r="B44" s="4">
        <v>13711</v>
      </c>
      <c r="C44" s="4" t="s">
        <v>1770</v>
      </c>
      <c r="D44" s="4" t="s">
        <v>1771</v>
      </c>
      <c r="E44" s="4" t="s">
        <v>1552</v>
      </c>
      <c r="F44" s="4" t="s">
        <v>1772</v>
      </c>
      <c r="G44" s="4" t="s">
        <v>1773</v>
      </c>
      <c r="H44" s="4" t="s">
        <v>511</v>
      </c>
      <c r="I44" s="4" t="s">
        <v>1121</v>
      </c>
      <c r="J44" s="4" t="s">
        <v>31</v>
      </c>
      <c r="K44" s="4" t="s">
        <v>31</v>
      </c>
      <c r="L44" s="2" t="s">
        <v>517</v>
      </c>
      <c r="M44" s="2" t="s">
        <v>32</v>
      </c>
      <c r="N44" s="4" t="s">
        <v>665</v>
      </c>
      <c r="O44" s="4" t="s">
        <v>312</v>
      </c>
      <c r="P44" s="4" t="s">
        <v>35</v>
      </c>
      <c r="Q44" s="150">
        <v>570</v>
      </c>
      <c r="R44" s="150">
        <v>1</v>
      </c>
      <c r="S44" s="150">
        <v>4545</v>
      </c>
      <c r="U44" s="150">
        <v>25.907</v>
      </c>
      <c r="V44" s="166">
        <v>7.9999999999999996E-6</v>
      </c>
      <c r="W44" s="166">
        <v>6.8795950135060197E-3</v>
      </c>
      <c r="X44" s="166">
        <v>7.0570666468356997E-4</v>
      </c>
    </row>
    <row r="45" spans="1:24">
      <c r="A45" s="4" t="s">
        <v>26</v>
      </c>
      <c r="B45" s="4">
        <v>13711</v>
      </c>
      <c r="C45" s="4" t="s">
        <v>1774</v>
      </c>
      <c r="D45" s="4" t="s">
        <v>1775</v>
      </c>
      <c r="E45" s="4" t="s">
        <v>1552</v>
      </c>
      <c r="F45" s="4" t="s">
        <v>1776</v>
      </c>
      <c r="G45" s="4" t="s">
        <v>1777</v>
      </c>
      <c r="H45" s="4" t="s">
        <v>511</v>
      </c>
      <c r="I45" s="4" t="s">
        <v>1121</v>
      </c>
      <c r="J45" s="4" t="s">
        <v>31</v>
      </c>
      <c r="K45" s="4" t="s">
        <v>31</v>
      </c>
      <c r="L45" s="2" t="s">
        <v>517</v>
      </c>
      <c r="M45" s="2" t="s">
        <v>32</v>
      </c>
      <c r="N45" s="4" t="s">
        <v>664</v>
      </c>
      <c r="O45" s="4" t="s">
        <v>312</v>
      </c>
      <c r="P45" s="4" t="s">
        <v>35</v>
      </c>
      <c r="Q45" s="150">
        <v>190</v>
      </c>
      <c r="R45" s="150">
        <v>1</v>
      </c>
      <c r="S45" s="150">
        <v>3744</v>
      </c>
      <c r="U45" s="150">
        <v>7.1139999999999999</v>
      </c>
      <c r="V45" s="166">
        <v>1.2999999999999999E-5</v>
      </c>
      <c r="W45" s="166">
        <v>1.88905051195941E-3</v>
      </c>
      <c r="X45" s="166">
        <v>1.9377819967548901E-4</v>
      </c>
    </row>
    <row r="46" spans="1:24">
      <c r="A46" s="4" t="s">
        <v>26</v>
      </c>
      <c r="B46" s="4">
        <v>13711</v>
      </c>
      <c r="C46" s="4" t="s">
        <v>1778</v>
      </c>
      <c r="D46" s="4" t="s">
        <v>1779</v>
      </c>
      <c r="E46" s="4" t="s">
        <v>1552</v>
      </c>
      <c r="F46" s="4" t="s">
        <v>1780</v>
      </c>
      <c r="G46" s="4" t="s">
        <v>1781</v>
      </c>
      <c r="H46" s="4" t="s">
        <v>511</v>
      </c>
      <c r="I46" s="4" t="s">
        <v>1121</v>
      </c>
      <c r="J46" s="4" t="s">
        <v>31</v>
      </c>
      <c r="K46" s="4" t="s">
        <v>31</v>
      </c>
      <c r="L46" s="2" t="s">
        <v>517</v>
      </c>
      <c r="M46" s="2" t="s">
        <v>32</v>
      </c>
      <c r="N46" s="4" t="s">
        <v>639</v>
      </c>
      <c r="O46" s="4" t="s">
        <v>312</v>
      </c>
      <c r="P46" s="4" t="s">
        <v>35</v>
      </c>
      <c r="Q46" s="150">
        <v>128</v>
      </c>
      <c r="R46" s="150">
        <v>1</v>
      </c>
      <c r="S46" s="150">
        <v>83740</v>
      </c>
      <c r="U46" s="150">
        <v>107.187</v>
      </c>
      <c r="V46" s="166">
        <v>1.7E-5</v>
      </c>
      <c r="W46" s="166">
        <v>2.8464073751053701E-2</v>
      </c>
      <c r="X46" s="166">
        <v>2.9198356168826599E-3</v>
      </c>
    </row>
    <row r="47" spans="1:24">
      <c r="A47" s="4" t="s">
        <v>26</v>
      </c>
      <c r="B47" s="4">
        <v>13711</v>
      </c>
      <c r="C47" s="4" t="s">
        <v>1782</v>
      </c>
      <c r="D47" s="4" t="s">
        <v>1783</v>
      </c>
      <c r="E47" s="4" t="s">
        <v>1552</v>
      </c>
      <c r="F47" s="4" t="s">
        <v>1784</v>
      </c>
      <c r="G47" s="4" t="s">
        <v>1785</v>
      </c>
      <c r="H47" s="4" t="s">
        <v>511</v>
      </c>
      <c r="I47" s="4" t="s">
        <v>1121</v>
      </c>
      <c r="J47" s="4" t="s">
        <v>31</v>
      </c>
      <c r="K47" s="4" t="s">
        <v>489</v>
      </c>
      <c r="L47" s="2" t="s">
        <v>517</v>
      </c>
      <c r="M47" s="2" t="s">
        <v>32</v>
      </c>
      <c r="N47" s="4" t="s">
        <v>646</v>
      </c>
      <c r="O47" s="4" t="s">
        <v>312</v>
      </c>
      <c r="P47" s="4" t="s">
        <v>35</v>
      </c>
      <c r="Q47" s="150">
        <v>498</v>
      </c>
      <c r="R47" s="150">
        <v>1</v>
      </c>
      <c r="S47" s="150">
        <v>14820</v>
      </c>
      <c r="U47" s="150">
        <v>73.804000000000002</v>
      </c>
      <c r="V47" s="166">
        <v>5.0000000000000004E-6</v>
      </c>
      <c r="W47" s="166">
        <v>1.9598899061578901E-2</v>
      </c>
      <c r="X47" s="166">
        <v>2.0104488216331901E-3</v>
      </c>
    </row>
    <row r="48" spans="1:24">
      <c r="A48" s="4" t="s">
        <v>26</v>
      </c>
      <c r="B48" s="4">
        <v>13711</v>
      </c>
      <c r="C48" s="4" t="s">
        <v>1786</v>
      </c>
      <c r="D48" s="4" t="s">
        <v>1787</v>
      </c>
      <c r="E48" s="4" t="s">
        <v>1552</v>
      </c>
      <c r="F48" s="4" t="s">
        <v>1788</v>
      </c>
      <c r="G48" s="4" t="s">
        <v>1789</v>
      </c>
      <c r="H48" s="4" t="s">
        <v>511</v>
      </c>
      <c r="I48" s="4" t="s">
        <v>1121</v>
      </c>
      <c r="J48" s="4" t="s">
        <v>31</v>
      </c>
      <c r="K48" s="4" t="s">
        <v>155</v>
      </c>
      <c r="L48" s="2" t="s">
        <v>517</v>
      </c>
      <c r="M48" s="2" t="s">
        <v>32</v>
      </c>
      <c r="N48" s="4" t="s">
        <v>655</v>
      </c>
      <c r="O48" s="4" t="s">
        <v>312</v>
      </c>
      <c r="P48" s="4" t="s">
        <v>35</v>
      </c>
      <c r="Q48" s="150">
        <v>1560</v>
      </c>
      <c r="R48" s="150">
        <v>1</v>
      </c>
      <c r="S48" s="150">
        <v>6120</v>
      </c>
      <c r="U48" s="150">
        <v>95.471999999999994</v>
      </c>
      <c r="V48" s="166">
        <v>9.9999999999999995E-7</v>
      </c>
      <c r="W48" s="166">
        <v>2.53530463447184E-2</v>
      </c>
      <c r="X48" s="166">
        <v>2.6007074166973501E-3</v>
      </c>
    </row>
    <row r="49" spans="1:24">
      <c r="A49" s="4" t="s">
        <v>26</v>
      </c>
      <c r="B49" s="4">
        <v>13711</v>
      </c>
      <c r="C49" s="4" t="s">
        <v>1790</v>
      </c>
      <c r="D49" s="4" t="s">
        <v>1791</v>
      </c>
      <c r="E49" s="4" t="s">
        <v>1552</v>
      </c>
      <c r="F49" s="4" t="s">
        <v>1792</v>
      </c>
      <c r="G49" s="4" t="s">
        <v>1793</v>
      </c>
      <c r="H49" s="4" t="s">
        <v>511</v>
      </c>
      <c r="I49" s="4" t="s">
        <v>1121</v>
      </c>
      <c r="J49" s="4" t="s">
        <v>31</v>
      </c>
      <c r="K49" s="4" t="s">
        <v>31</v>
      </c>
      <c r="L49" s="2" t="s">
        <v>517</v>
      </c>
      <c r="M49" s="2" t="s">
        <v>32</v>
      </c>
      <c r="N49" s="4" t="s">
        <v>667</v>
      </c>
      <c r="O49" s="4" t="s">
        <v>312</v>
      </c>
      <c r="P49" s="4" t="s">
        <v>35</v>
      </c>
      <c r="Q49" s="150">
        <v>3185</v>
      </c>
      <c r="R49" s="150">
        <v>1</v>
      </c>
      <c r="S49" s="150">
        <v>1257</v>
      </c>
      <c r="U49" s="150">
        <v>40.034999999999997</v>
      </c>
      <c r="V49" s="166">
        <v>1.5999999999999999E-5</v>
      </c>
      <c r="W49" s="166">
        <v>1.0631605279890001E-2</v>
      </c>
      <c r="X49" s="166">
        <v>1.090586682439E-3</v>
      </c>
    </row>
    <row r="50" spans="1:24">
      <c r="A50" s="4" t="s">
        <v>26</v>
      </c>
      <c r="B50" s="4">
        <v>13711</v>
      </c>
      <c r="C50" s="4" t="s">
        <v>1794</v>
      </c>
      <c r="D50" s="4" t="s">
        <v>1795</v>
      </c>
      <c r="E50" s="4" t="s">
        <v>1552</v>
      </c>
      <c r="F50" s="4" t="s">
        <v>1796</v>
      </c>
      <c r="G50" s="4" t="s">
        <v>1797</v>
      </c>
      <c r="H50" s="4" t="s">
        <v>511</v>
      </c>
      <c r="I50" s="4" t="s">
        <v>1121</v>
      </c>
      <c r="J50" s="4" t="s">
        <v>31</v>
      </c>
      <c r="K50" s="4" t="s">
        <v>31</v>
      </c>
      <c r="L50" s="2" t="s">
        <v>517</v>
      </c>
      <c r="M50" s="2" t="s">
        <v>32</v>
      </c>
      <c r="N50" s="4" t="s">
        <v>642</v>
      </c>
      <c r="O50" s="4" t="s">
        <v>312</v>
      </c>
      <c r="P50" s="4" t="s">
        <v>35</v>
      </c>
      <c r="Q50" s="150">
        <v>20255</v>
      </c>
      <c r="R50" s="150">
        <v>1</v>
      </c>
      <c r="S50" s="150">
        <v>147.19999999999999</v>
      </c>
      <c r="U50" s="150">
        <v>29.815000000000001</v>
      </c>
      <c r="V50" s="166">
        <v>7.9999999999999996E-6</v>
      </c>
      <c r="W50" s="166">
        <v>7.9176114867653604E-3</v>
      </c>
      <c r="X50" s="166">
        <v>8.1218606380406197E-4</v>
      </c>
    </row>
    <row r="51" spans="1:24">
      <c r="A51" s="4" t="s">
        <v>26</v>
      </c>
      <c r="B51" s="4">
        <v>13711</v>
      </c>
      <c r="C51" s="4" t="s">
        <v>1798</v>
      </c>
      <c r="D51" s="4" t="s">
        <v>1799</v>
      </c>
      <c r="E51" s="4" t="s">
        <v>1552</v>
      </c>
      <c r="F51" s="4" t="s">
        <v>1800</v>
      </c>
      <c r="G51" s="4" t="s">
        <v>1801</v>
      </c>
      <c r="H51" s="4" t="s">
        <v>511</v>
      </c>
      <c r="I51" s="4" t="s">
        <v>1121</v>
      </c>
      <c r="J51" s="4" t="s">
        <v>31</v>
      </c>
      <c r="K51" s="4" t="s">
        <v>31</v>
      </c>
      <c r="L51" s="2" t="s">
        <v>517</v>
      </c>
      <c r="M51" s="2" t="s">
        <v>32</v>
      </c>
      <c r="N51" s="4" t="s">
        <v>633</v>
      </c>
      <c r="O51" s="4" t="s">
        <v>312</v>
      </c>
      <c r="P51" s="4" t="s">
        <v>35</v>
      </c>
      <c r="Q51" s="150">
        <v>875</v>
      </c>
      <c r="R51" s="150">
        <v>1</v>
      </c>
      <c r="S51" s="150">
        <v>5291</v>
      </c>
      <c r="U51" s="150">
        <v>46.295999999999999</v>
      </c>
      <c r="V51" s="166">
        <v>1.1E-5</v>
      </c>
      <c r="W51" s="166">
        <v>1.2294190671994601E-2</v>
      </c>
      <c r="X51" s="166">
        <v>1.2611341622703501E-3</v>
      </c>
    </row>
    <row r="52" spans="1:24">
      <c r="A52" s="4" t="s">
        <v>26</v>
      </c>
      <c r="B52" s="4">
        <v>13711</v>
      </c>
      <c r="C52" s="4" t="s">
        <v>362</v>
      </c>
      <c r="D52" s="4" t="s">
        <v>1802</v>
      </c>
      <c r="E52" s="4" t="s">
        <v>1552</v>
      </c>
      <c r="F52" s="4" t="s">
        <v>1486</v>
      </c>
      <c r="G52" s="4" t="s">
        <v>1803</v>
      </c>
      <c r="H52" s="4" t="s">
        <v>511</v>
      </c>
      <c r="I52" s="4" t="s">
        <v>1121</v>
      </c>
      <c r="J52" s="4" t="s">
        <v>31</v>
      </c>
      <c r="K52" s="4" t="s">
        <v>31</v>
      </c>
      <c r="L52" s="2" t="s">
        <v>517</v>
      </c>
      <c r="M52" s="2" t="s">
        <v>32</v>
      </c>
      <c r="N52" s="4" t="s">
        <v>636</v>
      </c>
      <c r="O52" s="4" t="s">
        <v>312</v>
      </c>
      <c r="P52" s="4" t="s">
        <v>35</v>
      </c>
      <c r="Q52" s="150">
        <v>8511</v>
      </c>
      <c r="R52" s="150">
        <v>1</v>
      </c>
      <c r="S52" s="150">
        <v>3110</v>
      </c>
      <c r="U52" s="150">
        <v>264.69200000000001</v>
      </c>
      <c r="V52" s="166">
        <v>5.0000000000000004E-6</v>
      </c>
      <c r="W52" s="166">
        <v>7.0290253460499705E-2</v>
      </c>
      <c r="X52" s="166">
        <v>7.2103518058823099E-3</v>
      </c>
    </row>
    <row r="53" spans="1:24">
      <c r="A53" s="4" t="s">
        <v>26</v>
      </c>
      <c r="B53" s="4">
        <v>13711</v>
      </c>
      <c r="C53" s="4" t="s">
        <v>1804</v>
      </c>
      <c r="D53" s="4" t="s">
        <v>1805</v>
      </c>
      <c r="E53" s="4" t="s">
        <v>1552</v>
      </c>
      <c r="F53" s="4" t="s">
        <v>1806</v>
      </c>
      <c r="G53" s="4" t="s">
        <v>1807</v>
      </c>
      <c r="H53" s="4" t="s">
        <v>511</v>
      </c>
      <c r="I53" s="4" t="s">
        <v>1121</v>
      </c>
      <c r="J53" s="4" t="s">
        <v>31</v>
      </c>
      <c r="K53" s="4" t="s">
        <v>31</v>
      </c>
      <c r="L53" s="2" t="s">
        <v>517</v>
      </c>
      <c r="M53" s="2" t="s">
        <v>32</v>
      </c>
      <c r="N53" s="4" t="s">
        <v>639</v>
      </c>
      <c r="O53" s="4" t="s">
        <v>312</v>
      </c>
      <c r="P53" s="4" t="s">
        <v>35</v>
      </c>
      <c r="Q53" s="150">
        <v>6756</v>
      </c>
      <c r="R53" s="150">
        <v>1</v>
      </c>
      <c r="S53" s="150">
        <v>316.8</v>
      </c>
      <c r="U53" s="150">
        <v>21.402999999999999</v>
      </c>
      <c r="V53" s="166">
        <v>2.9E-5</v>
      </c>
      <c r="W53" s="166">
        <v>5.6836711678856398E-3</v>
      </c>
      <c r="X53" s="166">
        <v>5.8302917761472099E-4</v>
      </c>
    </row>
    <row r="54" spans="1:24">
      <c r="A54" s="4" t="s">
        <v>26</v>
      </c>
      <c r="B54" s="4">
        <v>13711</v>
      </c>
      <c r="C54" s="4" t="s">
        <v>1808</v>
      </c>
      <c r="D54" s="4" t="s">
        <v>1809</v>
      </c>
      <c r="E54" s="4" t="s">
        <v>1552</v>
      </c>
      <c r="F54" s="4" t="s">
        <v>1810</v>
      </c>
      <c r="G54" s="4" t="s">
        <v>1811</v>
      </c>
      <c r="H54" s="4" t="s">
        <v>511</v>
      </c>
      <c r="I54" s="4" t="s">
        <v>1121</v>
      </c>
      <c r="J54" s="4" t="s">
        <v>31</v>
      </c>
      <c r="K54" s="4" t="s">
        <v>31</v>
      </c>
      <c r="L54" s="2" t="s">
        <v>517</v>
      </c>
      <c r="M54" s="2" t="s">
        <v>32</v>
      </c>
      <c r="N54" s="4" t="s">
        <v>639</v>
      </c>
      <c r="O54" s="4" t="s">
        <v>312</v>
      </c>
      <c r="P54" s="4" t="s">
        <v>35</v>
      </c>
      <c r="Q54" s="150">
        <v>166</v>
      </c>
      <c r="R54" s="150">
        <v>1</v>
      </c>
      <c r="S54" s="150">
        <v>5126</v>
      </c>
      <c r="U54" s="150">
        <v>8.5090000000000003</v>
      </c>
      <c r="V54" s="166">
        <v>3.0000000000000001E-6</v>
      </c>
      <c r="W54" s="166">
        <v>2.2596481464159501E-3</v>
      </c>
      <c r="X54" s="166">
        <v>2.3179398694763299E-4</v>
      </c>
    </row>
    <row r="55" spans="1:24">
      <c r="A55" s="4" t="s">
        <v>26</v>
      </c>
      <c r="B55" s="4">
        <v>13711</v>
      </c>
      <c r="C55" s="4" t="s">
        <v>1812</v>
      </c>
      <c r="D55" s="4" t="s">
        <v>1813</v>
      </c>
      <c r="E55" s="4" t="s">
        <v>1552</v>
      </c>
      <c r="F55" s="4" t="s">
        <v>1814</v>
      </c>
      <c r="G55" s="4" t="s">
        <v>1815</v>
      </c>
      <c r="H55" s="4" t="s">
        <v>511</v>
      </c>
      <c r="I55" s="4" t="s">
        <v>1121</v>
      </c>
      <c r="J55" s="4" t="s">
        <v>31</v>
      </c>
      <c r="K55" s="4" t="s">
        <v>31</v>
      </c>
      <c r="L55" s="2" t="s">
        <v>517</v>
      </c>
      <c r="M55" s="2" t="s">
        <v>32</v>
      </c>
      <c r="N55" s="4" t="s">
        <v>664</v>
      </c>
      <c r="O55" s="4" t="s">
        <v>312</v>
      </c>
      <c r="P55" s="4" t="s">
        <v>35</v>
      </c>
      <c r="Q55" s="150">
        <v>31</v>
      </c>
      <c r="R55" s="150">
        <v>1</v>
      </c>
      <c r="S55" s="150">
        <v>17990</v>
      </c>
      <c r="U55" s="150">
        <v>5.577</v>
      </c>
      <c r="V55" s="166">
        <v>1.9999999999999999E-6</v>
      </c>
      <c r="W55" s="166">
        <v>1.4809724752792399E-3</v>
      </c>
      <c r="X55" s="166">
        <v>1.5191768468429901E-4</v>
      </c>
    </row>
    <row r="56" spans="1:24">
      <c r="A56" s="4" t="s">
        <v>26</v>
      </c>
      <c r="B56" s="4">
        <v>13711</v>
      </c>
      <c r="C56" s="4" t="s">
        <v>1816</v>
      </c>
      <c r="D56" s="4" t="s">
        <v>1817</v>
      </c>
      <c r="E56" s="4" t="s">
        <v>1552</v>
      </c>
      <c r="F56" s="4" t="s">
        <v>1818</v>
      </c>
      <c r="G56" s="4" t="s">
        <v>1819</v>
      </c>
      <c r="H56" s="4" t="s">
        <v>511</v>
      </c>
      <c r="I56" s="4" t="s">
        <v>1121</v>
      </c>
      <c r="J56" s="4" t="s">
        <v>31</v>
      </c>
      <c r="K56" s="4" t="s">
        <v>31</v>
      </c>
      <c r="L56" s="2" t="s">
        <v>517</v>
      </c>
      <c r="M56" s="2" t="s">
        <v>32</v>
      </c>
      <c r="N56" s="4" t="s">
        <v>639</v>
      </c>
      <c r="O56" s="4" t="s">
        <v>312</v>
      </c>
      <c r="P56" s="4" t="s">
        <v>35</v>
      </c>
      <c r="Q56" s="150">
        <v>202</v>
      </c>
      <c r="R56" s="150">
        <v>1</v>
      </c>
      <c r="S56" s="150">
        <v>13990</v>
      </c>
      <c r="U56" s="150">
        <v>28.26</v>
      </c>
      <c r="V56" s="166">
        <v>1.9000000000000001E-5</v>
      </c>
      <c r="W56" s="166">
        <v>7.5045250868576302E-3</v>
      </c>
      <c r="X56" s="166">
        <v>7.6981179250862699E-4</v>
      </c>
    </row>
    <row r="57" spans="1:24">
      <c r="A57" s="4" t="s">
        <v>26</v>
      </c>
      <c r="B57" s="4">
        <v>13711</v>
      </c>
      <c r="C57" s="4" t="s">
        <v>1820</v>
      </c>
      <c r="D57" s="4" t="s">
        <v>1821</v>
      </c>
      <c r="E57" s="4" t="s">
        <v>1552</v>
      </c>
      <c r="F57" s="4" t="s">
        <v>1822</v>
      </c>
      <c r="G57" s="4" t="s">
        <v>1823</v>
      </c>
      <c r="H57" s="4" t="s">
        <v>511</v>
      </c>
      <c r="I57" s="4" t="s">
        <v>1121</v>
      </c>
      <c r="J57" s="4" t="s">
        <v>31</v>
      </c>
      <c r="K57" s="4" t="s">
        <v>31</v>
      </c>
      <c r="L57" s="2" t="s">
        <v>517</v>
      </c>
      <c r="M57" s="2" t="s">
        <v>32</v>
      </c>
      <c r="N57" s="4" t="s">
        <v>652</v>
      </c>
      <c r="O57" s="4" t="s">
        <v>312</v>
      </c>
      <c r="P57" s="4" t="s">
        <v>35</v>
      </c>
      <c r="Q57" s="150">
        <v>3360</v>
      </c>
      <c r="R57" s="150">
        <v>1</v>
      </c>
      <c r="S57" s="150">
        <v>881</v>
      </c>
      <c r="U57" s="150">
        <v>29.602</v>
      </c>
      <c r="V57" s="166">
        <v>3.9999999999999998E-6</v>
      </c>
      <c r="W57" s="166">
        <v>7.86084649612258E-3</v>
      </c>
      <c r="X57" s="166">
        <v>8.0636312914894603E-4</v>
      </c>
    </row>
    <row r="58" spans="1:24">
      <c r="A58" s="4" t="s">
        <v>26</v>
      </c>
      <c r="B58" s="4">
        <v>13711</v>
      </c>
      <c r="C58" s="4" t="s">
        <v>1824</v>
      </c>
      <c r="D58" s="4" t="s">
        <v>1825</v>
      </c>
      <c r="E58" s="4" t="s">
        <v>1552</v>
      </c>
      <c r="F58" s="4" t="s">
        <v>1826</v>
      </c>
      <c r="G58" s="4" t="s">
        <v>1827</v>
      </c>
      <c r="H58" s="4" t="s">
        <v>511</v>
      </c>
      <c r="I58" s="4" t="s">
        <v>1121</v>
      </c>
      <c r="J58" s="4" t="s">
        <v>31</v>
      </c>
      <c r="K58" s="4" t="s">
        <v>31</v>
      </c>
      <c r="L58" s="2" t="s">
        <v>517</v>
      </c>
      <c r="M58" s="2" t="s">
        <v>32</v>
      </c>
      <c r="N58" s="4" t="s">
        <v>633</v>
      </c>
      <c r="O58" s="4" t="s">
        <v>312</v>
      </c>
      <c r="P58" s="4" t="s">
        <v>35</v>
      </c>
      <c r="Q58" s="150">
        <v>6367</v>
      </c>
      <c r="R58" s="150">
        <v>1</v>
      </c>
      <c r="S58" s="150">
        <v>422.2</v>
      </c>
      <c r="U58" s="150">
        <v>26.881</v>
      </c>
      <c r="V58" s="166">
        <v>6.0000000000000002E-6</v>
      </c>
      <c r="W58" s="166">
        <v>7.1385040235497502E-3</v>
      </c>
      <c r="X58" s="166">
        <v>7.3226546844684204E-4</v>
      </c>
    </row>
    <row r="59" spans="1:24">
      <c r="A59" s="4" t="s">
        <v>26</v>
      </c>
      <c r="B59" s="4">
        <v>13711</v>
      </c>
      <c r="C59" s="4" t="s">
        <v>1828</v>
      </c>
      <c r="D59" s="4" t="s">
        <v>1829</v>
      </c>
      <c r="E59" s="4" t="s">
        <v>1552</v>
      </c>
      <c r="F59" s="4" t="s">
        <v>1830</v>
      </c>
      <c r="G59" s="4" t="s">
        <v>1831</v>
      </c>
      <c r="H59" s="4" t="s">
        <v>511</v>
      </c>
      <c r="I59" s="4" t="s">
        <v>1121</v>
      </c>
      <c r="J59" s="4" t="s">
        <v>31</v>
      </c>
      <c r="K59" s="4" t="s">
        <v>31</v>
      </c>
      <c r="L59" s="2" t="s">
        <v>517</v>
      </c>
      <c r="M59" s="2" t="s">
        <v>32</v>
      </c>
      <c r="N59" s="4" t="s">
        <v>652</v>
      </c>
      <c r="O59" s="4" t="s">
        <v>312</v>
      </c>
      <c r="P59" s="4" t="s">
        <v>35</v>
      </c>
      <c r="Q59" s="150">
        <v>945</v>
      </c>
      <c r="R59" s="150">
        <v>1</v>
      </c>
      <c r="S59" s="150">
        <v>9151</v>
      </c>
      <c r="U59" s="150">
        <v>86.477000000000004</v>
      </c>
      <c r="V59" s="166">
        <v>2.5999999999999998E-5</v>
      </c>
      <c r="W59" s="166">
        <v>2.29643677842707E-2</v>
      </c>
      <c r="X59" s="166">
        <v>2.3556775309867399E-3</v>
      </c>
    </row>
    <row r="60" spans="1:24">
      <c r="A60" s="4" t="s">
        <v>26</v>
      </c>
      <c r="B60" s="4">
        <v>13711</v>
      </c>
      <c r="C60" s="4" t="s">
        <v>1832</v>
      </c>
      <c r="D60" s="4" t="s">
        <v>1833</v>
      </c>
      <c r="E60" s="4" t="s">
        <v>1552</v>
      </c>
      <c r="F60" s="4" t="s">
        <v>1834</v>
      </c>
      <c r="G60" s="4" t="s">
        <v>1835</v>
      </c>
      <c r="H60" s="4" t="s">
        <v>511</v>
      </c>
      <c r="I60" s="4" t="s">
        <v>1121</v>
      </c>
      <c r="J60" s="4" t="s">
        <v>31</v>
      </c>
      <c r="K60" s="4" t="s">
        <v>31</v>
      </c>
      <c r="L60" s="2" t="s">
        <v>517</v>
      </c>
      <c r="M60" s="2" t="s">
        <v>32</v>
      </c>
      <c r="N60" s="4" t="s">
        <v>669</v>
      </c>
      <c r="O60" s="4" t="s">
        <v>312</v>
      </c>
      <c r="P60" s="4" t="s">
        <v>35</v>
      </c>
      <c r="Q60" s="150">
        <v>154</v>
      </c>
      <c r="R60" s="150">
        <v>1</v>
      </c>
      <c r="S60" s="150">
        <v>3667</v>
      </c>
      <c r="T60" s="149">
        <v>0.11799999999999999</v>
      </c>
      <c r="U60" s="150">
        <v>5.7649999999999997</v>
      </c>
      <c r="V60" s="166">
        <v>3.0000000000000001E-6</v>
      </c>
      <c r="W60" s="166">
        <v>1.5309472300933499E-3</v>
      </c>
      <c r="X60" s="166">
        <v>1.5704407911144299E-4</v>
      </c>
    </row>
    <row r="61" spans="1:24">
      <c r="A61" s="4" t="s">
        <v>26</v>
      </c>
      <c r="B61" s="4">
        <v>13711</v>
      </c>
      <c r="C61" s="4" t="s">
        <v>1836</v>
      </c>
      <c r="D61" s="4" t="s">
        <v>1837</v>
      </c>
      <c r="E61" s="4" t="s">
        <v>1552</v>
      </c>
      <c r="F61" s="4" t="s">
        <v>1838</v>
      </c>
      <c r="G61" s="4" t="s">
        <v>1839</v>
      </c>
      <c r="H61" s="4" t="s">
        <v>511</v>
      </c>
      <c r="I61" s="4" t="s">
        <v>1121</v>
      </c>
      <c r="J61" s="4" t="s">
        <v>31</v>
      </c>
      <c r="K61" s="4" t="s">
        <v>31</v>
      </c>
      <c r="L61" s="2" t="s">
        <v>517</v>
      </c>
      <c r="M61" s="2" t="s">
        <v>32</v>
      </c>
      <c r="N61" s="4" t="s">
        <v>647</v>
      </c>
      <c r="O61" s="4" t="s">
        <v>312</v>
      </c>
      <c r="P61" s="4" t="s">
        <v>35</v>
      </c>
      <c r="Q61" s="150">
        <v>48</v>
      </c>
      <c r="R61" s="150">
        <v>1</v>
      </c>
      <c r="S61" s="150">
        <v>14490</v>
      </c>
      <c r="U61" s="150">
        <v>6.9550000000000001</v>
      </c>
      <c r="V61" s="166">
        <v>1.4E-5</v>
      </c>
      <c r="W61" s="166">
        <v>1.84698663416274E-3</v>
      </c>
      <c r="X61" s="166">
        <v>1.89463300492431E-4</v>
      </c>
    </row>
    <row r="62" spans="1:24">
      <c r="A62" s="4" t="s">
        <v>26</v>
      </c>
      <c r="B62" s="4">
        <v>13711</v>
      </c>
      <c r="C62" s="4" t="s">
        <v>1840</v>
      </c>
      <c r="D62" s="4" t="s">
        <v>1841</v>
      </c>
      <c r="E62" s="4" t="s">
        <v>1552</v>
      </c>
      <c r="F62" s="4" t="s">
        <v>1842</v>
      </c>
      <c r="G62" s="4" t="s">
        <v>1843</v>
      </c>
      <c r="H62" s="4" t="s">
        <v>511</v>
      </c>
      <c r="I62" s="4" t="s">
        <v>1121</v>
      </c>
      <c r="J62" s="4" t="s">
        <v>31</v>
      </c>
      <c r="K62" s="4" t="s">
        <v>31</v>
      </c>
      <c r="L62" s="2" t="s">
        <v>517</v>
      </c>
      <c r="M62" s="2" t="s">
        <v>32</v>
      </c>
      <c r="N62" s="4" t="s">
        <v>636</v>
      </c>
      <c r="O62" s="4" t="s">
        <v>312</v>
      </c>
      <c r="P62" s="4" t="s">
        <v>35</v>
      </c>
      <c r="Q62" s="150">
        <v>623</v>
      </c>
      <c r="R62" s="150">
        <v>1</v>
      </c>
      <c r="S62" s="150">
        <v>13080</v>
      </c>
      <c r="U62" s="150">
        <v>81.488</v>
      </c>
      <c r="V62" s="166">
        <v>1.9999999999999999E-6</v>
      </c>
      <c r="W62" s="166">
        <v>2.1639634466199001E-2</v>
      </c>
      <c r="X62" s="166">
        <v>2.2197868092718302E-3</v>
      </c>
    </row>
    <row r="63" spans="1:24">
      <c r="A63" s="4" t="s">
        <v>26</v>
      </c>
      <c r="B63" s="4">
        <v>13711</v>
      </c>
      <c r="C63" s="4" t="s">
        <v>1844</v>
      </c>
      <c r="D63" s="4" t="s">
        <v>1845</v>
      </c>
      <c r="E63" s="4" t="s">
        <v>1552</v>
      </c>
      <c r="F63" s="4" t="s">
        <v>1846</v>
      </c>
      <c r="G63" s="4" t="s">
        <v>1847</v>
      </c>
      <c r="H63" s="4" t="s">
        <v>511</v>
      </c>
      <c r="I63" s="4" t="s">
        <v>1121</v>
      </c>
      <c r="J63" s="4" t="s">
        <v>31</v>
      </c>
      <c r="K63" s="4" t="s">
        <v>31</v>
      </c>
      <c r="L63" s="2" t="s">
        <v>517</v>
      </c>
      <c r="M63" s="2" t="s">
        <v>32</v>
      </c>
      <c r="N63" s="4" t="s">
        <v>665</v>
      </c>
      <c r="O63" s="4" t="s">
        <v>312</v>
      </c>
      <c r="P63" s="4" t="s">
        <v>35</v>
      </c>
      <c r="Q63" s="150">
        <v>43</v>
      </c>
      <c r="R63" s="150">
        <v>1</v>
      </c>
      <c r="S63" s="150">
        <v>25420</v>
      </c>
      <c r="U63" s="150">
        <v>10.930999999999999</v>
      </c>
      <c r="V63" s="166">
        <v>9.0000000000000002E-6</v>
      </c>
      <c r="W63" s="166">
        <v>2.90267312275409E-3</v>
      </c>
      <c r="X63" s="166">
        <v>2.9775528415610899E-4</v>
      </c>
    </row>
    <row r="64" spans="1:24">
      <c r="A64" s="4" t="s">
        <v>26</v>
      </c>
      <c r="B64" s="4">
        <v>13711</v>
      </c>
      <c r="C64" s="4" t="s">
        <v>1848</v>
      </c>
      <c r="D64" s="4" t="s">
        <v>1849</v>
      </c>
      <c r="E64" s="4" t="s">
        <v>1552</v>
      </c>
      <c r="F64" s="4" t="s">
        <v>1850</v>
      </c>
      <c r="G64" s="4" t="s">
        <v>1851</v>
      </c>
      <c r="H64" s="4" t="s">
        <v>511</v>
      </c>
      <c r="I64" s="4" t="s">
        <v>1121</v>
      </c>
      <c r="J64" s="4" t="s">
        <v>31</v>
      </c>
      <c r="K64" s="4" t="s">
        <v>155</v>
      </c>
      <c r="L64" s="2" t="s">
        <v>517</v>
      </c>
      <c r="M64" s="2" t="s">
        <v>32</v>
      </c>
      <c r="N64" s="4" t="s">
        <v>662</v>
      </c>
      <c r="O64" s="4" t="s">
        <v>312</v>
      </c>
      <c r="P64" s="4" t="s">
        <v>35</v>
      </c>
      <c r="Q64" s="150">
        <v>198</v>
      </c>
      <c r="R64" s="150">
        <v>1</v>
      </c>
      <c r="S64" s="150">
        <v>1408</v>
      </c>
      <c r="U64" s="150">
        <v>2.7879999999999998</v>
      </c>
      <c r="V64" s="166">
        <v>1.9999999999999999E-6</v>
      </c>
      <c r="W64" s="166">
        <v>7.4032424922133898E-4</v>
      </c>
      <c r="X64" s="166">
        <v>7.5942225621810906E-5</v>
      </c>
    </row>
    <row r="65" spans="1:24">
      <c r="A65" s="4" t="s">
        <v>26</v>
      </c>
      <c r="B65" s="4">
        <v>13711</v>
      </c>
      <c r="C65" s="4" t="s">
        <v>1852</v>
      </c>
      <c r="D65" s="4" t="s">
        <v>1853</v>
      </c>
      <c r="E65" s="4" t="s">
        <v>1552</v>
      </c>
      <c r="F65" s="4" t="s">
        <v>1854</v>
      </c>
      <c r="G65" s="4" t="s">
        <v>1855</v>
      </c>
      <c r="H65" s="4" t="s">
        <v>511</v>
      </c>
      <c r="I65" s="4" t="s">
        <v>1121</v>
      </c>
      <c r="J65" s="4" t="s">
        <v>31</v>
      </c>
      <c r="K65" s="4" t="s">
        <v>31</v>
      </c>
      <c r="L65" s="2" t="s">
        <v>517</v>
      </c>
      <c r="M65" s="2" t="s">
        <v>32</v>
      </c>
      <c r="N65" s="4" t="s">
        <v>652</v>
      </c>
      <c r="O65" s="4" t="s">
        <v>312</v>
      </c>
      <c r="P65" s="4" t="s">
        <v>35</v>
      </c>
      <c r="Q65" s="150">
        <v>295</v>
      </c>
      <c r="R65" s="150">
        <v>1</v>
      </c>
      <c r="S65" s="150">
        <v>24710</v>
      </c>
      <c r="U65" s="150">
        <v>72.894000000000005</v>
      </c>
      <c r="V65" s="166">
        <v>6.0000000000000002E-6</v>
      </c>
      <c r="W65" s="166">
        <v>1.9357483207380899E-2</v>
      </c>
      <c r="X65" s="166">
        <v>1.98568446022336E-3</v>
      </c>
    </row>
    <row r="66" spans="1:24">
      <c r="A66" s="4" t="s">
        <v>26</v>
      </c>
      <c r="B66" s="4">
        <v>13711</v>
      </c>
      <c r="C66" s="4" t="s">
        <v>1856</v>
      </c>
      <c r="D66" s="4" t="s">
        <v>1857</v>
      </c>
      <c r="E66" s="4" t="s">
        <v>1552</v>
      </c>
      <c r="F66" s="4" t="s">
        <v>1858</v>
      </c>
      <c r="G66" s="4" t="s">
        <v>1859</v>
      </c>
      <c r="H66" s="4" t="s">
        <v>511</v>
      </c>
      <c r="I66" s="4" t="s">
        <v>1121</v>
      </c>
      <c r="J66" s="4" t="s">
        <v>31</v>
      </c>
      <c r="K66" s="4" t="s">
        <v>31</v>
      </c>
      <c r="L66" s="2" t="s">
        <v>517</v>
      </c>
      <c r="M66" s="2" t="s">
        <v>32</v>
      </c>
      <c r="N66" s="4" t="s">
        <v>665</v>
      </c>
      <c r="O66" s="4" t="s">
        <v>312</v>
      </c>
      <c r="P66" s="4" t="s">
        <v>35</v>
      </c>
      <c r="Q66" s="150">
        <v>53</v>
      </c>
      <c r="R66" s="150">
        <v>1</v>
      </c>
      <c r="S66" s="150">
        <v>5741</v>
      </c>
      <c r="U66" s="150">
        <v>3.0430000000000001</v>
      </c>
      <c r="V66" s="166">
        <v>1.9999999999999999E-6</v>
      </c>
      <c r="W66" s="166">
        <v>8.0801150813290703E-4</v>
      </c>
      <c r="X66" s="166">
        <v>8.2885563076163905E-5</v>
      </c>
    </row>
    <row r="67" spans="1:24">
      <c r="A67" s="4" t="s">
        <v>26</v>
      </c>
      <c r="B67" s="4">
        <v>13711</v>
      </c>
      <c r="C67" s="4" t="s">
        <v>1860</v>
      </c>
      <c r="D67" s="4" t="s">
        <v>1861</v>
      </c>
      <c r="E67" s="4" t="s">
        <v>1552</v>
      </c>
      <c r="F67" s="4" t="s">
        <v>1862</v>
      </c>
      <c r="G67" s="4" t="s">
        <v>1863</v>
      </c>
      <c r="H67" s="4" t="s">
        <v>511</v>
      </c>
      <c r="I67" s="4" t="s">
        <v>1121</v>
      </c>
      <c r="J67" s="4" t="s">
        <v>31</v>
      </c>
      <c r="K67" s="4" t="s">
        <v>31</v>
      </c>
      <c r="L67" s="2" t="s">
        <v>517</v>
      </c>
      <c r="M67" s="2" t="s">
        <v>32</v>
      </c>
      <c r="N67" s="4" t="s">
        <v>652</v>
      </c>
      <c r="O67" s="4" t="s">
        <v>312</v>
      </c>
      <c r="P67" s="4" t="s">
        <v>35</v>
      </c>
      <c r="Q67" s="150">
        <v>5606</v>
      </c>
      <c r="R67" s="150">
        <v>1</v>
      </c>
      <c r="S67" s="150">
        <v>159.4</v>
      </c>
      <c r="U67" s="150">
        <v>8.9359999999999999</v>
      </c>
      <c r="V67" s="166">
        <v>7.9999999999999996E-6</v>
      </c>
      <c r="W67" s="166">
        <v>2.37298799047611E-3</v>
      </c>
      <c r="X67" s="166">
        <v>2.4342035204185999E-4</v>
      </c>
    </row>
    <row r="68" spans="1:24">
      <c r="A68" s="4" t="s">
        <v>26</v>
      </c>
      <c r="B68" s="4">
        <v>13711</v>
      </c>
      <c r="C68" s="4" t="s">
        <v>1864</v>
      </c>
      <c r="D68" s="4" t="s">
        <v>1865</v>
      </c>
      <c r="E68" s="4" t="s">
        <v>1552</v>
      </c>
      <c r="F68" s="4" t="s">
        <v>1866</v>
      </c>
      <c r="G68" s="4" t="s">
        <v>1867</v>
      </c>
      <c r="H68" s="4" t="s">
        <v>511</v>
      </c>
      <c r="I68" s="4" t="s">
        <v>1121</v>
      </c>
      <c r="J68" s="4" t="s">
        <v>31</v>
      </c>
      <c r="K68" s="4" t="s">
        <v>31</v>
      </c>
      <c r="L68" s="2" t="s">
        <v>517</v>
      </c>
      <c r="M68" s="2" t="s">
        <v>32</v>
      </c>
      <c r="N68" s="4" t="s">
        <v>669</v>
      </c>
      <c r="O68" s="4" t="s">
        <v>312</v>
      </c>
      <c r="P68" s="4" t="s">
        <v>35</v>
      </c>
      <c r="Q68" s="150">
        <v>272</v>
      </c>
      <c r="R68" s="150">
        <v>1</v>
      </c>
      <c r="S68" s="150">
        <v>8000</v>
      </c>
      <c r="U68" s="150">
        <v>21.76</v>
      </c>
      <c r="V68" s="166">
        <v>7.9999999999999996E-6</v>
      </c>
      <c r="W68" s="166">
        <v>5.7784721013603097E-3</v>
      </c>
      <c r="X68" s="166">
        <v>5.9275382716748599E-4</v>
      </c>
    </row>
    <row r="69" spans="1:24">
      <c r="A69" s="4" t="s">
        <v>26</v>
      </c>
      <c r="B69" s="4">
        <v>13711</v>
      </c>
      <c r="C69" s="4" t="s">
        <v>1868</v>
      </c>
      <c r="D69" s="4" t="s">
        <v>1869</v>
      </c>
      <c r="E69" s="4" t="s">
        <v>1552</v>
      </c>
      <c r="F69" s="4" t="s">
        <v>1870</v>
      </c>
      <c r="G69" s="4" t="s">
        <v>1871</v>
      </c>
      <c r="H69" s="4" t="s">
        <v>511</v>
      </c>
      <c r="I69" s="4" t="s">
        <v>1121</v>
      </c>
      <c r="J69" s="4" t="s">
        <v>31</v>
      </c>
      <c r="K69" s="4" t="s">
        <v>489</v>
      </c>
      <c r="L69" s="2" t="s">
        <v>517</v>
      </c>
      <c r="M69" s="2" t="s">
        <v>32</v>
      </c>
      <c r="N69" s="4" t="s">
        <v>646</v>
      </c>
      <c r="O69" s="4" t="s">
        <v>312</v>
      </c>
      <c r="P69" s="4" t="s">
        <v>35</v>
      </c>
      <c r="Q69" s="150">
        <v>100</v>
      </c>
      <c r="R69" s="150">
        <v>1</v>
      </c>
      <c r="S69" s="150">
        <v>87800</v>
      </c>
      <c r="U69" s="150">
        <v>87.8</v>
      </c>
      <c r="V69" s="166">
        <v>3.0000000000000001E-6</v>
      </c>
      <c r="W69" s="166">
        <v>2.33157100413343E-2</v>
      </c>
      <c r="X69" s="166">
        <v>2.3917181077805702E-3</v>
      </c>
    </row>
    <row r="70" spans="1:24">
      <c r="A70" s="4" t="s">
        <v>26</v>
      </c>
      <c r="B70" s="4">
        <v>13711</v>
      </c>
      <c r="C70" s="4" t="s">
        <v>1872</v>
      </c>
      <c r="D70" s="4" t="s">
        <v>1873</v>
      </c>
      <c r="E70" s="4" t="s">
        <v>1552</v>
      </c>
      <c r="F70" s="4" t="s">
        <v>1874</v>
      </c>
      <c r="G70" s="4" t="s">
        <v>1875</v>
      </c>
      <c r="H70" s="4" t="s">
        <v>511</v>
      </c>
      <c r="I70" s="4" t="s">
        <v>1121</v>
      </c>
      <c r="J70" s="4" t="s">
        <v>31</v>
      </c>
      <c r="K70" s="4" t="s">
        <v>31</v>
      </c>
      <c r="L70" s="2" t="s">
        <v>517</v>
      </c>
      <c r="M70" s="2" t="s">
        <v>32</v>
      </c>
      <c r="N70" s="4" t="s">
        <v>666</v>
      </c>
      <c r="O70" s="4" t="s">
        <v>312</v>
      </c>
      <c r="P70" s="4" t="s">
        <v>35</v>
      </c>
      <c r="Q70" s="150">
        <v>14300</v>
      </c>
      <c r="R70" s="150">
        <v>1</v>
      </c>
      <c r="S70" s="150">
        <v>150.9</v>
      </c>
      <c r="U70" s="150">
        <v>21.579000000000001</v>
      </c>
      <c r="V70" s="166">
        <v>2.8E-5</v>
      </c>
      <c r="W70" s="166">
        <v>5.7303270190084401E-3</v>
      </c>
      <c r="X70" s="166">
        <v>5.87815119958596E-4</v>
      </c>
    </row>
    <row r="71" spans="1:24">
      <c r="A71" s="4" t="s">
        <v>26</v>
      </c>
      <c r="B71" s="4">
        <v>13711</v>
      </c>
      <c r="C71" s="4" t="s">
        <v>1876</v>
      </c>
      <c r="D71" s="4" t="s">
        <v>1877</v>
      </c>
      <c r="E71" s="4" t="s">
        <v>1552</v>
      </c>
      <c r="F71" s="4" t="s">
        <v>1878</v>
      </c>
      <c r="G71" s="4" t="s">
        <v>1879</v>
      </c>
      <c r="H71" s="4" t="s">
        <v>511</v>
      </c>
      <c r="I71" s="4" t="s">
        <v>1121</v>
      </c>
      <c r="J71" s="4" t="s">
        <v>31</v>
      </c>
      <c r="K71" s="4" t="s">
        <v>31</v>
      </c>
      <c r="L71" s="2" t="s">
        <v>517</v>
      </c>
      <c r="M71" s="2" t="s">
        <v>32</v>
      </c>
      <c r="N71" s="4" t="s">
        <v>650</v>
      </c>
      <c r="O71" s="4" t="s">
        <v>312</v>
      </c>
      <c r="P71" s="4" t="s">
        <v>35</v>
      </c>
      <c r="Q71" s="150">
        <v>352</v>
      </c>
      <c r="R71" s="150">
        <v>1</v>
      </c>
      <c r="S71" s="150">
        <v>5893</v>
      </c>
      <c r="U71" s="150">
        <v>20.742999999999999</v>
      </c>
      <c r="V71" s="166">
        <v>1.7E-5</v>
      </c>
      <c r="W71" s="166">
        <v>5.50849848568352E-3</v>
      </c>
      <c r="X71" s="166">
        <v>5.6506001968349999E-4</v>
      </c>
    </row>
    <row r="72" spans="1:24">
      <c r="A72" s="4" t="s">
        <v>26</v>
      </c>
      <c r="B72" s="4">
        <v>13711</v>
      </c>
      <c r="C72" s="4" t="s">
        <v>1880</v>
      </c>
      <c r="D72" s="4" t="s">
        <v>1881</v>
      </c>
      <c r="E72" s="4" t="s">
        <v>1552</v>
      </c>
      <c r="F72" s="4" t="s">
        <v>1882</v>
      </c>
      <c r="G72" s="4" t="s">
        <v>1883</v>
      </c>
      <c r="H72" s="4" t="s">
        <v>511</v>
      </c>
      <c r="I72" s="4" t="s">
        <v>1121</v>
      </c>
      <c r="J72" s="4" t="s">
        <v>31</v>
      </c>
      <c r="K72" s="4" t="s">
        <v>31</v>
      </c>
      <c r="L72" s="2" t="s">
        <v>517</v>
      </c>
      <c r="M72" s="2" t="s">
        <v>32</v>
      </c>
      <c r="N72" s="4" t="s">
        <v>642</v>
      </c>
      <c r="O72" s="4" t="s">
        <v>312</v>
      </c>
      <c r="P72" s="4" t="s">
        <v>35</v>
      </c>
      <c r="Q72" s="150">
        <v>1730</v>
      </c>
      <c r="R72" s="150">
        <v>1</v>
      </c>
      <c r="S72" s="150">
        <v>895.6</v>
      </c>
      <c r="U72" s="150">
        <v>15.494</v>
      </c>
      <c r="V72" s="166">
        <v>9.9999999999999995E-7</v>
      </c>
      <c r="W72" s="166">
        <v>4.11447395780443E-3</v>
      </c>
      <c r="X72" s="166">
        <v>4.22061427742361E-4</v>
      </c>
    </row>
    <row r="73" spans="1:24">
      <c r="A73" s="4" t="s">
        <v>26</v>
      </c>
      <c r="B73" s="4">
        <v>13711</v>
      </c>
      <c r="C73" s="4" t="s">
        <v>1884</v>
      </c>
      <c r="D73" s="4" t="s">
        <v>1885</v>
      </c>
      <c r="E73" s="4" t="s">
        <v>1552</v>
      </c>
      <c r="F73" s="4" t="s">
        <v>1886</v>
      </c>
      <c r="G73" s="4" t="s">
        <v>1887</v>
      </c>
      <c r="H73" s="4" t="s">
        <v>511</v>
      </c>
      <c r="I73" s="4" t="s">
        <v>1121</v>
      </c>
      <c r="J73" s="4" t="s">
        <v>31</v>
      </c>
      <c r="K73" s="4" t="s">
        <v>155</v>
      </c>
      <c r="L73" s="2" t="s">
        <v>517</v>
      </c>
      <c r="M73" s="2" t="s">
        <v>32</v>
      </c>
      <c r="N73" s="4" t="s">
        <v>669</v>
      </c>
      <c r="O73" s="4" t="s">
        <v>312</v>
      </c>
      <c r="P73" s="4" t="s">
        <v>35</v>
      </c>
      <c r="Q73" s="150">
        <v>206</v>
      </c>
      <c r="R73" s="150">
        <v>1</v>
      </c>
      <c r="S73" s="150">
        <v>64400</v>
      </c>
      <c r="U73" s="150">
        <v>132.66399999999999</v>
      </c>
      <c r="V73" s="166">
        <v>3.0000000000000001E-6</v>
      </c>
      <c r="W73" s="166">
        <v>3.52295598738449E-2</v>
      </c>
      <c r="X73" s="166">
        <v>3.6138370279111898E-3</v>
      </c>
    </row>
    <row r="74" spans="1:24">
      <c r="A74" s="4" t="s">
        <v>26</v>
      </c>
      <c r="B74" s="4">
        <v>13711</v>
      </c>
      <c r="C74" s="4" t="s">
        <v>1888</v>
      </c>
      <c r="D74" s="4" t="s">
        <v>1889</v>
      </c>
      <c r="E74" s="4" t="s">
        <v>1552</v>
      </c>
      <c r="F74" s="4" t="s">
        <v>1890</v>
      </c>
      <c r="G74" s="4" t="s">
        <v>1891</v>
      </c>
      <c r="H74" s="4" t="s">
        <v>511</v>
      </c>
      <c r="I74" s="4" t="s">
        <v>1121</v>
      </c>
      <c r="J74" s="4" t="s">
        <v>31</v>
      </c>
      <c r="K74" s="4" t="s">
        <v>489</v>
      </c>
      <c r="L74" s="2" t="s">
        <v>517</v>
      </c>
      <c r="M74" s="2" t="s">
        <v>32</v>
      </c>
      <c r="N74" s="4" t="s">
        <v>653</v>
      </c>
      <c r="O74" s="4" t="s">
        <v>312</v>
      </c>
      <c r="P74" s="4" t="s">
        <v>35</v>
      </c>
      <c r="Q74" s="150">
        <v>415</v>
      </c>
      <c r="R74" s="150">
        <v>1</v>
      </c>
      <c r="S74" s="150">
        <v>4210</v>
      </c>
      <c r="U74" s="150">
        <v>17.471</v>
      </c>
      <c r="V74" s="166">
        <v>6.0000000000000002E-6</v>
      </c>
      <c r="W74" s="166">
        <v>4.6396404098766799E-3</v>
      </c>
      <c r="X74" s="166">
        <v>4.7593283508073198E-4</v>
      </c>
    </row>
    <row r="75" spans="1:24">
      <c r="A75" s="4" t="s">
        <v>26</v>
      </c>
      <c r="B75" s="4">
        <v>13711</v>
      </c>
      <c r="C75" s="4" t="s">
        <v>1892</v>
      </c>
      <c r="D75" s="4" t="s">
        <v>1893</v>
      </c>
      <c r="E75" s="4" t="s">
        <v>1552</v>
      </c>
      <c r="F75" s="4" t="s">
        <v>1892</v>
      </c>
      <c r="G75" s="4" t="s">
        <v>1894</v>
      </c>
      <c r="H75" s="4" t="s">
        <v>511</v>
      </c>
      <c r="I75" s="4" t="s">
        <v>1121</v>
      </c>
      <c r="J75" s="4" t="s">
        <v>31</v>
      </c>
      <c r="K75" s="4" t="s">
        <v>31</v>
      </c>
      <c r="L75" s="2" t="s">
        <v>517</v>
      </c>
      <c r="M75" s="2" t="s">
        <v>32</v>
      </c>
      <c r="N75" s="4" t="s">
        <v>648</v>
      </c>
      <c r="O75" s="4" t="s">
        <v>312</v>
      </c>
      <c r="P75" s="4" t="s">
        <v>35</v>
      </c>
      <c r="Q75" s="150">
        <v>551</v>
      </c>
      <c r="R75" s="150">
        <v>1</v>
      </c>
      <c r="S75" s="150">
        <v>1772</v>
      </c>
      <c r="U75" s="150">
        <v>9.7639999999999993</v>
      </c>
      <c r="V75" s="166">
        <v>1.5999999999999999E-5</v>
      </c>
      <c r="W75" s="166">
        <v>2.59280255631864E-3</v>
      </c>
      <c r="X75" s="166">
        <v>2.6596886017425197E-4</v>
      </c>
    </row>
    <row r="76" spans="1:24">
      <c r="A76" s="4" t="s">
        <v>26</v>
      </c>
      <c r="B76" s="4">
        <v>13711</v>
      </c>
      <c r="C76" s="4" t="s">
        <v>1895</v>
      </c>
      <c r="D76" s="4" t="s">
        <v>1896</v>
      </c>
      <c r="E76" s="4" t="s">
        <v>1552</v>
      </c>
      <c r="F76" s="4" t="s">
        <v>1897</v>
      </c>
      <c r="G76" s="4" t="s">
        <v>1898</v>
      </c>
      <c r="H76" s="4" t="s">
        <v>511</v>
      </c>
      <c r="I76" s="4" t="s">
        <v>1121</v>
      </c>
      <c r="J76" s="4" t="s">
        <v>31</v>
      </c>
      <c r="K76" s="4" t="s">
        <v>31</v>
      </c>
      <c r="L76" s="2" t="s">
        <v>517</v>
      </c>
      <c r="M76" s="2" t="s">
        <v>32</v>
      </c>
      <c r="N76" s="4" t="s">
        <v>652</v>
      </c>
      <c r="O76" s="4" t="s">
        <v>312</v>
      </c>
      <c r="P76" s="4" t="s">
        <v>35</v>
      </c>
      <c r="Q76" s="150">
        <v>480</v>
      </c>
      <c r="R76" s="150">
        <v>1</v>
      </c>
      <c r="S76" s="150">
        <v>22000</v>
      </c>
      <c r="U76" s="150">
        <v>105.6</v>
      </c>
      <c r="V76" s="166">
        <v>3.9999999999999998E-6</v>
      </c>
      <c r="W76" s="166">
        <v>2.8042585197778001E-2</v>
      </c>
      <c r="X76" s="166">
        <v>2.8765994553716198E-3</v>
      </c>
    </row>
    <row r="77" spans="1:24">
      <c r="A77" s="4" t="s">
        <v>26</v>
      </c>
      <c r="B77" s="4">
        <v>13711</v>
      </c>
      <c r="C77" s="4" t="s">
        <v>1899</v>
      </c>
      <c r="D77" s="4" t="s">
        <v>1900</v>
      </c>
      <c r="E77" s="4" t="s">
        <v>1552</v>
      </c>
      <c r="F77" s="4" t="s">
        <v>1901</v>
      </c>
      <c r="G77" s="4" t="s">
        <v>1902</v>
      </c>
      <c r="H77" s="4" t="s">
        <v>511</v>
      </c>
      <c r="I77" s="4" t="s">
        <v>1121</v>
      </c>
      <c r="J77" s="4" t="s">
        <v>31</v>
      </c>
      <c r="K77" s="4" t="s">
        <v>31</v>
      </c>
      <c r="L77" s="2" t="s">
        <v>517</v>
      </c>
      <c r="M77" s="2" t="s">
        <v>32</v>
      </c>
      <c r="N77" s="4" t="s">
        <v>639</v>
      </c>
      <c r="O77" s="4" t="s">
        <v>312</v>
      </c>
      <c r="P77" s="4" t="s">
        <v>35</v>
      </c>
      <c r="Q77" s="150">
        <v>157</v>
      </c>
      <c r="R77" s="150">
        <v>1</v>
      </c>
      <c r="S77" s="150">
        <v>8237</v>
      </c>
      <c r="U77" s="150">
        <v>12.932</v>
      </c>
      <c r="V77" s="166">
        <v>2.3E-5</v>
      </c>
      <c r="W77" s="166">
        <v>3.43417836752209E-3</v>
      </c>
      <c r="X77" s="166">
        <v>3.5227692282970501E-4</v>
      </c>
    </row>
    <row r="78" spans="1:24">
      <c r="A78" s="4" t="s">
        <v>26</v>
      </c>
      <c r="B78" s="4">
        <v>13711</v>
      </c>
      <c r="C78" s="4" t="s">
        <v>1903</v>
      </c>
      <c r="D78" s="4" t="s">
        <v>1904</v>
      </c>
      <c r="E78" s="4" t="s">
        <v>1552</v>
      </c>
      <c r="F78" s="4" t="s">
        <v>1905</v>
      </c>
      <c r="G78" s="4" t="s">
        <v>1906</v>
      </c>
      <c r="H78" s="4" t="s">
        <v>511</v>
      </c>
      <c r="I78" s="4" t="s">
        <v>1121</v>
      </c>
      <c r="J78" s="4" t="s">
        <v>31</v>
      </c>
      <c r="K78" s="4" t="s">
        <v>31</v>
      </c>
      <c r="L78" s="2" t="s">
        <v>517</v>
      </c>
      <c r="M78" s="2" t="s">
        <v>32</v>
      </c>
      <c r="N78" s="4" t="s">
        <v>636</v>
      </c>
      <c r="O78" s="4" t="s">
        <v>312</v>
      </c>
      <c r="P78" s="4" t="s">
        <v>35</v>
      </c>
      <c r="Q78" s="150">
        <v>7298</v>
      </c>
      <c r="R78" s="150">
        <v>1</v>
      </c>
      <c r="S78" s="150">
        <v>3365</v>
      </c>
      <c r="U78" s="150">
        <v>245.578</v>
      </c>
      <c r="V78" s="166">
        <v>5.0000000000000004E-6</v>
      </c>
      <c r="W78" s="166">
        <v>6.5214333095874599E-2</v>
      </c>
      <c r="X78" s="166">
        <v>6.6896655120399296E-3</v>
      </c>
    </row>
    <row r="79" spans="1:24">
      <c r="A79" s="4" t="s">
        <v>26</v>
      </c>
      <c r="B79" s="4">
        <v>13711</v>
      </c>
      <c r="C79" s="4" t="s">
        <v>1907</v>
      </c>
      <c r="D79" s="4" t="s">
        <v>1908</v>
      </c>
      <c r="E79" s="4" t="s">
        <v>1552</v>
      </c>
      <c r="F79" s="4" t="s">
        <v>1909</v>
      </c>
      <c r="G79" s="4" t="s">
        <v>1910</v>
      </c>
      <c r="H79" s="4" t="s">
        <v>511</v>
      </c>
      <c r="I79" s="4" t="s">
        <v>1121</v>
      </c>
      <c r="J79" s="4" t="s">
        <v>31</v>
      </c>
      <c r="K79" s="4" t="s">
        <v>31</v>
      </c>
      <c r="L79" s="2" t="s">
        <v>517</v>
      </c>
      <c r="M79" s="2" t="s">
        <v>32</v>
      </c>
      <c r="N79" s="4" t="s">
        <v>665</v>
      </c>
      <c r="O79" s="4" t="s">
        <v>312</v>
      </c>
      <c r="P79" s="4" t="s">
        <v>35</v>
      </c>
      <c r="Q79" s="150">
        <v>608</v>
      </c>
      <c r="R79" s="150">
        <v>1</v>
      </c>
      <c r="S79" s="150">
        <v>26800</v>
      </c>
      <c r="U79" s="150">
        <v>162.94399999999999</v>
      </c>
      <c r="V79" s="166">
        <v>4.0000000000000003E-5</v>
      </c>
      <c r="W79" s="166">
        <v>4.3270558735480399E-2</v>
      </c>
      <c r="X79" s="166">
        <v>4.4386801293188798E-3</v>
      </c>
    </row>
    <row r="80" spans="1:24">
      <c r="A80" s="4" t="s">
        <v>26</v>
      </c>
      <c r="B80" s="4">
        <v>13711</v>
      </c>
      <c r="C80" s="4" t="s">
        <v>1911</v>
      </c>
      <c r="D80" s="4" t="s">
        <v>1912</v>
      </c>
      <c r="E80" s="4" t="s">
        <v>1552</v>
      </c>
      <c r="F80" s="4" t="s">
        <v>1913</v>
      </c>
      <c r="G80" s="4" t="s">
        <v>1914</v>
      </c>
      <c r="H80" s="4" t="s">
        <v>511</v>
      </c>
      <c r="I80" s="4" t="s">
        <v>1121</v>
      </c>
      <c r="J80" s="4" t="s">
        <v>31</v>
      </c>
      <c r="K80" s="4" t="s">
        <v>31</v>
      </c>
      <c r="L80" s="2" t="s">
        <v>517</v>
      </c>
      <c r="M80" s="2" t="s">
        <v>32</v>
      </c>
      <c r="N80" s="4" t="s">
        <v>628</v>
      </c>
      <c r="O80" s="4" t="s">
        <v>312</v>
      </c>
      <c r="P80" s="4" t="s">
        <v>35</v>
      </c>
      <c r="Q80" s="150">
        <v>528</v>
      </c>
      <c r="R80" s="150">
        <v>1</v>
      </c>
      <c r="S80" s="150">
        <v>6189</v>
      </c>
      <c r="U80" s="150">
        <v>32.677999999999997</v>
      </c>
      <c r="V80" s="166">
        <v>4.1999999999999998E-5</v>
      </c>
      <c r="W80" s="166">
        <v>8.6777779894523996E-3</v>
      </c>
      <c r="X80" s="166">
        <v>8.9016370146474905E-4</v>
      </c>
    </row>
    <row r="81" spans="1:24">
      <c r="A81" s="4" t="s">
        <v>26</v>
      </c>
      <c r="B81" s="4">
        <v>13711</v>
      </c>
      <c r="C81" s="4" t="s">
        <v>1915</v>
      </c>
      <c r="D81" s="4" t="s">
        <v>1916</v>
      </c>
      <c r="E81" s="4" t="s">
        <v>1552</v>
      </c>
      <c r="F81" s="4" t="s">
        <v>1917</v>
      </c>
      <c r="G81" s="4" t="s">
        <v>1918</v>
      </c>
      <c r="H81" s="4" t="s">
        <v>511</v>
      </c>
      <c r="I81" s="4" t="s">
        <v>1121</v>
      </c>
      <c r="J81" s="4" t="s">
        <v>31</v>
      </c>
      <c r="K81" s="4" t="s">
        <v>31</v>
      </c>
      <c r="L81" s="2" t="s">
        <v>517</v>
      </c>
      <c r="M81" s="2" t="s">
        <v>32</v>
      </c>
      <c r="N81" s="4" t="s">
        <v>628</v>
      </c>
      <c r="O81" s="4" t="s">
        <v>312</v>
      </c>
      <c r="P81" s="4" t="s">
        <v>35</v>
      </c>
      <c r="Q81" s="150">
        <v>76</v>
      </c>
      <c r="R81" s="150">
        <v>1</v>
      </c>
      <c r="S81" s="150">
        <v>34440</v>
      </c>
      <c r="T81" s="149">
        <v>1.246</v>
      </c>
      <c r="U81" s="150">
        <v>27.420999999999999</v>
      </c>
      <c r="V81" s="166">
        <v>6.9999999999999999E-6</v>
      </c>
      <c r="W81" s="166">
        <v>7.2817352452143802E-3</v>
      </c>
      <c r="X81" s="166">
        <v>7.4695808153250399E-4</v>
      </c>
    </row>
    <row r="82" spans="1:24">
      <c r="A82" s="4" t="s">
        <v>26</v>
      </c>
      <c r="B82" s="4">
        <v>13711</v>
      </c>
      <c r="C82" s="4" t="s">
        <v>1919</v>
      </c>
      <c r="D82" s="4" t="s">
        <v>1920</v>
      </c>
      <c r="E82" s="4" t="s">
        <v>1552</v>
      </c>
      <c r="F82" s="4" t="s">
        <v>1921</v>
      </c>
      <c r="G82" s="4" t="s">
        <v>1922</v>
      </c>
      <c r="H82" s="4" t="s">
        <v>511</v>
      </c>
      <c r="I82" s="4" t="s">
        <v>1121</v>
      </c>
      <c r="J82" s="4" t="s">
        <v>31</v>
      </c>
      <c r="K82" s="4" t="s">
        <v>31</v>
      </c>
      <c r="L82" s="2" t="s">
        <v>517</v>
      </c>
      <c r="M82" s="2" t="s">
        <v>32</v>
      </c>
      <c r="N82" s="4" t="s">
        <v>636</v>
      </c>
      <c r="O82" s="4" t="s">
        <v>312</v>
      </c>
      <c r="P82" s="4" t="s">
        <v>35</v>
      </c>
      <c r="Q82" s="150">
        <v>716</v>
      </c>
      <c r="R82" s="150">
        <v>1</v>
      </c>
      <c r="S82" s="150">
        <v>15200</v>
      </c>
      <c r="U82" s="150">
        <v>108.83199999999999</v>
      </c>
      <c r="V82" s="166">
        <v>2.0000000000000002E-5</v>
      </c>
      <c r="W82" s="166">
        <v>2.8900858259891801E-2</v>
      </c>
      <c r="X82" s="166">
        <v>2.96464083264209E-3</v>
      </c>
    </row>
    <row r="83" spans="1:24">
      <c r="A83" s="4" t="s">
        <v>26</v>
      </c>
      <c r="B83" s="4">
        <v>13711</v>
      </c>
      <c r="C83" s="4" t="s">
        <v>1923</v>
      </c>
      <c r="D83" s="4" t="s">
        <v>1924</v>
      </c>
      <c r="E83" s="4" t="s">
        <v>1552</v>
      </c>
      <c r="F83" s="4" t="s">
        <v>1925</v>
      </c>
      <c r="G83" s="4" t="s">
        <v>1926</v>
      </c>
      <c r="H83" s="4" t="s">
        <v>511</v>
      </c>
      <c r="I83" s="4" t="s">
        <v>1121</v>
      </c>
      <c r="J83" s="4" t="s">
        <v>31</v>
      </c>
      <c r="K83" s="4" t="s">
        <v>31</v>
      </c>
      <c r="L83" s="2" t="s">
        <v>517</v>
      </c>
      <c r="M83" s="2" t="s">
        <v>32</v>
      </c>
      <c r="N83" s="4" t="s">
        <v>659</v>
      </c>
      <c r="O83" s="4" t="s">
        <v>312</v>
      </c>
      <c r="P83" s="4" t="s">
        <v>35</v>
      </c>
      <c r="Q83" s="150">
        <v>674</v>
      </c>
      <c r="R83" s="150">
        <v>1</v>
      </c>
      <c r="S83" s="150">
        <v>469.6</v>
      </c>
      <c r="U83" s="150">
        <v>3.165</v>
      </c>
      <c r="V83" s="166">
        <v>9.0000000000000002E-6</v>
      </c>
      <c r="W83" s="166">
        <v>8.4050850927867295E-4</v>
      </c>
      <c r="X83" s="166">
        <v>8.6219095100327199E-5</v>
      </c>
    </row>
    <row r="84" spans="1:24">
      <c r="A84" s="4" t="s">
        <v>26</v>
      </c>
      <c r="B84" s="4">
        <v>13711</v>
      </c>
      <c r="C84" s="4" t="s">
        <v>1927</v>
      </c>
      <c r="D84" s="4" t="s">
        <v>1928</v>
      </c>
      <c r="E84" s="4" t="s">
        <v>1552</v>
      </c>
      <c r="F84" s="4" t="s">
        <v>1929</v>
      </c>
      <c r="G84" s="4" t="s">
        <v>1930</v>
      </c>
      <c r="H84" s="4" t="s">
        <v>511</v>
      </c>
      <c r="I84" s="4" t="s">
        <v>1121</v>
      </c>
      <c r="J84" s="4" t="s">
        <v>31</v>
      </c>
      <c r="K84" s="4" t="s">
        <v>31</v>
      </c>
      <c r="L84" s="2" t="s">
        <v>517</v>
      </c>
      <c r="M84" s="2" t="s">
        <v>32</v>
      </c>
      <c r="N84" s="4" t="s">
        <v>627</v>
      </c>
      <c r="O84" s="4" t="s">
        <v>312</v>
      </c>
      <c r="P84" s="4" t="s">
        <v>35</v>
      </c>
      <c r="Q84" s="150">
        <v>636</v>
      </c>
      <c r="R84" s="150">
        <v>1</v>
      </c>
      <c r="S84" s="150">
        <v>379.1</v>
      </c>
      <c r="U84" s="150">
        <v>2.411</v>
      </c>
      <c r="V84" s="166">
        <v>9.0000000000000002E-6</v>
      </c>
      <c r="W84" s="166">
        <v>6.4027276655603902E-4</v>
      </c>
      <c r="X84" s="166">
        <v>6.5678976405867404E-5</v>
      </c>
    </row>
    <row r="85" spans="1:24">
      <c r="A85" s="4" t="s">
        <v>26</v>
      </c>
      <c r="B85" s="4">
        <v>13711</v>
      </c>
      <c r="C85" s="4" t="s">
        <v>1931</v>
      </c>
      <c r="D85" s="4" t="s">
        <v>1932</v>
      </c>
      <c r="E85" s="4" t="s">
        <v>1552</v>
      </c>
      <c r="F85" s="4" t="s">
        <v>1933</v>
      </c>
      <c r="G85" s="4" t="s">
        <v>1934</v>
      </c>
      <c r="H85" s="4" t="s">
        <v>511</v>
      </c>
      <c r="I85" s="4" t="s">
        <v>1121</v>
      </c>
      <c r="J85" s="4" t="s">
        <v>31</v>
      </c>
      <c r="K85" s="4" t="s">
        <v>31</v>
      </c>
      <c r="L85" s="2" t="s">
        <v>517</v>
      </c>
      <c r="M85" s="2" t="s">
        <v>32</v>
      </c>
      <c r="N85" s="4" t="s">
        <v>648</v>
      </c>
      <c r="O85" s="4" t="s">
        <v>312</v>
      </c>
      <c r="P85" s="4" t="s">
        <v>35</v>
      </c>
      <c r="Q85" s="150">
        <v>814</v>
      </c>
      <c r="R85" s="150">
        <v>1</v>
      </c>
      <c r="S85" s="150">
        <v>332.1</v>
      </c>
      <c r="U85" s="150">
        <v>2.7029999999999998</v>
      </c>
      <c r="V85" s="166">
        <v>1.5999999999999999E-5</v>
      </c>
      <c r="W85" s="166">
        <v>7.1787265444736798E-4</v>
      </c>
      <c r="X85" s="166">
        <v>7.3639148182853999E-5</v>
      </c>
    </row>
    <row r="86" spans="1:24">
      <c r="A86" s="4" t="s">
        <v>26</v>
      </c>
      <c r="B86" s="4">
        <v>13711</v>
      </c>
      <c r="C86" s="4" t="s">
        <v>1935</v>
      </c>
      <c r="D86" s="4" t="s">
        <v>1936</v>
      </c>
      <c r="E86" s="4" t="s">
        <v>1552</v>
      </c>
      <c r="F86" s="4" t="s">
        <v>1937</v>
      </c>
      <c r="G86" s="4" t="s">
        <v>1938</v>
      </c>
      <c r="H86" s="4" t="s">
        <v>511</v>
      </c>
      <c r="I86" s="4" t="s">
        <v>1121</v>
      </c>
      <c r="J86" s="4" t="s">
        <v>31</v>
      </c>
      <c r="K86" s="4" t="s">
        <v>31</v>
      </c>
      <c r="L86" s="2" t="s">
        <v>517</v>
      </c>
      <c r="M86" s="2" t="s">
        <v>32</v>
      </c>
      <c r="N86" s="4" t="s">
        <v>644</v>
      </c>
      <c r="O86" s="4" t="s">
        <v>312</v>
      </c>
      <c r="P86" s="4" t="s">
        <v>35</v>
      </c>
      <c r="Q86" s="150">
        <v>68</v>
      </c>
      <c r="R86" s="150">
        <v>1</v>
      </c>
      <c r="S86" s="150">
        <v>5050</v>
      </c>
      <c r="U86" s="150">
        <v>3.4340000000000002</v>
      </c>
      <c r="V86" s="166">
        <v>3.0000000000000001E-6</v>
      </c>
      <c r="W86" s="166">
        <v>9.1191512849592398E-4</v>
      </c>
      <c r="X86" s="166">
        <v>9.3543963349868907E-5</v>
      </c>
    </row>
    <row r="87" spans="1:24">
      <c r="A87" s="4" t="s">
        <v>26</v>
      </c>
      <c r="B87" s="4">
        <v>13711</v>
      </c>
      <c r="C87" s="4" t="s">
        <v>1939</v>
      </c>
      <c r="D87" s="4" t="s">
        <v>1940</v>
      </c>
      <c r="E87" s="4" t="s">
        <v>1552</v>
      </c>
      <c r="F87" s="4" t="s">
        <v>1941</v>
      </c>
      <c r="G87" s="4" t="s">
        <v>1942</v>
      </c>
      <c r="H87" s="4" t="s">
        <v>511</v>
      </c>
      <c r="I87" s="4" t="s">
        <v>1121</v>
      </c>
      <c r="J87" s="4" t="s">
        <v>31</v>
      </c>
      <c r="K87" s="4" t="s">
        <v>31</v>
      </c>
      <c r="L87" s="2" t="s">
        <v>517</v>
      </c>
      <c r="M87" s="2" t="s">
        <v>32</v>
      </c>
      <c r="N87" s="4" t="s">
        <v>673</v>
      </c>
      <c r="O87" s="4" t="s">
        <v>312</v>
      </c>
      <c r="P87" s="4" t="s">
        <v>35</v>
      </c>
      <c r="Q87" s="150">
        <v>720</v>
      </c>
      <c r="R87" s="150">
        <v>1</v>
      </c>
      <c r="S87" s="150">
        <v>1535</v>
      </c>
      <c r="U87" s="150">
        <v>11.052</v>
      </c>
      <c r="V87" s="166">
        <v>3.9999999999999998E-6</v>
      </c>
      <c r="W87" s="166">
        <v>2.9349114735401699E-3</v>
      </c>
      <c r="X87" s="166">
        <v>3.0106228390878E-4</v>
      </c>
    </row>
    <row r="88" spans="1:24">
      <c r="A88" s="4" t="s">
        <v>26</v>
      </c>
      <c r="B88" s="4">
        <v>13711</v>
      </c>
      <c r="C88" s="4" t="s">
        <v>1943</v>
      </c>
      <c r="D88" s="4" t="s">
        <v>1944</v>
      </c>
      <c r="E88" s="4" t="s">
        <v>1552</v>
      </c>
      <c r="F88" s="4" t="s">
        <v>1945</v>
      </c>
      <c r="G88" s="4" t="s">
        <v>1946</v>
      </c>
      <c r="H88" s="4" t="s">
        <v>511</v>
      </c>
      <c r="I88" s="4" t="s">
        <v>1121</v>
      </c>
      <c r="J88" s="4" t="s">
        <v>31</v>
      </c>
      <c r="K88" s="4" t="s">
        <v>489</v>
      </c>
      <c r="L88" s="2" t="s">
        <v>517</v>
      </c>
      <c r="M88" s="2" t="s">
        <v>32</v>
      </c>
      <c r="N88" s="4" t="s">
        <v>646</v>
      </c>
      <c r="O88" s="4" t="s">
        <v>312</v>
      </c>
      <c r="P88" s="4" t="s">
        <v>35</v>
      </c>
      <c r="Q88" s="150">
        <v>283</v>
      </c>
      <c r="R88" s="150">
        <v>1</v>
      </c>
      <c r="S88" s="150">
        <v>22930</v>
      </c>
      <c r="U88" s="150">
        <v>64.891999999999996</v>
      </c>
      <c r="V88" s="166">
        <v>2.1999999999999999E-5</v>
      </c>
      <c r="W88" s="166">
        <v>1.72323544923834E-2</v>
      </c>
      <c r="X88" s="166">
        <v>1.76768943369347E-3</v>
      </c>
    </row>
    <row r="89" spans="1:24">
      <c r="A89" s="4" t="s">
        <v>26</v>
      </c>
      <c r="B89" s="4">
        <v>13711</v>
      </c>
      <c r="C89" s="4" t="s">
        <v>1947</v>
      </c>
      <c r="D89" s="4" t="s">
        <v>1948</v>
      </c>
      <c r="E89" s="4" t="s">
        <v>1552</v>
      </c>
      <c r="F89" s="4" t="s">
        <v>1949</v>
      </c>
      <c r="G89" s="4" t="s">
        <v>1950</v>
      </c>
      <c r="H89" s="4" t="s">
        <v>511</v>
      </c>
      <c r="I89" s="4" t="s">
        <v>1121</v>
      </c>
      <c r="J89" s="4" t="s">
        <v>31</v>
      </c>
      <c r="K89" s="4" t="s">
        <v>31</v>
      </c>
      <c r="L89" s="2" t="s">
        <v>517</v>
      </c>
      <c r="M89" s="2" t="s">
        <v>32</v>
      </c>
      <c r="N89" s="4" t="s">
        <v>635</v>
      </c>
      <c r="O89" s="4" t="s">
        <v>312</v>
      </c>
      <c r="P89" s="4" t="s">
        <v>35</v>
      </c>
      <c r="Q89" s="150">
        <v>373</v>
      </c>
      <c r="R89" s="150">
        <v>1</v>
      </c>
      <c r="S89" s="150">
        <v>7294</v>
      </c>
      <c r="U89" s="150">
        <v>27.207000000000001</v>
      </c>
      <c r="V89" s="166">
        <v>1.8E-5</v>
      </c>
      <c r="W89" s="166">
        <v>7.2248480993709297E-3</v>
      </c>
      <c r="X89" s="166">
        <v>7.4112261623582201E-4</v>
      </c>
    </row>
    <row r="90" spans="1:24">
      <c r="A90" s="4" t="s">
        <v>26</v>
      </c>
      <c r="B90" s="4">
        <v>13711</v>
      </c>
      <c r="C90" s="4" t="s">
        <v>1951</v>
      </c>
      <c r="D90" s="4" t="s">
        <v>1952</v>
      </c>
      <c r="E90" s="4" t="s">
        <v>1552</v>
      </c>
      <c r="F90" s="4" t="s">
        <v>1953</v>
      </c>
      <c r="G90" s="4" t="s">
        <v>1954</v>
      </c>
      <c r="H90" s="4" t="s">
        <v>511</v>
      </c>
      <c r="I90" s="4" t="s">
        <v>1121</v>
      </c>
      <c r="J90" s="4" t="s">
        <v>31</v>
      </c>
      <c r="K90" s="4" t="s">
        <v>489</v>
      </c>
      <c r="L90" s="2" t="s">
        <v>517</v>
      </c>
      <c r="M90" s="2" t="s">
        <v>32</v>
      </c>
      <c r="N90" s="4" t="s">
        <v>646</v>
      </c>
      <c r="O90" s="4" t="s">
        <v>312</v>
      </c>
      <c r="P90" s="4" t="s">
        <v>35</v>
      </c>
      <c r="Q90" s="150">
        <v>70</v>
      </c>
      <c r="R90" s="150">
        <v>1</v>
      </c>
      <c r="S90" s="150">
        <v>47200</v>
      </c>
      <c r="U90" s="150">
        <v>33.04</v>
      </c>
      <c r="V90" s="166">
        <v>1.9999999999999999E-6</v>
      </c>
      <c r="W90" s="166">
        <v>8.7739300656684092E-3</v>
      </c>
      <c r="X90" s="166">
        <v>9.0002695080945499E-4</v>
      </c>
    </row>
    <row r="91" spans="1:24">
      <c r="A91" s="4" t="s">
        <v>26</v>
      </c>
      <c r="B91" s="4">
        <v>13711</v>
      </c>
      <c r="C91" s="4" t="s">
        <v>1955</v>
      </c>
      <c r="D91" s="4" t="s">
        <v>1956</v>
      </c>
      <c r="E91" s="4" t="s">
        <v>505</v>
      </c>
      <c r="F91" s="4" t="s">
        <v>1957</v>
      </c>
      <c r="G91" s="4" t="s">
        <v>1958</v>
      </c>
      <c r="H91" s="4" t="s">
        <v>511</v>
      </c>
      <c r="I91" s="4" t="s">
        <v>1121</v>
      </c>
      <c r="J91" s="4" t="s">
        <v>31</v>
      </c>
      <c r="K91" s="4" t="s">
        <v>31</v>
      </c>
      <c r="L91" s="2" t="s">
        <v>517</v>
      </c>
      <c r="M91" s="2" t="s">
        <v>32</v>
      </c>
      <c r="N91" s="4" t="s">
        <v>639</v>
      </c>
      <c r="O91" s="4" t="s">
        <v>312</v>
      </c>
      <c r="P91" s="4" t="s">
        <v>35</v>
      </c>
      <c r="Q91" s="150">
        <v>715</v>
      </c>
      <c r="R91" s="150">
        <v>1</v>
      </c>
      <c r="S91" s="150">
        <v>9392</v>
      </c>
      <c r="U91" s="150">
        <v>67.153000000000006</v>
      </c>
      <c r="V91" s="166">
        <v>1.2999999999999999E-5</v>
      </c>
      <c r="W91" s="166">
        <v>1.7832747303686999E-2</v>
      </c>
      <c r="X91" s="166">
        <v>1.82927753699507E-3</v>
      </c>
    </row>
    <row r="92" spans="1:24">
      <c r="A92" s="4" t="s">
        <v>26</v>
      </c>
      <c r="B92" s="4">
        <v>13711</v>
      </c>
      <c r="C92" s="4" t="s">
        <v>1959</v>
      </c>
      <c r="D92" s="4" t="s">
        <v>1960</v>
      </c>
      <c r="E92" s="4" t="s">
        <v>1552</v>
      </c>
      <c r="F92" s="4" t="s">
        <v>1961</v>
      </c>
      <c r="G92" s="4" t="s">
        <v>1962</v>
      </c>
      <c r="H92" s="4" t="s">
        <v>511</v>
      </c>
      <c r="I92" s="4" t="s">
        <v>1121</v>
      </c>
      <c r="J92" s="4" t="s">
        <v>31</v>
      </c>
      <c r="K92" s="4" t="s">
        <v>31</v>
      </c>
      <c r="L92" s="2" t="s">
        <v>517</v>
      </c>
      <c r="M92" s="2" t="s">
        <v>32</v>
      </c>
      <c r="N92" s="4" t="s">
        <v>647</v>
      </c>
      <c r="O92" s="4" t="s">
        <v>312</v>
      </c>
      <c r="P92" s="4" t="s">
        <v>35</v>
      </c>
      <c r="Q92" s="150">
        <v>90</v>
      </c>
      <c r="R92" s="150">
        <v>1</v>
      </c>
      <c r="S92" s="150">
        <v>6285</v>
      </c>
      <c r="U92" s="150">
        <v>5.657</v>
      </c>
      <c r="V92" s="166">
        <v>6.9999999999999999E-6</v>
      </c>
      <c r="W92" s="166">
        <v>1.5021106360912E-3</v>
      </c>
      <c r="X92" s="166">
        <v>1.5408603048588601E-4</v>
      </c>
    </row>
    <row r="93" spans="1:24">
      <c r="A93" s="4" t="s">
        <v>26</v>
      </c>
      <c r="B93" s="4">
        <v>13711</v>
      </c>
      <c r="C93" s="4" t="s">
        <v>1963</v>
      </c>
      <c r="D93" s="4" t="s">
        <v>1964</v>
      </c>
      <c r="E93" s="4" t="s">
        <v>1552</v>
      </c>
      <c r="F93" s="4" t="s">
        <v>1965</v>
      </c>
      <c r="G93" s="4" t="s">
        <v>1966</v>
      </c>
      <c r="H93" s="4" t="s">
        <v>511</v>
      </c>
      <c r="I93" s="4" t="s">
        <v>1121</v>
      </c>
      <c r="J93" s="4" t="s">
        <v>31</v>
      </c>
      <c r="K93" s="4" t="s">
        <v>31</v>
      </c>
      <c r="L93" s="2" t="s">
        <v>517</v>
      </c>
      <c r="M93" s="2" t="s">
        <v>32</v>
      </c>
      <c r="N93" s="4" t="s">
        <v>644</v>
      </c>
      <c r="O93" s="4" t="s">
        <v>312</v>
      </c>
      <c r="P93" s="4" t="s">
        <v>35</v>
      </c>
      <c r="Q93" s="150">
        <v>525</v>
      </c>
      <c r="R93" s="150">
        <v>1</v>
      </c>
      <c r="S93" s="150">
        <v>207.6</v>
      </c>
      <c r="U93" s="150">
        <v>1.0900000000000001</v>
      </c>
      <c r="V93" s="166">
        <v>6.0000000000000002E-6</v>
      </c>
      <c r="W93" s="166">
        <v>2.8942815915774801E-4</v>
      </c>
      <c r="X93" s="166">
        <v>2.9689448356150898E-5</v>
      </c>
    </row>
    <row r="94" spans="1:24">
      <c r="A94" s="4" t="s">
        <v>26</v>
      </c>
      <c r="B94" s="4">
        <v>13711</v>
      </c>
      <c r="C94" s="4" t="s">
        <v>1967</v>
      </c>
      <c r="D94" s="4" t="s">
        <v>1968</v>
      </c>
      <c r="E94" s="4" t="s">
        <v>1552</v>
      </c>
      <c r="F94" s="4" t="s">
        <v>1969</v>
      </c>
      <c r="G94" s="4" t="s">
        <v>1970</v>
      </c>
      <c r="H94" s="4" t="s">
        <v>511</v>
      </c>
      <c r="I94" s="4" t="s">
        <v>1121</v>
      </c>
      <c r="J94" s="4" t="s">
        <v>31</v>
      </c>
      <c r="K94" s="4" t="s">
        <v>31</v>
      </c>
      <c r="L94" s="2" t="s">
        <v>517</v>
      </c>
      <c r="M94" s="2" t="s">
        <v>32</v>
      </c>
      <c r="N94" s="4" t="s">
        <v>664</v>
      </c>
      <c r="O94" s="4" t="s">
        <v>312</v>
      </c>
      <c r="P94" s="4" t="s">
        <v>35</v>
      </c>
      <c r="Q94" s="150">
        <v>250</v>
      </c>
      <c r="R94" s="150">
        <v>1</v>
      </c>
      <c r="S94" s="150">
        <v>5970</v>
      </c>
      <c r="U94" s="150">
        <v>14.925000000000001</v>
      </c>
      <c r="V94" s="166">
        <v>5.0000000000000004E-6</v>
      </c>
      <c r="W94" s="166">
        <v>3.9634051522427702E-3</v>
      </c>
      <c r="X94" s="166">
        <v>4.0656483779755197E-4</v>
      </c>
    </row>
    <row r="95" spans="1:24">
      <c r="A95" s="4" t="s">
        <v>26</v>
      </c>
      <c r="B95" s="4">
        <v>13711</v>
      </c>
      <c r="C95" s="4" t="s">
        <v>1971</v>
      </c>
      <c r="D95" s="4" t="s">
        <v>1972</v>
      </c>
      <c r="E95" s="4" t="s">
        <v>1552</v>
      </c>
      <c r="F95" s="4" t="s">
        <v>1973</v>
      </c>
      <c r="G95" s="4" t="s">
        <v>1974</v>
      </c>
      <c r="H95" s="4" t="s">
        <v>511</v>
      </c>
      <c r="I95" s="4" t="s">
        <v>1121</v>
      </c>
      <c r="J95" s="4" t="s">
        <v>31</v>
      </c>
      <c r="K95" s="4" t="s">
        <v>31</v>
      </c>
      <c r="L95" s="2" t="s">
        <v>517</v>
      </c>
      <c r="M95" s="2" t="s">
        <v>32</v>
      </c>
      <c r="N95" s="4" t="s">
        <v>644</v>
      </c>
      <c r="O95" s="4" t="s">
        <v>312</v>
      </c>
      <c r="P95" s="4" t="s">
        <v>35</v>
      </c>
      <c r="Q95" s="150">
        <v>1081</v>
      </c>
      <c r="R95" s="150">
        <v>1</v>
      </c>
      <c r="S95" s="150">
        <v>1190</v>
      </c>
      <c r="U95" s="150">
        <v>12.864000000000001</v>
      </c>
      <c r="V95" s="166">
        <v>6.4999999999999994E-5</v>
      </c>
      <c r="W95" s="166">
        <v>3.4160701867963598E-3</v>
      </c>
      <c r="X95" s="166">
        <v>3.5041939142002902E-4</v>
      </c>
    </row>
    <row r="96" spans="1:24">
      <c r="A96" s="4" t="s">
        <v>26</v>
      </c>
      <c r="B96" s="4">
        <v>13711</v>
      </c>
      <c r="C96" s="4" t="s">
        <v>1975</v>
      </c>
      <c r="D96" s="4" t="s">
        <v>1976</v>
      </c>
      <c r="E96" s="4" t="s">
        <v>1552</v>
      </c>
      <c r="F96" s="4" t="s">
        <v>1977</v>
      </c>
      <c r="G96" s="4" t="s">
        <v>1978</v>
      </c>
      <c r="H96" s="4" t="s">
        <v>511</v>
      </c>
      <c r="I96" s="4" t="s">
        <v>1121</v>
      </c>
      <c r="J96" s="4" t="s">
        <v>31</v>
      </c>
      <c r="K96" s="4" t="s">
        <v>31</v>
      </c>
      <c r="L96" s="2" t="s">
        <v>517</v>
      </c>
      <c r="M96" s="2" t="s">
        <v>32</v>
      </c>
      <c r="N96" s="4" t="s">
        <v>664</v>
      </c>
      <c r="O96" s="4" t="s">
        <v>312</v>
      </c>
      <c r="P96" s="4" t="s">
        <v>35</v>
      </c>
      <c r="Q96" s="150">
        <v>3570</v>
      </c>
      <c r="R96" s="150">
        <v>1</v>
      </c>
      <c r="S96" s="150">
        <v>2472</v>
      </c>
      <c r="U96" s="150">
        <v>88.25</v>
      </c>
      <c r="V96" s="166">
        <v>1.2999999999999999E-5</v>
      </c>
      <c r="W96" s="166">
        <v>2.3435315916079402E-2</v>
      </c>
      <c r="X96" s="166">
        <v>2.4039872403061398E-3</v>
      </c>
    </row>
    <row r="97" spans="1:24">
      <c r="A97" s="4" t="s">
        <v>26</v>
      </c>
      <c r="B97" s="4">
        <v>13711</v>
      </c>
      <c r="C97" s="4" t="s">
        <v>1979</v>
      </c>
      <c r="D97" s="4" t="s">
        <v>1980</v>
      </c>
      <c r="E97" s="4" t="s">
        <v>1552</v>
      </c>
      <c r="F97" s="4" t="s">
        <v>1981</v>
      </c>
      <c r="G97" s="4" t="s">
        <v>1982</v>
      </c>
      <c r="H97" s="4" t="s">
        <v>511</v>
      </c>
      <c r="I97" s="4" t="s">
        <v>1121</v>
      </c>
      <c r="J97" s="4" t="s">
        <v>31</v>
      </c>
      <c r="K97" s="4" t="s">
        <v>31</v>
      </c>
      <c r="L97" s="2" t="s">
        <v>517</v>
      </c>
      <c r="M97" s="2" t="s">
        <v>32</v>
      </c>
      <c r="N97" s="4" t="s">
        <v>647</v>
      </c>
      <c r="O97" s="4" t="s">
        <v>312</v>
      </c>
      <c r="P97" s="4" t="s">
        <v>35</v>
      </c>
      <c r="Q97" s="150">
        <v>1406</v>
      </c>
      <c r="R97" s="150">
        <v>1</v>
      </c>
      <c r="S97" s="150">
        <v>5599</v>
      </c>
      <c r="U97" s="150">
        <v>78.721999999999994</v>
      </c>
      <c r="V97" s="166">
        <v>1.2E-5</v>
      </c>
      <c r="W97" s="166">
        <v>2.0904987778261001E-2</v>
      </c>
      <c r="X97" s="166">
        <v>2.1444269860776302E-3</v>
      </c>
    </row>
    <row r="98" spans="1:24">
      <c r="A98" s="4" t="s">
        <v>26</v>
      </c>
      <c r="B98" s="4">
        <v>13711</v>
      </c>
      <c r="C98" s="4" t="s">
        <v>1983</v>
      </c>
      <c r="D98" s="4" t="s">
        <v>1984</v>
      </c>
      <c r="E98" s="4" t="s">
        <v>1552</v>
      </c>
      <c r="F98" s="4" t="s">
        <v>1985</v>
      </c>
      <c r="G98" s="4" t="s">
        <v>1986</v>
      </c>
      <c r="H98" s="4" t="s">
        <v>511</v>
      </c>
      <c r="I98" s="4" t="s">
        <v>1121</v>
      </c>
      <c r="J98" s="4" t="s">
        <v>31</v>
      </c>
      <c r="K98" s="4" t="s">
        <v>489</v>
      </c>
      <c r="L98" s="2" t="s">
        <v>517</v>
      </c>
      <c r="M98" s="2" t="s">
        <v>32</v>
      </c>
      <c r="N98" s="4" t="s">
        <v>643</v>
      </c>
      <c r="O98" s="4" t="s">
        <v>312</v>
      </c>
      <c r="P98" s="4" t="s">
        <v>35</v>
      </c>
      <c r="Q98" s="150">
        <v>466</v>
      </c>
      <c r="R98" s="150">
        <v>1</v>
      </c>
      <c r="S98" s="150">
        <v>5620</v>
      </c>
      <c r="U98" s="150">
        <v>26.189</v>
      </c>
      <c r="V98" s="166">
        <v>3.9999999999999998E-6</v>
      </c>
      <c r="W98" s="166">
        <v>6.9546673509625701E-3</v>
      </c>
      <c r="X98" s="166">
        <v>7.1340756114222101E-4</v>
      </c>
    </row>
    <row r="99" spans="1:24">
      <c r="A99" s="4" t="s">
        <v>26</v>
      </c>
      <c r="B99" s="4">
        <v>13711</v>
      </c>
      <c r="C99" s="4" t="s">
        <v>1987</v>
      </c>
      <c r="D99" s="4" t="s">
        <v>1988</v>
      </c>
      <c r="E99" s="4" t="s">
        <v>1552</v>
      </c>
      <c r="F99" s="4" t="s">
        <v>1989</v>
      </c>
      <c r="G99" s="4" t="s">
        <v>1990</v>
      </c>
      <c r="H99" s="4" t="s">
        <v>511</v>
      </c>
      <c r="I99" s="4" t="s">
        <v>1121</v>
      </c>
      <c r="J99" s="4" t="s">
        <v>31</v>
      </c>
      <c r="K99" s="4" t="s">
        <v>489</v>
      </c>
      <c r="L99" s="2" t="s">
        <v>517</v>
      </c>
      <c r="M99" s="2" t="s">
        <v>32</v>
      </c>
      <c r="N99" s="4" t="s">
        <v>647</v>
      </c>
      <c r="O99" s="4" t="s">
        <v>312</v>
      </c>
      <c r="P99" s="4" t="s">
        <v>35</v>
      </c>
      <c r="Q99" s="150">
        <v>1697</v>
      </c>
      <c r="R99" s="150">
        <v>1</v>
      </c>
      <c r="S99" s="150">
        <v>1708</v>
      </c>
      <c r="U99" s="150">
        <v>28.984999999999999</v>
      </c>
      <c r="V99" s="166">
        <v>1.7E-5</v>
      </c>
      <c r="W99" s="166">
        <v>7.6970416831169198E-3</v>
      </c>
      <c r="X99" s="166">
        <v>7.8956008361815604E-4</v>
      </c>
    </row>
    <row r="100" spans="1:24">
      <c r="A100" s="4" t="s">
        <v>26</v>
      </c>
      <c r="B100" s="4">
        <v>13711</v>
      </c>
      <c r="C100" s="4" t="s">
        <v>1991</v>
      </c>
      <c r="D100" s="4" t="s">
        <v>1992</v>
      </c>
      <c r="E100" s="4" t="s">
        <v>505</v>
      </c>
      <c r="F100" s="4" t="s">
        <v>1993</v>
      </c>
      <c r="G100" s="4" t="s">
        <v>1994</v>
      </c>
      <c r="H100" s="4" t="s">
        <v>511</v>
      </c>
      <c r="I100" s="4" t="s">
        <v>1121</v>
      </c>
      <c r="J100" s="4" t="s">
        <v>154</v>
      </c>
      <c r="K100" s="4" t="s">
        <v>155</v>
      </c>
      <c r="L100" s="2" t="s">
        <v>517</v>
      </c>
      <c r="M100" s="2" t="s">
        <v>156</v>
      </c>
      <c r="N100" s="4" t="s">
        <v>723</v>
      </c>
      <c r="O100" s="4" t="s">
        <v>312</v>
      </c>
      <c r="P100" s="4" t="s">
        <v>159</v>
      </c>
      <c r="Q100" s="150">
        <v>17</v>
      </c>
      <c r="R100" s="150">
        <v>3.7589999999999999</v>
      </c>
      <c r="S100" s="150">
        <v>14616</v>
      </c>
      <c r="U100" s="150">
        <v>9.34</v>
      </c>
      <c r="V100" s="166">
        <v>0</v>
      </c>
      <c r="W100" s="166">
        <v>2.4802982750754699E-3</v>
      </c>
      <c r="X100" s="166">
        <v>2.5442820684758502E-4</v>
      </c>
    </row>
    <row r="101" spans="1:24">
      <c r="A101" s="4" t="s">
        <v>26</v>
      </c>
      <c r="B101" s="4">
        <v>13711</v>
      </c>
      <c r="C101" s="4" t="s">
        <v>1995</v>
      </c>
      <c r="D101" s="4" t="s">
        <v>1996</v>
      </c>
      <c r="E101" s="4" t="s">
        <v>1552</v>
      </c>
      <c r="F101" s="4" t="s">
        <v>1997</v>
      </c>
      <c r="G101" s="4" t="s">
        <v>1998</v>
      </c>
      <c r="H101" s="4" t="s">
        <v>511</v>
      </c>
      <c r="I101" s="4" t="s">
        <v>1121</v>
      </c>
      <c r="J101" s="4" t="s">
        <v>31</v>
      </c>
      <c r="K101" s="4" t="s">
        <v>155</v>
      </c>
      <c r="L101" s="2" t="s">
        <v>517</v>
      </c>
      <c r="M101" s="2" t="s">
        <v>535</v>
      </c>
      <c r="N101" s="4" t="s">
        <v>1999</v>
      </c>
      <c r="O101" s="4" t="s">
        <v>312</v>
      </c>
      <c r="P101" s="4" t="s">
        <v>159</v>
      </c>
      <c r="Q101" s="150">
        <v>75</v>
      </c>
      <c r="R101" s="150">
        <v>3.7589999999999999</v>
      </c>
      <c r="S101" s="150">
        <v>1464</v>
      </c>
      <c r="U101" s="150">
        <v>4.1269999999999998</v>
      </c>
      <c r="V101" s="166">
        <v>1.9999999999999999E-6</v>
      </c>
      <c r="W101" s="166">
        <v>1.0960460357838601E-3</v>
      </c>
      <c r="X101" s="166">
        <v>1.1243205315635099E-4</v>
      </c>
    </row>
    <row r="102" spans="1:24">
      <c r="A102" s="4" t="s">
        <v>26</v>
      </c>
      <c r="B102" s="4">
        <v>13711</v>
      </c>
      <c r="C102" s="4" t="s">
        <v>2000</v>
      </c>
      <c r="D102" s="4" t="s">
        <v>2001</v>
      </c>
      <c r="E102" s="4" t="s">
        <v>505</v>
      </c>
      <c r="F102" s="4" t="s">
        <v>2000</v>
      </c>
      <c r="G102" s="4" t="s">
        <v>2002</v>
      </c>
      <c r="H102" s="4" t="s">
        <v>511</v>
      </c>
      <c r="I102" s="4" t="s">
        <v>1121</v>
      </c>
      <c r="J102" s="4" t="s">
        <v>154</v>
      </c>
      <c r="K102" s="4" t="s">
        <v>155</v>
      </c>
      <c r="L102" s="2" t="s">
        <v>517</v>
      </c>
      <c r="M102" s="2" t="s">
        <v>156</v>
      </c>
      <c r="N102" s="4" t="s">
        <v>723</v>
      </c>
      <c r="O102" s="4" t="s">
        <v>312</v>
      </c>
      <c r="P102" s="4" t="s">
        <v>159</v>
      </c>
      <c r="Q102" s="150">
        <v>67</v>
      </c>
      <c r="R102" s="150">
        <v>3.7589999999999999</v>
      </c>
      <c r="S102" s="150">
        <v>2798</v>
      </c>
      <c r="U102" s="150">
        <v>7.0469999999999997</v>
      </c>
      <c r="V102" s="166">
        <v>0</v>
      </c>
      <c r="W102" s="166">
        <v>1.8713239175251E-3</v>
      </c>
      <c r="X102" s="166">
        <v>1.9195981126601499E-4</v>
      </c>
    </row>
    <row r="103" spans="1:24">
      <c r="A103" s="4" t="s">
        <v>26</v>
      </c>
      <c r="B103" s="4">
        <v>13711</v>
      </c>
      <c r="C103" s="4" t="s">
        <v>2003</v>
      </c>
      <c r="D103" s="4" t="s">
        <v>2004</v>
      </c>
      <c r="E103" s="4" t="s">
        <v>1552</v>
      </c>
      <c r="F103" s="4" t="s">
        <v>2005</v>
      </c>
      <c r="G103" s="4" t="s">
        <v>2006</v>
      </c>
      <c r="H103" s="4" t="s">
        <v>511</v>
      </c>
      <c r="I103" s="4" t="s">
        <v>1121</v>
      </c>
      <c r="J103" s="4" t="s">
        <v>31</v>
      </c>
      <c r="K103" s="4" t="s">
        <v>31</v>
      </c>
      <c r="L103" s="2" t="s">
        <v>517</v>
      </c>
      <c r="M103" s="2" t="s">
        <v>535</v>
      </c>
      <c r="N103" s="4" t="s">
        <v>733</v>
      </c>
      <c r="O103" s="4" t="s">
        <v>312</v>
      </c>
      <c r="P103" s="4" t="s">
        <v>159</v>
      </c>
      <c r="Q103" s="150">
        <v>140</v>
      </c>
      <c r="R103" s="150">
        <v>3.7589999999999999</v>
      </c>
      <c r="S103" s="150">
        <v>935</v>
      </c>
      <c r="U103" s="150">
        <v>4.9210000000000003</v>
      </c>
      <c r="V103" s="166">
        <v>1.1E-5</v>
      </c>
      <c r="W103" s="166">
        <v>1.30667054721409E-3</v>
      </c>
      <c r="X103" s="166">
        <v>1.3403784843503001E-4</v>
      </c>
    </row>
    <row r="104" spans="1:24">
      <c r="A104" s="4" t="s">
        <v>26</v>
      </c>
      <c r="B104" s="4">
        <v>13711</v>
      </c>
      <c r="C104" s="4" t="s">
        <v>2007</v>
      </c>
      <c r="D104" s="4" t="s">
        <v>2008</v>
      </c>
      <c r="E104" s="4" t="s">
        <v>505</v>
      </c>
      <c r="F104" s="4" t="s">
        <v>2009</v>
      </c>
      <c r="G104" s="4" t="s">
        <v>2010</v>
      </c>
      <c r="H104" s="4" t="s">
        <v>511</v>
      </c>
      <c r="I104" s="4" t="s">
        <v>1121</v>
      </c>
      <c r="J104" s="4" t="s">
        <v>154</v>
      </c>
      <c r="K104" s="4" t="s">
        <v>155</v>
      </c>
      <c r="L104" s="2" t="s">
        <v>517</v>
      </c>
      <c r="M104" s="2" t="s">
        <v>535</v>
      </c>
      <c r="N104" s="4" t="s">
        <v>737</v>
      </c>
      <c r="O104" s="4" t="s">
        <v>312</v>
      </c>
      <c r="P104" s="4" t="s">
        <v>159</v>
      </c>
      <c r="Q104" s="150">
        <v>6</v>
      </c>
      <c r="R104" s="150">
        <v>3.7589999999999999</v>
      </c>
      <c r="S104" s="150">
        <v>25.26</v>
      </c>
      <c r="U104" s="150">
        <v>0.56999999999999995</v>
      </c>
      <c r="V104" s="166">
        <v>0</v>
      </c>
      <c r="W104" s="166">
        <v>1.5129028887377201E-4</v>
      </c>
      <c r="X104" s="166">
        <v>1.5519309632401199E-5</v>
      </c>
    </row>
    <row r="105" spans="1:24">
      <c r="A105" s="4" t="s">
        <v>256</v>
      </c>
      <c r="B105" s="4">
        <v>556</v>
      </c>
      <c r="C105" s="4" t="s">
        <v>1602</v>
      </c>
      <c r="D105" s="4" t="s">
        <v>1603</v>
      </c>
      <c r="E105" s="4" t="s">
        <v>1552</v>
      </c>
      <c r="F105" s="4" t="s">
        <v>1604</v>
      </c>
      <c r="G105" s="4" t="s">
        <v>1605</v>
      </c>
      <c r="H105" s="4" t="s">
        <v>511</v>
      </c>
      <c r="I105" s="4" t="s">
        <v>1121</v>
      </c>
      <c r="J105" s="4" t="s">
        <v>31</v>
      </c>
      <c r="K105" s="4" t="s">
        <v>31</v>
      </c>
      <c r="L105" s="2" t="s">
        <v>517</v>
      </c>
      <c r="M105" s="2" t="s">
        <v>32</v>
      </c>
      <c r="N105" s="4" t="s">
        <v>654</v>
      </c>
      <c r="O105" s="4" t="s">
        <v>312</v>
      </c>
      <c r="P105" s="4" t="s">
        <v>35</v>
      </c>
      <c r="Q105" s="150">
        <v>74000</v>
      </c>
      <c r="R105" s="150">
        <v>1</v>
      </c>
      <c r="S105" s="150">
        <v>128.1</v>
      </c>
      <c r="U105" s="150">
        <v>94.793999999999997</v>
      </c>
      <c r="V105" s="166">
        <v>2.4899999999999998E-4</v>
      </c>
      <c r="W105" s="166">
        <v>2.4816584017130698E-3</v>
      </c>
      <c r="X105" s="166">
        <v>2.97214279031606E-4</v>
      </c>
    </row>
    <row r="106" spans="1:24">
      <c r="A106" s="4" t="s">
        <v>256</v>
      </c>
      <c r="B106" s="4">
        <v>556</v>
      </c>
      <c r="C106" s="4" t="s">
        <v>1606</v>
      </c>
      <c r="D106" s="4" t="s">
        <v>1607</v>
      </c>
      <c r="E106" s="4" t="s">
        <v>1552</v>
      </c>
      <c r="F106" s="4" t="s">
        <v>1608</v>
      </c>
      <c r="G106" s="4" t="s">
        <v>1609</v>
      </c>
      <c r="H106" s="4" t="s">
        <v>511</v>
      </c>
      <c r="I106" s="4" t="s">
        <v>1121</v>
      </c>
      <c r="J106" s="4" t="s">
        <v>31</v>
      </c>
      <c r="K106" s="4" t="s">
        <v>31</v>
      </c>
      <c r="L106" s="2" t="s">
        <v>517</v>
      </c>
      <c r="M106" s="2" t="s">
        <v>32</v>
      </c>
      <c r="N106" s="4" t="s">
        <v>628</v>
      </c>
      <c r="O106" s="4" t="s">
        <v>312</v>
      </c>
      <c r="P106" s="4" t="s">
        <v>35</v>
      </c>
      <c r="Q106" s="150">
        <v>17763.259999999998</v>
      </c>
      <c r="R106" s="150">
        <v>1</v>
      </c>
      <c r="S106" s="150">
        <v>2633</v>
      </c>
      <c r="U106" s="150">
        <v>467.70699999999999</v>
      </c>
      <c r="V106" s="166">
        <v>7.8999999999999996E-5</v>
      </c>
      <c r="W106" s="166">
        <v>1.22443203395787E-2</v>
      </c>
      <c r="X106" s="166">
        <v>1.4664334299385501E-3</v>
      </c>
    </row>
    <row r="107" spans="1:24">
      <c r="A107" s="4" t="s">
        <v>256</v>
      </c>
      <c r="B107" s="4">
        <v>556</v>
      </c>
      <c r="C107" s="4" t="s">
        <v>1610</v>
      </c>
      <c r="D107" s="4" t="s">
        <v>1611</v>
      </c>
      <c r="E107" s="4" t="s">
        <v>1552</v>
      </c>
      <c r="F107" s="4" t="s">
        <v>1612</v>
      </c>
      <c r="G107" s="4" t="s">
        <v>1613</v>
      </c>
      <c r="H107" s="4" t="s">
        <v>511</v>
      </c>
      <c r="I107" s="4" t="s">
        <v>1121</v>
      </c>
      <c r="J107" s="4" t="s">
        <v>31</v>
      </c>
      <c r="K107" s="4" t="s">
        <v>31</v>
      </c>
      <c r="L107" s="2" t="s">
        <v>517</v>
      </c>
      <c r="M107" s="2" t="s">
        <v>32</v>
      </c>
      <c r="N107" s="4" t="s">
        <v>666</v>
      </c>
      <c r="O107" s="4" t="s">
        <v>312</v>
      </c>
      <c r="P107" s="4" t="s">
        <v>35</v>
      </c>
      <c r="Q107" s="150">
        <v>30830.61</v>
      </c>
      <c r="R107" s="150">
        <v>1</v>
      </c>
      <c r="S107" s="150">
        <v>369.3</v>
      </c>
      <c r="U107" s="150">
        <v>113.857</v>
      </c>
      <c r="V107" s="166">
        <v>5.5999999999999995E-4</v>
      </c>
      <c r="W107" s="166">
        <v>2.9807295751679399E-3</v>
      </c>
      <c r="X107" s="166">
        <v>3.5698522853112402E-4</v>
      </c>
    </row>
    <row r="108" spans="1:24">
      <c r="A108" s="4" t="s">
        <v>256</v>
      </c>
      <c r="B108" s="4">
        <v>556</v>
      </c>
      <c r="C108" s="4" t="s">
        <v>1614</v>
      </c>
      <c r="D108" s="4" t="s">
        <v>1615</v>
      </c>
      <c r="E108" s="4" t="s">
        <v>1552</v>
      </c>
      <c r="F108" s="4" t="s">
        <v>1616</v>
      </c>
      <c r="G108" s="4" t="s">
        <v>1617</v>
      </c>
      <c r="H108" s="4" t="s">
        <v>511</v>
      </c>
      <c r="I108" s="4" t="s">
        <v>1121</v>
      </c>
      <c r="J108" s="4" t="s">
        <v>31</v>
      </c>
      <c r="K108" s="4" t="s">
        <v>155</v>
      </c>
      <c r="L108" s="2" t="s">
        <v>517</v>
      </c>
      <c r="M108" s="2" t="s">
        <v>32</v>
      </c>
      <c r="N108" s="4" t="s">
        <v>634</v>
      </c>
      <c r="O108" s="4" t="s">
        <v>312</v>
      </c>
      <c r="P108" s="4" t="s">
        <v>35</v>
      </c>
      <c r="Q108" s="150">
        <v>1880</v>
      </c>
      <c r="R108" s="150">
        <v>1</v>
      </c>
      <c r="S108" s="150">
        <v>2219</v>
      </c>
      <c r="U108" s="150">
        <v>41.716999999999999</v>
      </c>
      <c r="V108" s="166">
        <v>9.8999999999999994E-5</v>
      </c>
      <c r="W108" s="166">
        <v>1.09213494394101E-3</v>
      </c>
      <c r="X108" s="166">
        <v>1.3079886407596801E-4</v>
      </c>
    </row>
    <row r="109" spans="1:24">
      <c r="A109" s="4" t="s">
        <v>256</v>
      </c>
      <c r="B109" s="4">
        <v>556</v>
      </c>
      <c r="C109" s="4" t="s">
        <v>1618</v>
      </c>
      <c r="D109" s="4" t="s">
        <v>1619</v>
      </c>
      <c r="E109" s="4" t="s">
        <v>1552</v>
      </c>
      <c r="F109" s="4" t="s">
        <v>1620</v>
      </c>
      <c r="G109" s="4" t="s">
        <v>1621</v>
      </c>
      <c r="H109" s="4" t="s">
        <v>511</v>
      </c>
      <c r="I109" s="4" t="s">
        <v>1121</v>
      </c>
      <c r="J109" s="4" t="s">
        <v>31</v>
      </c>
      <c r="K109" s="4" t="s">
        <v>31</v>
      </c>
      <c r="L109" s="2" t="s">
        <v>517</v>
      </c>
      <c r="M109" s="2" t="s">
        <v>32</v>
      </c>
      <c r="N109" s="4" t="s">
        <v>666</v>
      </c>
      <c r="O109" s="4" t="s">
        <v>312</v>
      </c>
      <c r="P109" s="4" t="s">
        <v>35</v>
      </c>
      <c r="Q109" s="150">
        <v>5640</v>
      </c>
      <c r="R109" s="150">
        <v>1</v>
      </c>
      <c r="S109" s="150">
        <v>1710</v>
      </c>
      <c r="U109" s="150">
        <v>96.444000000000003</v>
      </c>
      <c r="V109" s="166">
        <v>3.3399999999999999E-4</v>
      </c>
      <c r="W109" s="166">
        <v>2.52485455719577E-3</v>
      </c>
      <c r="X109" s="166">
        <v>3.0238763979707799E-4</v>
      </c>
    </row>
    <row r="110" spans="1:24">
      <c r="A110" s="4" t="s">
        <v>256</v>
      </c>
      <c r="B110" s="4">
        <v>556</v>
      </c>
      <c r="C110" s="4" t="s">
        <v>1622</v>
      </c>
      <c r="D110" s="4" t="s">
        <v>1623</v>
      </c>
      <c r="E110" s="4" t="s">
        <v>1552</v>
      </c>
      <c r="F110" s="4" t="s">
        <v>1624</v>
      </c>
      <c r="G110" s="4" t="s">
        <v>1625</v>
      </c>
      <c r="H110" s="4" t="s">
        <v>511</v>
      </c>
      <c r="I110" s="4" t="s">
        <v>1121</v>
      </c>
      <c r="J110" s="4" t="s">
        <v>31</v>
      </c>
      <c r="K110" s="4" t="s">
        <v>31</v>
      </c>
      <c r="L110" s="2" t="s">
        <v>517</v>
      </c>
      <c r="M110" s="2" t="s">
        <v>32</v>
      </c>
      <c r="N110" s="4" t="s">
        <v>635</v>
      </c>
      <c r="O110" s="4" t="s">
        <v>312</v>
      </c>
      <c r="P110" s="4" t="s">
        <v>35</v>
      </c>
      <c r="Q110" s="150">
        <v>9447</v>
      </c>
      <c r="R110" s="150">
        <v>1</v>
      </c>
      <c r="S110" s="150">
        <v>1549</v>
      </c>
      <c r="U110" s="150">
        <v>146.334</v>
      </c>
      <c r="V110" s="166">
        <v>4.5000000000000003E-5</v>
      </c>
      <c r="W110" s="166">
        <v>3.83095000744807E-3</v>
      </c>
      <c r="X110" s="166">
        <v>4.5881135118509001E-4</v>
      </c>
    </row>
    <row r="111" spans="1:24">
      <c r="A111" s="4" t="s">
        <v>256</v>
      </c>
      <c r="B111" s="4">
        <v>556</v>
      </c>
      <c r="C111" s="4" t="s">
        <v>1626</v>
      </c>
      <c r="D111" s="4" t="s">
        <v>1627</v>
      </c>
      <c r="E111" s="4" t="s">
        <v>1552</v>
      </c>
      <c r="F111" s="4" t="s">
        <v>1628</v>
      </c>
      <c r="G111" s="4" t="s">
        <v>1629</v>
      </c>
      <c r="H111" s="4" t="s">
        <v>511</v>
      </c>
      <c r="I111" s="4" t="s">
        <v>1121</v>
      </c>
      <c r="J111" s="4" t="s">
        <v>31</v>
      </c>
      <c r="K111" s="4" t="s">
        <v>31</v>
      </c>
      <c r="L111" s="2" t="s">
        <v>517</v>
      </c>
      <c r="M111" s="2" t="s">
        <v>32</v>
      </c>
      <c r="N111" s="4" t="s">
        <v>633</v>
      </c>
      <c r="O111" s="4" t="s">
        <v>312</v>
      </c>
      <c r="P111" s="4" t="s">
        <v>35</v>
      </c>
      <c r="Q111" s="150">
        <v>70</v>
      </c>
      <c r="R111" s="150">
        <v>1</v>
      </c>
      <c r="S111" s="150">
        <v>9863</v>
      </c>
      <c r="U111" s="150">
        <v>6.9039999999999999</v>
      </c>
      <c r="V111" s="166">
        <v>5.0000000000000004E-6</v>
      </c>
      <c r="W111" s="166">
        <v>1.80745804283681E-4</v>
      </c>
      <c r="X111" s="166">
        <v>2.1646909127815201E-5</v>
      </c>
    </row>
    <row r="112" spans="1:24">
      <c r="A112" s="4" t="s">
        <v>256</v>
      </c>
      <c r="B112" s="4">
        <v>556</v>
      </c>
      <c r="C112" s="4" t="s">
        <v>2011</v>
      </c>
      <c r="D112" s="4" t="s">
        <v>2012</v>
      </c>
      <c r="E112" s="4" t="s">
        <v>1552</v>
      </c>
      <c r="F112" s="4" t="s">
        <v>2013</v>
      </c>
      <c r="G112" s="4" t="s">
        <v>2014</v>
      </c>
      <c r="H112" s="4" t="s">
        <v>511</v>
      </c>
      <c r="I112" s="4" t="s">
        <v>1121</v>
      </c>
      <c r="J112" s="4" t="s">
        <v>31</v>
      </c>
      <c r="K112" s="4" t="s">
        <v>31</v>
      </c>
      <c r="L112" s="2" t="s">
        <v>517</v>
      </c>
      <c r="M112" s="2" t="s">
        <v>32</v>
      </c>
      <c r="N112" s="4" t="s">
        <v>662</v>
      </c>
      <c r="O112" s="4" t="s">
        <v>312</v>
      </c>
      <c r="P112" s="4" t="s">
        <v>35</v>
      </c>
      <c r="Q112" s="150">
        <v>8850</v>
      </c>
      <c r="R112" s="150">
        <v>1</v>
      </c>
      <c r="S112" s="150">
        <v>39</v>
      </c>
      <c r="U112" s="150">
        <v>3.4510000000000001</v>
      </c>
      <c r="V112" s="166">
        <v>2.4899999999999998E-4</v>
      </c>
      <c r="W112" s="166">
        <v>9.0358503423345997E-5</v>
      </c>
      <c r="X112" s="166">
        <v>1.08217301103191E-5</v>
      </c>
    </row>
    <row r="113" spans="1:24">
      <c r="A113" s="4" t="s">
        <v>256</v>
      </c>
      <c r="B113" s="4">
        <v>556</v>
      </c>
      <c r="C113" s="4" t="s">
        <v>1630</v>
      </c>
      <c r="D113" s="4" t="s">
        <v>1631</v>
      </c>
      <c r="E113" s="4" t="s">
        <v>1552</v>
      </c>
      <c r="F113" s="4" t="s">
        <v>1632</v>
      </c>
      <c r="G113" s="4" t="s">
        <v>1633</v>
      </c>
      <c r="H113" s="4" t="s">
        <v>511</v>
      </c>
      <c r="I113" s="4" t="s">
        <v>1121</v>
      </c>
      <c r="J113" s="4" t="s">
        <v>31</v>
      </c>
      <c r="K113" s="4" t="s">
        <v>31</v>
      </c>
      <c r="L113" s="2" t="s">
        <v>517</v>
      </c>
      <c r="M113" s="2" t="s">
        <v>32</v>
      </c>
      <c r="N113" s="4" t="s">
        <v>650</v>
      </c>
      <c r="O113" s="4" t="s">
        <v>312</v>
      </c>
      <c r="P113" s="4" t="s">
        <v>35</v>
      </c>
      <c r="Q113" s="150">
        <v>36.79</v>
      </c>
      <c r="R113" s="150">
        <v>1</v>
      </c>
      <c r="S113" s="150">
        <v>6381</v>
      </c>
      <c r="U113" s="150">
        <v>2.3479999999999999</v>
      </c>
      <c r="V113" s="166">
        <v>3.0000000000000001E-6</v>
      </c>
      <c r="W113" s="166">
        <v>6.14581784284207E-5</v>
      </c>
      <c r="X113" s="166">
        <v>7.36050061506846E-6</v>
      </c>
    </row>
    <row r="114" spans="1:24">
      <c r="A114" s="4" t="s">
        <v>256</v>
      </c>
      <c r="B114" s="4">
        <v>556</v>
      </c>
      <c r="C114" s="4" t="s">
        <v>1634</v>
      </c>
      <c r="D114" s="4" t="s">
        <v>1635</v>
      </c>
      <c r="E114" s="4" t="s">
        <v>1552</v>
      </c>
      <c r="F114" s="4" t="s">
        <v>1636</v>
      </c>
      <c r="G114" s="4" t="s">
        <v>1637</v>
      </c>
      <c r="H114" s="4" t="s">
        <v>511</v>
      </c>
      <c r="I114" s="4" t="s">
        <v>1121</v>
      </c>
      <c r="J114" s="4" t="s">
        <v>31</v>
      </c>
      <c r="K114" s="4" t="s">
        <v>31</v>
      </c>
      <c r="L114" s="2" t="s">
        <v>517</v>
      </c>
      <c r="M114" s="2" t="s">
        <v>32</v>
      </c>
      <c r="N114" s="4" t="s">
        <v>651</v>
      </c>
      <c r="O114" s="4" t="s">
        <v>312</v>
      </c>
      <c r="P114" s="4" t="s">
        <v>35</v>
      </c>
      <c r="Q114" s="150">
        <v>5000</v>
      </c>
      <c r="R114" s="150">
        <v>1</v>
      </c>
      <c r="S114" s="150">
        <v>990.44799999999998</v>
      </c>
      <c r="U114" s="150">
        <v>49.521999999999998</v>
      </c>
      <c r="V114" s="166">
        <v>0</v>
      </c>
      <c r="W114" s="166">
        <v>1.2964712859434499E-3</v>
      </c>
      <c r="X114" s="166">
        <v>1.5527107931972899E-4</v>
      </c>
    </row>
    <row r="115" spans="1:24">
      <c r="A115" s="4" t="s">
        <v>256</v>
      </c>
      <c r="B115" s="4">
        <v>556</v>
      </c>
      <c r="C115" s="4" t="s">
        <v>1638</v>
      </c>
      <c r="D115" s="4" t="s">
        <v>1639</v>
      </c>
      <c r="E115" s="4" t="s">
        <v>1552</v>
      </c>
      <c r="F115" s="4" t="s">
        <v>1640</v>
      </c>
      <c r="G115" s="4" t="s">
        <v>1641</v>
      </c>
      <c r="H115" s="4" t="s">
        <v>511</v>
      </c>
      <c r="I115" s="4" t="s">
        <v>1121</v>
      </c>
      <c r="J115" s="4" t="s">
        <v>31</v>
      </c>
      <c r="K115" s="4" t="s">
        <v>31</v>
      </c>
      <c r="L115" s="2" t="s">
        <v>517</v>
      </c>
      <c r="M115" s="2" t="s">
        <v>32</v>
      </c>
      <c r="N115" s="4" t="s">
        <v>649</v>
      </c>
      <c r="O115" s="4" t="s">
        <v>312</v>
      </c>
      <c r="P115" s="4" t="s">
        <v>35</v>
      </c>
      <c r="Q115" s="150">
        <v>180</v>
      </c>
      <c r="R115" s="150">
        <v>1</v>
      </c>
      <c r="S115" s="150">
        <v>6972</v>
      </c>
      <c r="U115" s="150">
        <v>12.55</v>
      </c>
      <c r="V115" s="166">
        <v>1.1E-5</v>
      </c>
      <c r="W115" s="166">
        <v>3.2854210475492498E-4</v>
      </c>
      <c r="X115" s="166">
        <v>3.9347641371131499E-5</v>
      </c>
    </row>
    <row r="116" spans="1:24">
      <c r="A116" s="4" t="s">
        <v>256</v>
      </c>
      <c r="B116" s="4">
        <v>556</v>
      </c>
      <c r="C116" s="4" t="s">
        <v>1642</v>
      </c>
      <c r="D116" s="4" t="s">
        <v>1643</v>
      </c>
      <c r="E116" s="4" t="s">
        <v>1552</v>
      </c>
      <c r="F116" s="4" t="s">
        <v>1644</v>
      </c>
      <c r="G116" s="4" t="s">
        <v>1645</v>
      </c>
      <c r="H116" s="4" t="s">
        <v>511</v>
      </c>
      <c r="I116" s="4" t="s">
        <v>1121</v>
      </c>
      <c r="J116" s="4" t="s">
        <v>31</v>
      </c>
      <c r="K116" s="4" t="s">
        <v>31</v>
      </c>
      <c r="L116" s="2" t="s">
        <v>517</v>
      </c>
      <c r="M116" s="2" t="s">
        <v>32</v>
      </c>
      <c r="N116" s="4" t="s">
        <v>634</v>
      </c>
      <c r="O116" s="4" t="s">
        <v>312</v>
      </c>
      <c r="P116" s="4" t="s">
        <v>35</v>
      </c>
      <c r="Q116" s="150">
        <v>733</v>
      </c>
      <c r="R116" s="150">
        <v>1</v>
      </c>
      <c r="S116" s="150">
        <v>66410</v>
      </c>
      <c r="T116" s="149">
        <v>1.3779999999999999</v>
      </c>
      <c r="U116" s="150">
        <v>488.16300000000001</v>
      </c>
      <c r="V116" s="166">
        <v>1.7E-5</v>
      </c>
      <c r="W116" s="166">
        <v>1.27798566987964E-2</v>
      </c>
      <c r="X116" s="166">
        <v>1.53057160979047E-3</v>
      </c>
    </row>
    <row r="117" spans="1:24">
      <c r="A117" s="4" t="s">
        <v>256</v>
      </c>
      <c r="B117" s="4">
        <v>556</v>
      </c>
      <c r="C117" s="4" t="s">
        <v>1646</v>
      </c>
      <c r="D117" s="4" t="s">
        <v>1647</v>
      </c>
      <c r="E117" s="4" t="s">
        <v>1552</v>
      </c>
      <c r="F117" s="4" t="s">
        <v>1648</v>
      </c>
      <c r="G117" s="4" t="s">
        <v>1649</v>
      </c>
      <c r="H117" s="4" t="s">
        <v>511</v>
      </c>
      <c r="I117" s="4" t="s">
        <v>1121</v>
      </c>
      <c r="J117" s="4" t="s">
        <v>31</v>
      </c>
      <c r="K117" s="4" t="s">
        <v>31</v>
      </c>
      <c r="L117" s="2" t="s">
        <v>517</v>
      </c>
      <c r="M117" s="2" t="s">
        <v>32</v>
      </c>
      <c r="N117" s="4" t="s">
        <v>629</v>
      </c>
      <c r="O117" s="4" t="s">
        <v>312</v>
      </c>
      <c r="P117" s="4" t="s">
        <v>35</v>
      </c>
      <c r="Q117" s="150">
        <v>7975</v>
      </c>
      <c r="R117" s="150">
        <v>1</v>
      </c>
      <c r="S117" s="150">
        <v>4400</v>
      </c>
      <c r="U117" s="150">
        <v>350.9</v>
      </c>
      <c r="V117" s="166">
        <v>6.2E-4</v>
      </c>
      <c r="W117" s="166">
        <v>9.1863823993197508E-3</v>
      </c>
      <c r="X117" s="166">
        <v>1.1002013894570401E-3</v>
      </c>
    </row>
    <row r="118" spans="1:24">
      <c r="A118" s="4" t="s">
        <v>256</v>
      </c>
      <c r="B118" s="4">
        <v>556</v>
      </c>
      <c r="C118" s="4" t="s">
        <v>1650</v>
      </c>
      <c r="D118" s="4" t="s">
        <v>1651</v>
      </c>
      <c r="E118" s="4" t="s">
        <v>1552</v>
      </c>
      <c r="F118" s="4" t="s">
        <v>1652</v>
      </c>
      <c r="G118" s="4" t="s">
        <v>1653</v>
      </c>
      <c r="H118" s="4" t="s">
        <v>511</v>
      </c>
      <c r="I118" s="4" t="s">
        <v>1121</v>
      </c>
      <c r="J118" s="4" t="s">
        <v>31</v>
      </c>
      <c r="K118" s="4" t="s">
        <v>31</v>
      </c>
      <c r="L118" s="2" t="s">
        <v>517</v>
      </c>
      <c r="M118" s="2" t="s">
        <v>32</v>
      </c>
      <c r="N118" s="4" t="s">
        <v>652</v>
      </c>
      <c r="O118" s="4" t="s">
        <v>312</v>
      </c>
      <c r="P118" s="4" t="s">
        <v>35</v>
      </c>
      <c r="Q118" s="150">
        <v>20560</v>
      </c>
      <c r="R118" s="150">
        <v>1</v>
      </c>
      <c r="S118" s="150">
        <v>2350</v>
      </c>
      <c r="U118" s="150">
        <v>483.16</v>
      </c>
      <c r="V118" s="166">
        <v>1.1400000000000001E-4</v>
      </c>
      <c r="W118" s="166">
        <v>1.2648881504859899E-2</v>
      </c>
      <c r="X118" s="166">
        <v>1.51488544693663E-3</v>
      </c>
    </row>
    <row r="119" spans="1:24">
      <c r="A119" s="4" t="s">
        <v>256</v>
      </c>
      <c r="B119" s="4">
        <v>556</v>
      </c>
      <c r="C119" s="4" t="s">
        <v>1654</v>
      </c>
      <c r="D119" s="4" t="s">
        <v>1655</v>
      </c>
      <c r="E119" s="4" t="s">
        <v>1552</v>
      </c>
      <c r="F119" s="4" t="s">
        <v>1656</v>
      </c>
      <c r="G119" s="4" t="s">
        <v>1657</v>
      </c>
      <c r="H119" s="4" t="s">
        <v>511</v>
      </c>
      <c r="I119" s="4" t="s">
        <v>1121</v>
      </c>
      <c r="J119" s="4" t="s">
        <v>31</v>
      </c>
      <c r="K119" s="4" t="s">
        <v>31</v>
      </c>
      <c r="L119" s="2" t="s">
        <v>517</v>
      </c>
      <c r="M119" s="2" t="s">
        <v>32</v>
      </c>
      <c r="N119" s="4" t="s">
        <v>667</v>
      </c>
      <c r="O119" s="4" t="s">
        <v>312</v>
      </c>
      <c r="P119" s="4" t="s">
        <v>35</v>
      </c>
      <c r="Q119" s="150">
        <v>18420</v>
      </c>
      <c r="R119" s="150">
        <v>1</v>
      </c>
      <c r="S119" s="150">
        <v>482.7</v>
      </c>
      <c r="U119" s="150">
        <v>88.912999999999997</v>
      </c>
      <c r="V119" s="166">
        <v>9.2999999999999997E-5</v>
      </c>
      <c r="W119" s="166">
        <v>2.3277057328034601E-3</v>
      </c>
      <c r="X119" s="166">
        <v>2.7877623314125403E-4</v>
      </c>
    </row>
    <row r="120" spans="1:24">
      <c r="A120" s="4" t="s">
        <v>256</v>
      </c>
      <c r="B120" s="4">
        <v>556</v>
      </c>
      <c r="C120" s="4" t="s">
        <v>1658</v>
      </c>
      <c r="D120" s="4" t="s">
        <v>1659</v>
      </c>
      <c r="E120" s="4" t="s">
        <v>1552</v>
      </c>
      <c r="F120" s="4" t="s">
        <v>1660</v>
      </c>
      <c r="G120" s="4" t="s">
        <v>1661</v>
      </c>
      <c r="H120" s="4" t="s">
        <v>511</v>
      </c>
      <c r="I120" s="4" t="s">
        <v>1121</v>
      </c>
      <c r="J120" s="4" t="s">
        <v>31</v>
      </c>
      <c r="K120" s="4" t="s">
        <v>31</v>
      </c>
      <c r="L120" s="2" t="s">
        <v>517</v>
      </c>
      <c r="M120" s="2" t="s">
        <v>32</v>
      </c>
      <c r="N120" s="4" t="s">
        <v>639</v>
      </c>
      <c r="O120" s="4" t="s">
        <v>312</v>
      </c>
      <c r="P120" s="4" t="s">
        <v>35</v>
      </c>
      <c r="Q120" s="150">
        <v>2955</v>
      </c>
      <c r="R120" s="150">
        <v>1</v>
      </c>
      <c r="S120" s="150">
        <v>10000</v>
      </c>
      <c r="U120" s="150">
        <v>295.5</v>
      </c>
      <c r="V120" s="166">
        <v>8.5000000000000006E-5</v>
      </c>
      <c r="W120" s="166">
        <v>7.7360387546280603E-3</v>
      </c>
      <c r="X120" s="166">
        <v>9.2650188254361603E-4</v>
      </c>
    </row>
    <row r="121" spans="1:24">
      <c r="A121" s="4" t="s">
        <v>256</v>
      </c>
      <c r="B121" s="4">
        <v>556</v>
      </c>
      <c r="C121" s="4" t="s">
        <v>1662</v>
      </c>
      <c r="D121" s="4" t="s">
        <v>1663</v>
      </c>
      <c r="E121" s="4" t="s">
        <v>1552</v>
      </c>
      <c r="F121" s="4" t="s">
        <v>1664</v>
      </c>
      <c r="G121" s="4" t="s">
        <v>1665</v>
      </c>
      <c r="H121" s="4" t="s">
        <v>511</v>
      </c>
      <c r="I121" s="4" t="s">
        <v>1121</v>
      </c>
      <c r="J121" s="4" t="s">
        <v>31</v>
      </c>
      <c r="K121" s="4" t="s">
        <v>31</v>
      </c>
      <c r="L121" s="2" t="s">
        <v>517</v>
      </c>
      <c r="M121" s="2" t="s">
        <v>32</v>
      </c>
      <c r="N121" s="4" t="s">
        <v>653</v>
      </c>
      <c r="O121" s="4" t="s">
        <v>312</v>
      </c>
      <c r="P121" s="4" t="s">
        <v>35</v>
      </c>
      <c r="Q121" s="150">
        <v>1619.68</v>
      </c>
      <c r="R121" s="150">
        <v>1</v>
      </c>
      <c r="S121" s="150">
        <v>3254</v>
      </c>
      <c r="U121" s="150">
        <v>52.704000000000001</v>
      </c>
      <c r="V121" s="166">
        <v>2.9E-5</v>
      </c>
      <c r="W121" s="166">
        <v>1.3797738812796E-3</v>
      </c>
      <c r="X121" s="166">
        <v>1.6524776297498401E-4</v>
      </c>
    </row>
    <row r="122" spans="1:24">
      <c r="A122" s="4" t="s">
        <v>256</v>
      </c>
      <c r="B122" s="4">
        <v>556</v>
      </c>
      <c r="C122" s="4" t="s">
        <v>2015</v>
      </c>
      <c r="D122" s="4" t="s">
        <v>2016</v>
      </c>
      <c r="E122" s="4" t="s">
        <v>1552</v>
      </c>
      <c r="F122" s="4" t="s">
        <v>2017</v>
      </c>
      <c r="G122" s="4" t="s">
        <v>2018</v>
      </c>
      <c r="H122" s="4" t="s">
        <v>511</v>
      </c>
      <c r="I122" s="4" t="s">
        <v>1121</v>
      </c>
      <c r="J122" s="4" t="s">
        <v>31</v>
      </c>
      <c r="K122" s="4" t="s">
        <v>31</v>
      </c>
      <c r="L122" s="2" t="s">
        <v>517</v>
      </c>
      <c r="M122" s="2" t="s">
        <v>32</v>
      </c>
      <c r="N122" s="4" t="s">
        <v>628</v>
      </c>
      <c r="O122" s="4" t="s">
        <v>312</v>
      </c>
      <c r="P122" s="4" t="s">
        <v>35</v>
      </c>
      <c r="Q122" s="150">
        <v>4463</v>
      </c>
      <c r="R122" s="150">
        <v>1</v>
      </c>
      <c r="S122" s="150">
        <v>1731</v>
      </c>
      <c r="U122" s="150">
        <v>77.254999999999995</v>
      </c>
      <c r="V122" s="166">
        <v>2.7799999999999998E-4</v>
      </c>
      <c r="W122" s="166">
        <v>2.0224840543166698E-3</v>
      </c>
      <c r="X122" s="166">
        <v>2.4222154815574401E-4</v>
      </c>
    </row>
    <row r="123" spans="1:24">
      <c r="A123" s="4" t="s">
        <v>256</v>
      </c>
      <c r="B123" s="4">
        <v>556</v>
      </c>
      <c r="C123" s="4" t="s">
        <v>1666</v>
      </c>
      <c r="D123" s="4" t="s">
        <v>1667</v>
      </c>
      <c r="E123" s="4" t="s">
        <v>1552</v>
      </c>
      <c r="F123" s="4" t="s">
        <v>1668</v>
      </c>
      <c r="G123" s="4" t="s">
        <v>1669</v>
      </c>
      <c r="H123" s="4" t="s">
        <v>511</v>
      </c>
      <c r="I123" s="4" t="s">
        <v>1121</v>
      </c>
      <c r="J123" s="4" t="s">
        <v>31</v>
      </c>
      <c r="K123" s="4" t="s">
        <v>31</v>
      </c>
      <c r="L123" s="2" t="s">
        <v>517</v>
      </c>
      <c r="M123" s="2" t="s">
        <v>32</v>
      </c>
      <c r="N123" s="4" t="s">
        <v>664</v>
      </c>
      <c r="O123" s="4" t="s">
        <v>312</v>
      </c>
      <c r="P123" s="4" t="s">
        <v>35</v>
      </c>
      <c r="Q123" s="150">
        <v>389</v>
      </c>
      <c r="R123" s="150">
        <v>1</v>
      </c>
      <c r="S123" s="150">
        <v>7427</v>
      </c>
      <c r="U123" s="150">
        <v>28.890999999999998</v>
      </c>
      <c r="V123" s="166">
        <v>1.8E-5</v>
      </c>
      <c r="W123" s="166">
        <v>7.5635237814254501E-4</v>
      </c>
      <c r="X123" s="166">
        <v>9.0584073379438605E-5</v>
      </c>
    </row>
    <row r="124" spans="1:24">
      <c r="A124" s="4" t="s">
        <v>256</v>
      </c>
      <c r="B124" s="4">
        <v>556</v>
      </c>
      <c r="C124" s="4" t="s">
        <v>1670</v>
      </c>
      <c r="D124" s="4" t="s">
        <v>1671</v>
      </c>
      <c r="E124" s="4" t="s">
        <v>1552</v>
      </c>
      <c r="F124" s="4" t="s">
        <v>1672</v>
      </c>
      <c r="G124" s="4" t="s">
        <v>1673</v>
      </c>
      <c r="H124" s="4" t="s">
        <v>511</v>
      </c>
      <c r="I124" s="4" t="s">
        <v>1121</v>
      </c>
      <c r="J124" s="4" t="s">
        <v>31</v>
      </c>
      <c r="K124" s="4" t="s">
        <v>31</v>
      </c>
      <c r="L124" s="2" t="s">
        <v>517</v>
      </c>
      <c r="M124" s="2" t="s">
        <v>32</v>
      </c>
      <c r="N124" s="4" t="s">
        <v>652</v>
      </c>
      <c r="O124" s="4" t="s">
        <v>312</v>
      </c>
      <c r="P124" s="4" t="s">
        <v>35</v>
      </c>
      <c r="Q124" s="150">
        <v>14527</v>
      </c>
      <c r="R124" s="150">
        <v>1</v>
      </c>
      <c r="S124" s="150">
        <v>1510</v>
      </c>
      <c r="U124" s="150">
        <v>219.358</v>
      </c>
      <c r="V124" s="166">
        <v>3.1000000000000001E-5</v>
      </c>
      <c r="W124" s="166">
        <v>5.7426723124401899E-3</v>
      </c>
      <c r="X124" s="166">
        <v>6.8776758714192204E-4</v>
      </c>
    </row>
    <row r="125" spans="1:24">
      <c r="A125" s="4" t="s">
        <v>256</v>
      </c>
      <c r="B125" s="4">
        <v>556</v>
      </c>
      <c r="C125" s="4" t="s">
        <v>1674</v>
      </c>
      <c r="D125" s="4" t="s">
        <v>1675</v>
      </c>
      <c r="E125" s="4" t="s">
        <v>1552</v>
      </c>
      <c r="F125" s="4" t="s">
        <v>1676</v>
      </c>
      <c r="G125" s="4" t="s">
        <v>1677</v>
      </c>
      <c r="H125" s="4" t="s">
        <v>511</v>
      </c>
      <c r="I125" s="4" t="s">
        <v>1121</v>
      </c>
      <c r="J125" s="4" t="s">
        <v>31</v>
      </c>
      <c r="K125" s="4" t="s">
        <v>155</v>
      </c>
      <c r="L125" s="2" t="s">
        <v>517</v>
      </c>
      <c r="M125" s="2" t="s">
        <v>32</v>
      </c>
      <c r="N125" s="4" t="s">
        <v>629</v>
      </c>
      <c r="O125" s="4" t="s">
        <v>312</v>
      </c>
      <c r="P125" s="4" t="s">
        <v>35</v>
      </c>
      <c r="Q125" s="150">
        <v>28778.799999999999</v>
      </c>
      <c r="R125" s="150">
        <v>1</v>
      </c>
      <c r="S125" s="150">
        <v>5985</v>
      </c>
      <c r="U125" s="150">
        <v>1722.4110000000001</v>
      </c>
      <c r="V125" s="166">
        <v>2.4399999999999999E-4</v>
      </c>
      <c r="W125" s="166">
        <v>4.5091843112976801E-2</v>
      </c>
      <c r="X125" s="166">
        <v>5.4003966185589601E-3</v>
      </c>
    </row>
    <row r="126" spans="1:24">
      <c r="A126" s="4" t="s">
        <v>256</v>
      </c>
      <c r="B126" s="4">
        <v>556</v>
      </c>
      <c r="C126" s="4" t="s">
        <v>1678</v>
      </c>
      <c r="D126" s="4" t="s">
        <v>1679</v>
      </c>
      <c r="E126" s="4" t="s">
        <v>505</v>
      </c>
      <c r="F126" s="4" t="s">
        <v>1680</v>
      </c>
      <c r="G126" s="4" t="s">
        <v>1681</v>
      </c>
      <c r="H126" s="4" t="s">
        <v>511</v>
      </c>
      <c r="I126" s="4" t="s">
        <v>1121</v>
      </c>
      <c r="J126" s="4" t="s">
        <v>154</v>
      </c>
      <c r="K126" s="4" t="s">
        <v>426</v>
      </c>
      <c r="L126" s="2" t="s">
        <v>517</v>
      </c>
      <c r="M126" s="2" t="s">
        <v>32</v>
      </c>
      <c r="N126" s="4" t="s">
        <v>642</v>
      </c>
      <c r="O126" s="4" t="s">
        <v>312</v>
      </c>
      <c r="P126" s="4" t="s">
        <v>35</v>
      </c>
      <c r="Q126" s="150">
        <v>1206</v>
      </c>
      <c r="R126" s="150">
        <v>1</v>
      </c>
      <c r="S126" s="150">
        <v>4611</v>
      </c>
      <c r="T126" s="149">
        <v>1.36</v>
      </c>
      <c r="U126" s="150">
        <v>56.969000000000001</v>
      </c>
      <c r="V126" s="166">
        <v>6.9999999999999999E-6</v>
      </c>
      <c r="W126" s="166">
        <v>1.49141052291936E-3</v>
      </c>
      <c r="X126" s="166">
        <v>1.7861785610930199E-4</v>
      </c>
    </row>
    <row r="127" spans="1:24">
      <c r="A127" s="4" t="s">
        <v>256</v>
      </c>
      <c r="B127" s="4">
        <v>556</v>
      </c>
      <c r="C127" s="4" t="s">
        <v>1682</v>
      </c>
      <c r="D127" s="4" t="s">
        <v>1683</v>
      </c>
      <c r="E127" s="4" t="s">
        <v>1552</v>
      </c>
      <c r="F127" s="4" t="s">
        <v>1684</v>
      </c>
      <c r="G127" s="4" t="s">
        <v>1685</v>
      </c>
      <c r="H127" s="4" t="s">
        <v>511</v>
      </c>
      <c r="I127" s="4" t="s">
        <v>1121</v>
      </c>
      <c r="J127" s="4" t="s">
        <v>31</v>
      </c>
      <c r="K127" s="4" t="s">
        <v>31</v>
      </c>
      <c r="L127" s="2" t="s">
        <v>517</v>
      </c>
      <c r="M127" s="2" t="s">
        <v>32</v>
      </c>
      <c r="N127" s="4" t="s">
        <v>639</v>
      </c>
      <c r="O127" s="4" t="s">
        <v>312</v>
      </c>
      <c r="P127" s="4" t="s">
        <v>35</v>
      </c>
      <c r="Q127" s="150">
        <v>1030.68</v>
      </c>
      <c r="R127" s="150">
        <v>1</v>
      </c>
      <c r="S127" s="150">
        <v>10800</v>
      </c>
      <c r="U127" s="150">
        <v>111.313</v>
      </c>
      <c r="V127" s="166">
        <v>2.8E-5</v>
      </c>
      <c r="W127" s="166">
        <v>2.91412888579007E-3</v>
      </c>
      <c r="X127" s="166">
        <v>3.4900883828225301E-4</v>
      </c>
    </row>
    <row r="128" spans="1:24">
      <c r="A128" s="4" t="s">
        <v>256</v>
      </c>
      <c r="B128" s="4">
        <v>556</v>
      </c>
      <c r="C128" s="4" t="s">
        <v>1686</v>
      </c>
      <c r="D128" s="4" t="s">
        <v>1687</v>
      </c>
      <c r="E128" s="4" t="s">
        <v>1552</v>
      </c>
      <c r="F128" s="4" t="s">
        <v>1688</v>
      </c>
      <c r="G128" s="4" t="s">
        <v>1689</v>
      </c>
      <c r="H128" s="4" t="s">
        <v>511</v>
      </c>
      <c r="I128" s="4" t="s">
        <v>1121</v>
      </c>
      <c r="J128" s="4" t="s">
        <v>31</v>
      </c>
      <c r="K128" s="4" t="s">
        <v>31</v>
      </c>
      <c r="L128" s="2" t="s">
        <v>517</v>
      </c>
      <c r="M128" s="2" t="s">
        <v>32</v>
      </c>
      <c r="N128" s="4" t="s">
        <v>629</v>
      </c>
      <c r="O128" s="4" t="s">
        <v>312</v>
      </c>
      <c r="P128" s="4" t="s">
        <v>35</v>
      </c>
      <c r="Q128" s="150">
        <v>2283</v>
      </c>
      <c r="R128" s="150">
        <v>1</v>
      </c>
      <c r="S128" s="150">
        <v>1526</v>
      </c>
      <c r="U128" s="150">
        <v>34.838999999999999</v>
      </c>
      <c r="V128" s="166">
        <v>5.0000000000000002E-5</v>
      </c>
      <c r="W128" s="166">
        <v>9.1205619301593999E-4</v>
      </c>
      <c r="X128" s="166">
        <v>1.09231844179852E-4</v>
      </c>
    </row>
    <row r="129" spans="1:24">
      <c r="A129" s="4" t="s">
        <v>256</v>
      </c>
      <c r="B129" s="4">
        <v>556</v>
      </c>
      <c r="C129" s="4" t="s">
        <v>1690</v>
      </c>
      <c r="D129" s="4" t="s">
        <v>1691</v>
      </c>
      <c r="E129" s="4" t="s">
        <v>1552</v>
      </c>
      <c r="F129" s="4" t="s">
        <v>1692</v>
      </c>
      <c r="G129" s="4" t="s">
        <v>1693</v>
      </c>
      <c r="H129" s="4" t="s">
        <v>511</v>
      </c>
      <c r="I129" s="4" t="s">
        <v>1121</v>
      </c>
      <c r="J129" s="4" t="s">
        <v>31</v>
      </c>
      <c r="K129" s="4" t="s">
        <v>489</v>
      </c>
      <c r="L129" s="2" t="s">
        <v>517</v>
      </c>
      <c r="M129" s="2" t="s">
        <v>32</v>
      </c>
      <c r="N129" s="4" t="s">
        <v>627</v>
      </c>
      <c r="O129" s="4" t="s">
        <v>312</v>
      </c>
      <c r="P129" s="4" t="s">
        <v>35</v>
      </c>
      <c r="Q129" s="150">
        <v>8436</v>
      </c>
      <c r="R129" s="150">
        <v>1</v>
      </c>
      <c r="S129" s="150">
        <v>4596</v>
      </c>
      <c r="U129" s="150">
        <v>387.71899999999999</v>
      </c>
      <c r="V129" s="166">
        <v>3.4099999999999999E-4</v>
      </c>
      <c r="W129" s="166">
        <v>1.0150273455325201E-2</v>
      </c>
      <c r="X129" s="166">
        <v>1.2156412038480499E-3</v>
      </c>
    </row>
    <row r="130" spans="1:24">
      <c r="A130" s="4" t="s">
        <v>256</v>
      </c>
      <c r="B130" s="4">
        <v>556</v>
      </c>
      <c r="C130" s="4" t="s">
        <v>1694</v>
      </c>
      <c r="D130" s="4" t="s">
        <v>1695</v>
      </c>
      <c r="E130" s="4" t="s">
        <v>1552</v>
      </c>
      <c r="F130" s="4" t="s">
        <v>1696</v>
      </c>
      <c r="G130" s="4" t="s">
        <v>1697</v>
      </c>
      <c r="H130" s="4" t="s">
        <v>511</v>
      </c>
      <c r="I130" s="4" t="s">
        <v>1121</v>
      </c>
      <c r="J130" s="4" t="s">
        <v>31</v>
      </c>
      <c r="K130" s="4" t="s">
        <v>31</v>
      </c>
      <c r="L130" s="2" t="s">
        <v>517</v>
      </c>
      <c r="M130" s="2" t="s">
        <v>32</v>
      </c>
      <c r="N130" s="4" t="s">
        <v>652</v>
      </c>
      <c r="O130" s="4" t="s">
        <v>312</v>
      </c>
      <c r="P130" s="4" t="s">
        <v>35</v>
      </c>
      <c r="Q130" s="150">
        <v>13000</v>
      </c>
      <c r="R130" s="150">
        <v>1</v>
      </c>
      <c r="S130" s="150">
        <v>210.4</v>
      </c>
      <c r="U130" s="150">
        <v>27.352</v>
      </c>
      <c r="V130" s="166">
        <v>4.1999999999999998E-5</v>
      </c>
      <c r="W130" s="166">
        <v>7.1606136046222305E-4</v>
      </c>
      <c r="X130" s="166">
        <v>8.5758644640720796E-5</v>
      </c>
    </row>
    <row r="131" spans="1:24">
      <c r="A131" s="4" t="s">
        <v>256</v>
      </c>
      <c r="B131" s="4">
        <v>556</v>
      </c>
      <c r="C131" s="4" t="s">
        <v>2019</v>
      </c>
      <c r="D131" s="4" t="s">
        <v>2020</v>
      </c>
      <c r="E131" s="4" t="s">
        <v>1552</v>
      </c>
      <c r="F131" s="4" t="s">
        <v>2021</v>
      </c>
      <c r="G131" s="4" t="s">
        <v>2022</v>
      </c>
      <c r="H131" s="4" t="s">
        <v>511</v>
      </c>
      <c r="I131" s="4" t="s">
        <v>1121</v>
      </c>
      <c r="J131" s="4" t="s">
        <v>31</v>
      </c>
      <c r="K131" s="4" t="s">
        <v>31</v>
      </c>
      <c r="L131" s="2" t="s">
        <v>517</v>
      </c>
      <c r="M131" s="2" t="s">
        <v>32</v>
      </c>
      <c r="N131" s="4" t="s">
        <v>666</v>
      </c>
      <c r="O131" s="4" t="s">
        <v>312</v>
      </c>
      <c r="P131" s="4" t="s">
        <v>35</v>
      </c>
      <c r="Q131" s="150">
        <v>5740</v>
      </c>
      <c r="R131" s="150">
        <v>1</v>
      </c>
      <c r="S131" s="150">
        <v>1977</v>
      </c>
      <c r="U131" s="150">
        <v>113.48</v>
      </c>
      <c r="V131" s="166">
        <v>1.175E-3</v>
      </c>
      <c r="W131" s="166">
        <v>2.9708430817849099E-3</v>
      </c>
      <c r="X131" s="166">
        <v>3.5580117878400398E-4</v>
      </c>
    </row>
    <row r="132" spans="1:24">
      <c r="A132" s="4" t="s">
        <v>256</v>
      </c>
      <c r="B132" s="4">
        <v>556</v>
      </c>
      <c r="C132" s="4" t="s">
        <v>1698</v>
      </c>
      <c r="D132" s="4" t="s">
        <v>1699</v>
      </c>
      <c r="E132" s="4" t="s">
        <v>1552</v>
      </c>
      <c r="F132" s="4" t="s">
        <v>1700</v>
      </c>
      <c r="G132" s="4" t="s">
        <v>1701</v>
      </c>
      <c r="H132" s="4" t="s">
        <v>511</v>
      </c>
      <c r="I132" s="4" t="s">
        <v>1121</v>
      </c>
      <c r="J132" s="4" t="s">
        <v>31</v>
      </c>
      <c r="K132" s="4" t="s">
        <v>31</v>
      </c>
      <c r="L132" s="2" t="s">
        <v>517</v>
      </c>
      <c r="M132" s="2" t="s">
        <v>32</v>
      </c>
      <c r="N132" s="4" t="s">
        <v>628</v>
      </c>
      <c r="O132" s="4" t="s">
        <v>312</v>
      </c>
      <c r="P132" s="4" t="s">
        <v>35</v>
      </c>
      <c r="Q132" s="150">
        <v>112895</v>
      </c>
      <c r="R132" s="150">
        <v>1</v>
      </c>
      <c r="S132" s="150">
        <v>86.7</v>
      </c>
      <c r="U132" s="150">
        <v>97.88</v>
      </c>
      <c r="V132" s="166">
        <v>3.4999999999999997E-5</v>
      </c>
      <c r="W132" s="166">
        <v>2.5624473859277102E-3</v>
      </c>
      <c r="X132" s="166">
        <v>3.0688992161016299E-4</v>
      </c>
    </row>
    <row r="133" spans="1:24">
      <c r="A133" s="4" t="s">
        <v>256</v>
      </c>
      <c r="B133" s="4">
        <v>556</v>
      </c>
      <c r="C133" s="4" t="s">
        <v>1702</v>
      </c>
      <c r="D133" s="4" t="s">
        <v>1703</v>
      </c>
      <c r="E133" s="4" t="s">
        <v>1552</v>
      </c>
      <c r="F133" s="4" t="s">
        <v>1704</v>
      </c>
      <c r="G133" s="4" t="s">
        <v>1705</v>
      </c>
      <c r="H133" s="4" t="s">
        <v>511</v>
      </c>
      <c r="I133" s="4" t="s">
        <v>1121</v>
      </c>
      <c r="J133" s="4" t="s">
        <v>31</v>
      </c>
      <c r="K133" s="4" t="s">
        <v>31</v>
      </c>
      <c r="L133" s="2" t="s">
        <v>517</v>
      </c>
      <c r="M133" s="2" t="s">
        <v>32</v>
      </c>
      <c r="N133" s="4" t="s">
        <v>673</v>
      </c>
      <c r="O133" s="4" t="s">
        <v>312</v>
      </c>
      <c r="P133" s="4" t="s">
        <v>35</v>
      </c>
      <c r="Q133" s="150">
        <v>198850</v>
      </c>
      <c r="R133" s="150">
        <v>1</v>
      </c>
      <c r="S133" s="150">
        <v>423.6</v>
      </c>
      <c r="U133" s="150">
        <v>842.32899999999995</v>
      </c>
      <c r="V133" s="166">
        <v>7.2000000000000002E-5</v>
      </c>
      <c r="W133" s="166">
        <v>2.2051731620073099E-2</v>
      </c>
      <c r="X133" s="166">
        <v>2.6410119581060198E-3</v>
      </c>
    </row>
    <row r="134" spans="1:24">
      <c r="A134" s="4" t="s">
        <v>256</v>
      </c>
      <c r="B134" s="4">
        <v>556</v>
      </c>
      <c r="C134" s="4" t="s">
        <v>1706</v>
      </c>
      <c r="D134" s="4" t="s">
        <v>1707</v>
      </c>
      <c r="E134" s="4" t="s">
        <v>1552</v>
      </c>
      <c r="F134" s="4" t="s">
        <v>1708</v>
      </c>
      <c r="G134" s="4" t="s">
        <v>1709</v>
      </c>
      <c r="H134" s="4" t="s">
        <v>511</v>
      </c>
      <c r="I134" s="4" t="s">
        <v>1121</v>
      </c>
      <c r="J134" s="4" t="s">
        <v>31</v>
      </c>
      <c r="K134" s="4" t="s">
        <v>31</v>
      </c>
      <c r="L134" s="2" t="s">
        <v>517</v>
      </c>
      <c r="M134" s="2" t="s">
        <v>32</v>
      </c>
      <c r="N134" s="4" t="s">
        <v>652</v>
      </c>
      <c r="O134" s="4" t="s">
        <v>312</v>
      </c>
      <c r="P134" s="4" t="s">
        <v>35</v>
      </c>
      <c r="Q134" s="150">
        <v>1444.55</v>
      </c>
      <c r="R134" s="150">
        <v>1</v>
      </c>
      <c r="S134" s="150">
        <v>35740</v>
      </c>
      <c r="U134" s="150">
        <v>516.28200000000004</v>
      </c>
      <c r="V134" s="166">
        <v>5.8999999999999998E-5</v>
      </c>
      <c r="W134" s="166">
        <v>1.3516002962583699E-2</v>
      </c>
      <c r="X134" s="166">
        <v>1.61873571041862E-3</v>
      </c>
    </row>
    <row r="135" spans="1:24">
      <c r="A135" s="4" t="s">
        <v>256</v>
      </c>
      <c r="B135" s="4">
        <v>556</v>
      </c>
      <c r="C135" s="4" t="s">
        <v>2023</v>
      </c>
      <c r="D135" s="4" t="s">
        <v>2024</v>
      </c>
      <c r="E135" s="4" t="s">
        <v>1552</v>
      </c>
      <c r="F135" s="4" t="s">
        <v>2025</v>
      </c>
      <c r="G135" s="4" t="s">
        <v>2026</v>
      </c>
      <c r="H135" s="4" t="s">
        <v>511</v>
      </c>
      <c r="I135" s="4" t="s">
        <v>1121</v>
      </c>
      <c r="J135" s="4" t="s">
        <v>31</v>
      </c>
      <c r="K135" s="4" t="s">
        <v>31</v>
      </c>
      <c r="L135" s="2" t="s">
        <v>517</v>
      </c>
      <c r="M135" s="2" t="s">
        <v>32</v>
      </c>
      <c r="N135" s="4" t="s">
        <v>651</v>
      </c>
      <c r="O135" s="4" t="s">
        <v>312</v>
      </c>
      <c r="P135" s="4" t="s">
        <v>35</v>
      </c>
      <c r="Q135" s="150">
        <v>100</v>
      </c>
      <c r="R135" s="150">
        <v>1</v>
      </c>
      <c r="S135" s="150">
        <v>21460</v>
      </c>
      <c r="U135" s="150">
        <v>21.46</v>
      </c>
      <c r="V135" s="166">
        <v>1.1E-5</v>
      </c>
      <c r="W135" s="166">
        <v>5.61811816156745E-4</v>
      </c>
      <c r="X135" s="166">
        <v>6.7285043652744495E-5</v>
      </c>
    </row>
    <row r="136" spans="1:24">
      <c r="A136" s="4" t="s">
        <v>256</v>
      </c>
      <c r="B136" s="4">
        <v>556</v>
      </c>
      <c r="C136" s="4" t="s">
        <v>1710</v>
      </c>
      <c r="D136" s="4" t="s">
        <v>1711</v>
      </c>
      <c r="E136" s="4" t="s">
        <v>1552</v>
      </c>
      <c r="F136" s="4" t="s">
        <v>1712</v>
      </c>
      <c r="G136" s="4" t="s">
        <v>1713</v>
      </c>
      <c r="H136" s="4" t="s">
        <v>511</v>
      </c>
      <c r="I136" s="4" t="s">
        <v>1121</v>
      </c>
      <c r="J136" s="4" t="s">
        <v>31</v>
      </c>
      <c r="K136" s="4" t="s">
        <v>31</v>
      </c>
      <c r="L136" s="2" t="s">
        <v>517</v>
      </c>
      <c r="M136" s="2" t="s">
        <v>32</v>
      </c>
      <c r="N136" s="4" t="s">
        <v>644</v>
      </c>
      <c r="O136" s="4" t="s">
        <v>312</v>
      </c>
      <c r="P136" s="4" t="s">
        <v>35</v>
      </c>
      <c r="Q136" s="150">
        <v>357</v>
      </c>
      <c r="R136" s="150">
        <v>1</v>
      </c>
      <c r="S136" s="150">
        <v>835.6</v>
      </c>
      <c r="U136" s="150">
        <v>2.9830000000000001</v>
      </c>
      <c r="V136" s="166">
        <v>1.0000000000000001E-5</v>
      </c>
      <c r="W136" s="166">
        <v>7.8095821727989598E-5</v>
      </c>
      <c r="X136" s="166">
        <v>9.35309764399594E-6</v>
      </c>
    </row>
    <row r="137" spans="1:24">
      <c r="A137" s="4" t="s">
        <v>256</v>
      </c>
      <c r="B137" s="4">
        <v>556</v>
      </c>
      <c r="C137" s="4" t="s">
        <v>1714</v>
      </c>
      <c r="D137" s="4" t="s">
        <v>1715</v>
      </c>
      <c r="E137" s="4" t="s">
        <v>1552</v>
      </c>
      <c r="F137" s="4" t="s">
        <v>1716</v>
      </c>
      <c r="G137" s="4" t="s">
        <v>1717</v>
      </c>
      <c r="H137" s="4" t="s">
        <v>511</v>
      </c>
      <c r="I137" s="4" t="s">
        <v>1121</v>
      </c>
      <c r="J137" s="4" t="s">
        <v>31</v>
      </c>
      <c r="K137" s="4" t="s">
        <v>489</v>
      </c>
      <c r="L137" s="2" t="s">
        <v>517</v>
      </c>
      <c r="M137" s="2" t="s">
        <v>32</v>
      </c>
      <c r="N137" s="4" t="s">
        <v>653</v>
      </c>
      <c r="O137" s="4" t="s">
        <v>312</v>
      </c>
      <c r="P137" s="4" t="s">
        <v>35</v>
      </c>
      <c r="Q137" s="150">
        <v>9838.41</v>
      </c>
      <c r="R137" s="150">
        <v>1</v>
      </c>
      <c r="S137" s="150">
        <v>881.8</v>
      </c>
      <c r="U137" s="150">
        <v>86.754999999999995</v>
      </c>
      <c r="V137" s="166">
        <v>5.5000000000000002E-5</v>
      </c>
      <c r="W137" s="166">
        <v>2.2712040980212801E-3</v>
      </c>
      <c r="X137" s="166">
        <v>2.7200934990128099E-4</v>
      </c>
    </row>
    <row r="138" spans="1:24">
      <c r="A138" s="4" t="s">
        <v>256</v>
      </c>
      <c r="B138" s="4">
        <v>556</v>
      </c>
      <c r="C138" s="4" t="s">
        <v>1718</v>
      </c>
      <c r="D138" s="4" t="s">
        <v>1719</v>
      </c>
      <c r="E138" s="4" t="s">
        <v>1552</v>
      </c>
      <c r="F138" s="4" t="s">
        <v>1720</v>
      </c>
      <c r="G138" s="4" t="s">
        <v>1721</v>
      </c>
      <c r="H138" s="4" t="s">
        <v>511</v>
      </c>
      <c r="I138" s="4" t="s">
        <v>1121</v>
      </c>
      <c r="J138" s="4" t="s">
        <v>31</v>
      </c>
      <c r="K138" s="4" t="s">
        <v>155</v>
      </c>
      <c r="L138" s="2" t="s">
        <v>517</v>
      </c>
      <c r="M138" s="2" t="s">
        <v>32</v>
      </c>
      <c r="N138" s="4" t="s">
        <v>657</v>
      </c>
      <c r="O138" s="4" t="s">
        <v>312</v>
      </c>
      <c r="P138" s="4" t="s">
        <v>35</v>
      </c>
      <c r="Q138" s="150">
        <v>2352</v>
      </c>
      <c r="R138" s="150">
        <v>1</v>
      </c>
      <c r="S138" s="150">
        <v>1681</v>
      </c>
      <c r="U138" s="150">
        <v>39.536999999999999</v>
      </c>
      <c r="V138" s="166">
        <v>4.1999999999999998E-5</v>
      </c>
      <c r="W138" s="166">
        <v>1.03506156536846E-3</v>
      </c>
      <c r="X138" s="166">
        <v>1.2396350629561E-4</v>
      </c>
    </row>
    <row r="139" spans="1:24">
      <c r="A139" s="4" t="s">
        <v>256</v>
      </c>
      <c r="B139" s="4">
        <v>556</v>
      </c>
      <c r="C139" s="4" t="s">
        <v>1722</v>
      </c>
      <c r="D139" s="4" t="s">
        <v>1723</v>
      </c>
      <c r="E139" s="4" t="s">
        <v>1552</v>
      </c>
      <c r="F139" s="4" t="s">
        <v>1724</v>
      </c>
      <c r="G139" s="4" t="s">
        <v>1725</v>
      </c>
      <c r="H139" s="4" t="s">
        <v>511</v>
      </c>
      <c r="I139" s="4" t="s">
        <v>1121</v>
      </c>
      <c r="J139" s="4" t="s">
        <v>31</v>
      </c>
      <c r="K139" s="4" t="s">
        <v>31</v>
      </c>
      <c r="L139" s="2" t="s">
        <v>517</v>
      </c>
      <c r="M139" s="2" t="s">
        <v>32</v>
      </c>
      <c r="N139" s="4" t="s">
        <v>669</v>
      </c>
      <c r="O139" s="4" t="s">
        <v>312</v>
      </c>
      <c r="P139" s="4" t="s">
        <v>35</v>
      </c>
      <c r="Q139" s="150">
        <v>1214</v>
      </c>
      <c r="R139" s="150">
        <v>1</v>
      </c>
      <c r="S139" s="150">
        <v>3905</v>
      </c>
      <c r="U139" s="150">
        <v>47.406999999999996</v>
      </c>
      <c r="V139" s="166">
        <v>1.03E-4</v>
      </c>
      <c r="W139" s="166">
        <v>1.2410831418918E-3</v>
      </c>
      <c r="X139" s="166">
        <v>1.4863755260636401E-4</v>
      </c>
    </row>
    <row r="140" spans="1:24">
      <c r="A140" s="4" t="s">
        <v>256</v>
      </c>
      <c r="B140" s="4">
        <v>556</v>
      </c>
      <c r="C140" s="4" t="s">
        <v>1726</v>
      </c>
      <c r="D140" s="4" t="s">
        <v>1727</v>
      </c>
      <c r="E140" s="4" t="s">
        <v>1552</v>
      </c>
      <c r="F140" s="4" t="s">
        <v>1728</v>
      </c>
      <c r="G140" s="4" t="s">
        <v>1729</v>
      </c>
      <c r="H140" s="4" t="s">
        <v>511</v>
      </c>
      <c r="I140" s="4" t="s">
        <v>1121</v>
      </c>
      <c r="J140" s="4" t="s">
        <v>31</v>
      </c>
      <c r="K140" s="4" t="s">
        <v>31</v>
      </c>
      <c r="L140" s="2" t="s">
        <v>517</v>
      </c>
      <c r="M140" s="2" t="s">
        <v>32</v>
      </c>
      <c r="N140" s="4" t="s">
        <v>650</v>
      </c>
      <c r="O140" s="4" t="s">
        <v>312</v>
      </c>
      <c r="P140" s="4" t="s">
        <v>35</v>
      </c>
      <c r="Q140" s="150">
        <v>190.47</v>
      </c>
      <c r="R140" s="150">
        <v>1</v>
      </c>
      <c r="S140" s="150">
        <v>39460</v>
      </c>
      <c r="U140" s="150">
        <v>75.159000000000006</v>
      </c>
      <c r="V140" s="166">
        <v>1.55E-4</v>
      </c>
      <c r="W140" s="166">
        <v>1.9676362463925401E-3</v>
      </c>
      <c r="X140" s="166">
        <v>2.35652734463504E-4</v>
      </c>
    </row>
    <row r="141" spans="1:24">
      <c r="A141" s="4" t="s">
        <v>256</v>
      </c>
      <c r="B141" s="4">
        <v>556</v>
      </c>
      <c r="C141" s="4" t="s">
        <v>1730</v>
      </c>
      <c r="D141" s="4" t="s">
        <v>1731</v>
      </c>
      <c r="E141" s="4" t="s">
        <v>1552</v>
      </c>
      <c r="F141" s="4" t="s">
        <v>1732</v>
      </c>
      <c r="G141" s="4" t="s">
        <v>1733</v>
      </c>
      <c r="H141" s="4" t="s">
        <v>511</v>
      </c>
      <c r="I141" s="4" t="s">
        <v>1121</v>
      </c>
      <c r="J141" s="4" t="s">
        <v>31</v>
      </c>
      <c r="K141" s="4" t="s">
        <v>31</v>
      </c>
      <c r="L141" s="2" t="s">
        <v>517</v>
      </c>
      <c r="M141" s="2" t="s">
        <v>32</v>
      </c>
      <c r="N141" s="4" t="s">
        <v>644</v>
      </c>
      <c r="O141" s="4" t="s">
        <v>312</v>
      </c>
      <c r="P141" s="4" t="s">
        <v>35</v>
      </c>
      <c r="Q141" s="150">
        <v>6935</v>
      </c>
      <c r="R141" s="150">
        <v>1</v>
      </c>
      <c r="S141" s="150">
        <v>947.8</v>
      </c>
      <c r="U141" s="150">
        <v>65.73</v>
      </c>
      <c r="V141" s="166">
        <v>4.57E-4</v>
      </c>
      <c r="W141" s="166">
        <v>1.7207759249373599E-3</v>
      </c>
      <c r="X141" s="166">
        <v>2.06087661199527E-4</v>
      </c>
    </row>
    <row r="142" spans="1:24">
      <c r="A142" s="4" t="s">
        <v>256</v>
      </c>
      <c r="B142" s="4">
        <v>556</v>
      </c>
      <c r="C142" s="4" t="s">
        <v>1734</v>
      </c>
      <c r="D142" s="4" t="s">
        <v>1735</v>
      </c>
      <c r="E142" s="4" t="s">
        <v>1552</v>
      </c>
      <c r="F142" s="4" t="s">
        <v>1736</v>
      </c>
      <c r="G142" s="4" t="s">
        <v>1737</v>
      </c>
      <c r="H142" s="4" t="s">
        <v>511</v>
      </c>
      <c r="I142" s="4" t="s">
        <v>1121</v>
      </c>
      <c r="J142" s="4" t="s">
        <v>31</v>
      </c>
      <c r="K142" s="4" t="s">
        <v>31</v>
      </c>
      <c r="L142" s="2" t="s">
        <v>517</v>
      </c>
      <c r="M142" s="2" t="s">
        <v>32</v>
      </c>
      <c r="N142" s="4" t="s">
        <v>659</v>
      </c>
      <c r="O142" s="4" t="s">
        <v>312</v>
      </c>
      <c r="P142" s="4" t="s">
        <v>35</v>
      </c>
      <c r="Q142" s="150">
        <v>15616</v>
      </c>
      <c r="R142" s="150">
        <v>1</v>
      </c>
      <c r="S142" s="150">
        <v>72.900000000000006</v>
      </c>
      <c r="U142" s="150">
        <v>11.384</v>
      </c>
      <c r="V142" s="166">
        <v>1.44E-4</v>
      </c>
      <c r="W142" s="166">
        <v>2.98028968829666E-4</v>
      </c>
      <c r="X142" s="166">
        <v>3.5693254575286001E-5</v>
      </c>
    </row>
    <row r="143" spans="1:24">
      <c r="A143" s="4" t="s">
        <v>256</v>
      </c>
      <c r="B143" s="4">
        <v>556</v>
      </c>
      <c r="C143" s="4" t="s">
        <v>1738</v>
      </c>
      <c r="D143" s="4" t="s">
        <v>1739</v>
      </c>
      <c r="E143" s="4" t="s">
        <v>1552</v>
      </c>
      <c r="F143" s="4" t="s">
        <v>1740</v>
      </c>
      <c r="G143" s="4" t="s">
        <v>1741</v>
      </c>
      <c r="H143" s="4" t="s">
        <v>511</v>
      </c>
      <c r="I143" s="4" t="s">
        <v>1121</v>
      </c>
      <c r="J143" s="4" t="s">
        <v>31</v>
      </c>
      <c r="K143" s="4" t="s">
        <v>31</v>
      </c>
      <c r="L143" s="2" t="s">
        <v>517</v>
      </c>
      <c r="M143" s="2" t="s">
        <v>32</v>
      </c>
      <c r="N143" s="4" t="s">
        <v>629</v>
      </c>
      <c r="O143" s="4" t="s">
        <v>312</v>
      </c>
      <c r="P143" s="4" t="s">
        <v>35</v>
      </c>
      <c r="Q143" s="150">
        <v>5010</v>
      </c>
      <c r="R143" s="150">
        <v>1</v>
      </c>
      <c r="S143" s="150">
        <v>995.7</v>
      </c>
      <c r="U143" s="150">
        <v>49.884999999999998</v>
      </c>
      <c r="V143" s="166">
        <v>2.8E-5</v>
      </c>
      <c r="W143" s="166">
        <v>1.3059525102468901E-3</v>
      </c>
      <c r="X143" s="166">
        <v>1.56406592266933E-4</v>
      </c>
    </row>
    <row r="144" spans="1:24">
      <c r="A144" s="4" t="s">
        <v>256</v>
      </c>
      <c r="B144" s="4">
        <v>556</v>
      </c>
      <c r="C144" s="4" t="s">
        <v>1742</v>
      </c>
      <c r="D144" s="4" t="s">
        <v>1743</v>
      </c>
      <c r="E144" s="4" t="s">
        <v>1552</v>
      </c>
      <c r="F144" s="4" t="s">
        <v>1744</v>
      </c>
      <c r="G144" s="4" t="s">
        <v>1745</v>
      </c>
      <c r="H144" s="4" t="s">
        <v>511</v>
      </c>
      <c r="I144" s="4" t="s">
        <v>1121</v>
      </c>
      <c r="J144" s="4" t="s">
        <v>31</v>
      </c>
      <c r="K144" s="4" t="s">
        <v>31</v>
      </c>
      <c r="L144" s="2" t="s">
        <v>517</v>
      </c>
      <c r="M144" s="2" t="s">
        <v>32</v>
      </c>
      <c r="N144" s="4" t="s">
        <v>636</v>
      </c>
      <c r="O144" s="4" t="s">
        <v>312</v>
      </c>
      <c r="P144" s="4" t="s">
        <v>35</v>
      </c>
      <c r="Q144" s="150">
        <v>54550</v>
      </c>
      <c r="R144" s="150">
        <v>1</v>
      </c>
      <c r="S144" s="150">
        <v>1909</v>
      </c>
      <c r="U144" s="150">
        <v>1041.3599999999999</v>
      </c>
      <c r="V144" s="166">
        <v>4.3999999999999999E-5</v>
      </c>
      <c r="W144" s="166">
        <v>2.72622587123523E-2</v>
      </c>
      <c r="X144" s="166">
        <v>3.26504750306152E-3</v>
      </c>
    </row>
    <row r="145" spans="1:24">
      <c r="A145" s="4" t="s">
        <v>256</v>
      </c>
      <c r="B145" s="4">
        <v>556</v>
      </c>
      <c r="C145" s="4" t="s">
        <v>1746</v>
      </c>
      <c r="D145" s="4" t="s">
        <v>1747</v>
      </c>
      <c r="E145" s="4" t="s">
        <v>1552</v>
      </c>
      <c r="F145" s="4" t="s">
        <v>1748</v>
      </c>
      <c r="G145" s="4" t="s">
        <v>1749</v>
      </c>
      <c r="H145" s="4" t="s">
        <v>511</v>
      </c>
      <c r="I145" s="4" t="s">
        <v>1121</v>
      </c>
      <c r="J145" s="4" t="s">
        <v>31</v>
      </c>
      <c r="K145" s="4" t="s">
        <v>31</v>
      </c>
      <c r="L145" s="2" t="s">
        <v>517</v>
      </c>
      <c r="M145" s="2" t="s">
        <v>32</v>
      </c>
      <c r="N145" s="4" t="s">
        <v>650</v>
      </c>
      <c r="O145" s="4" t="s">
        <v>312</v>
      </c>
      <c r="P145" s="4" t="s">
        <v>35</v>
      </c>
      <c r="Q145" s="150">
        <v>5012</v>
      </c>
      <c r="R145" s="150">
        <v>1</v>
      </c>
      <c r="S145" s="150">
        <v>3081</v>
      </c>
      <c r="U145" s="150">
        <v>154.41999999999999</v>
      </c>
      <c r="V145" s="166">
        <v>1.83E-4</v>
      </c>
      <c r="W145" s="166">
        <v>4.0426292331601204E-3</v>
      </c>
      <c r="X145" s="166">
        <v>4.8416298234131398E-4</v>
      </c>
    </row>
    <row r="146" spans="1:24">
      <c r="A146" s="4" t="s">
        <v>256</v>
      </c>
      <c r="B146" s="4">
        <v>556</v>
      </c>
      <c r="C146" s="4" t="s">
        <v>1750</v>
      </c>
      <c r="D146" s="4" t="s">
        <v>1751</v>
      </c>
      <c r="E146" s="4" t="s">
        <v>1552</v>
      </c>
      <c r="F146" s="4" t="s">
        <v>1752</v>
      </c>
      <c r="G146" s="4" t="s">
        <v>1753</v>
      </c>
      <c r="H146" s="4" t="s">
        <v>511</v>
      </c>
      <c r="I146" s="4" t="s">
        <v>1121</v>
      </c>
      <c r="J146" s="4" t="s">
        <v>31</v>
      </c>
      <c r="K146" s="4" t="s">
        <v>31</v>
      </c>
      <c r="L146" s="2" t="s">
        <v>517</v>
      </c>
      <c r="M146" s="2" t="s">
        <v>32</v>
      </c>
      <c r="N146" s="4" t="s">
        <v>650</v>
      </c>
      <c r="O146" s="4" t="s">
        <v>312</v>
      </c>
      <c r="P146" s="4" t="s">
        <v>35</v>
      </c>
      <c r="Q146" s="150">
        <v>3495</v>
      </c>
      <c r="R146" s="150">
        <v>1</v>
      </c>
      <c r="S146" s="150">
        <v>1897</v>
      </c>
      <c r="U146" s="150">
        <v>66.3</v>
      </c>
      <c r="V146" s="166">
        <v>3.6000000000000001E-5</v>
      </c>
      <c r="W146" s="166">
        <v>1.7357039926824201E-3</v>
      </c>
      <c r="X146" s="166">
        <v>2.0787551197267001E-4</v>
      </c>
    </row>
    <row r="147" spans="1:24">
      <c r="A147" s="4" t="s">
        <v>256</v>
      </c>
      <c r="B147" s="4">
        <v>556</v>
      </c>
      <c r="C147" s="4" t="s">
        <v>1754</v>
      </c>
      <c r="D147" s="4" t="s">
        <v>1755</v>
      </c>
      <c r="E147" s="4" t="s">
        <v>1552</v>
      </c>
      <c r="F147" s="4" t="s">
        <v>1756</v>
      </c>
      <c r="G147" s="4" t="s">
        <v>1757</v>
      </c>
      <c r="H147" s="4" t="s">
        <v>511</v>
      </c>
      <c r="I147" s="4" t="s">
        <v>1121</v>
      </c>
      <c r="J147" s="4" t="s">
        <v>31</v>
      </c>
      <c r="K147" s="4" t="s">
        <v>31</v>
      </c>
      <c r="L147" s="2" t="s">
        <v>517</v>
      </c>
      <c r="M147" s="2" t="s">
        <v>32</v>
      </c>
      <c r="N147" s="4" t="s">
        <v>635</v>
      </c>
      <c r="O147" s="4" t="s">
        <v>312</v>
      </c>
      <c r="P147" s="4" t="s">
        <v>35</v>
      </c>
      <c r="Q147" s="150">
        <v>958</v>
      </c>
      <c r="R147" s="150">
        <v>1</v>
      </c>
      <c r="S147" s="150">
        <v>27830</v>
      </c>
      <c r="U147" s="150">
        <v>266.61099999999999</v>
      </c>
      <c r="V147" s="166">
        <v>5.1E-5</v>
      </c>
      <c r="W147" s="166">
        <v>6.9797499926417799E-3</v>
      </c>
      <c r="X147" s="166">
        <v>8.3592542811366903E-4</v>
      </c>
    </row>
    <row r="148" spans="1:24">
      <c r="A148" s="4" t="s">
        <v>256</v>
      </c>
      <c r="B148" s="4">
        <v>556</v>
      </c>
      <c r="C148" s="4" t="s">
        <v>1758</v>
      </c>
      <c r="D148" s="4" t="s">
        <v>1759</v>
      </c>
      <c r="E148" s="4" t="s">
        <v>1552</v>
      </c>
      <c r="F148" s="4" t="s">
        <v>1760</v>
      </c>
      <c r="G148" s="4" t="s">
        <v>1761</v>
      </c>
      <c r="H148" s="4" t="s">
        <v>511</v>
      </c>
      <c r="I148" s="4" t="s">
        <v>1121</v>
      </c>
      <c r="J148" s="4" t="s">
        <v>31</v>
      </c>
      <c r="K148" s="4" t="s">
        <v>31</v>
      </c>
      <c r="L148" s="2" t="s">
        <v>517</v>
      </c>
      <c r="M148" s="2" t="s">
        <v>32</v>
      </c>
      <c r="N148" s="4" t="s">
        <v>666</v>
      </c>
      <c r="O148" s="4" t="s">
        <v>312</v>
      </c>
      <c r="P148" s="4" t="s">
        <v>35</v>
      </c>
      <c r="Q148" s="150">
        <v>395</v>
      </c>
      <c r="R148" s="150">
        <v>1</v>
      </c>
      <c r="S148" s="150">
        <v>30090</v>
      </c>
      <c r="U148" s="150">
        <v>118.85599999999999</v>
      </c>
      <c r="V148" s="166">
        <v>6.7999999999999999E-5</v>
      </c>
      <c r="W148" s="166">
        <v>3.11157615634753E-3</v>
      </c>
      <c r="X148" s="166">
        <v>3.7265598815791102E-4</v>
      </c>
    </row>
    <row r="149" spans="1:24">
      <c r="A149" s="4" t="s">
        <v>256</v>
      </c>
      <c r="B149" s="4">
        <v>556</v>
      </c>
      <c r="C149" s="4" t="s">
        <v>2027</v>
      </c>
      <c r="D149" s="4" t="s">
        <v>2028</v>
      </c>
      <c r="E149" s="4" t="s">
        <v>1552</v>
      </c>
      <c r="F149" s="4" t="s">
        <v>2029</v>
      </c>
      <c r="G149" s="4" t="s">
        <v>2030</v>
      </c>
      <c r="H149" s="4" t="s">
        <v>511</v>
      </c>
      <c r="I149" s="4" t="s">
        <v>1121</v>
      </c>
      <c r="J149" s="4" t="s">
        <v>31</v>
      </c>
      <c r="K149" s="4" t="s">
        <v>31</v>
      </c>
      <c r="L149" s="2" t="s">
        <v>517</v>
      </c>
      <c r="M149" s="2" t="s">
        <v>32</v>
      </c>
      <c r="N149" s="4" t="s">
        <v>662</v>
      </c>
      <c r="O149" s="4" t="s">
        <v>312</v>
      </c>
      <c r="P149" s="4" t="s">
        <v>35</v>
      </c>
      <c r="Q149" s="150">
        <v>3200</v>
      </c>
      <c r="R149" s="150">
        <v>1</v>
      </c>
      <c r="S149" s="150">
        <v>120.4</v>
      </c>
      <c r="U149" s="150">
        <v>3.8530000000000002</v>
      </c>
      <c r="V149" s="166">
        <v>1.74E-4</v>
      </c>
      <c r="W149" s="166">
        <v>1.0086433202650099E-4</v>
      </c>
      <c r="X149" s="166">
        <v>1.20799541558851E-5</v>
      </c>
    </row>
    <row r="150" spans="1:24">
      <c r="A150" s="4" t="s">
        <v>256</v>
      </c>
      <c r="B150" s="4">
        <v>556</v>
      </c>
      <c r="C150" s="4" t="s">
        <v>1762</v>
      </c>
      <c r="D150" s="4" t="s">
        <v>1763</v>
      </c>
      <c r="E150" s="4" t="s">
        <v>1552</v>
      </c>
      <c r="F150" s="4" t="s">
        <v>1764</v>
      </c>
      <c r="G150" s="4" t="s">
        <v>1765</v>
      </c>
      <c r="H150" s="4" t="s">
        <v>511</v>
      </c>
      <c r="I150" s="4" t="s">
        <v>1121</v>
      </c>
      <c r="J150" s="4" t="s">
        <v>31</v>
      </c>
      <c r="K150" s="4" t="s">
        <v>31</v>
      </c>
      <c r="L150" s="2" t="s">
        <v>517</v>
      </c>
      <c r="M150" s="2" t="s">
        <v>32</v>
      </c>
      <c r="N150" s="4" t="s">
        <v>633</v>
      </c>
      <c r="O150" s="4" t="s">
        <v>312</v>
      </c>
      <c r="P150" s="4" t="s">
        <v>35</v>
      </c>
      <c r="Q150" s="150">
        <v>12290</v>
      </c>
      <c r="R150" s="150">
        <v>1</v>
      </c>
      <c r="S150" s="150">
        <v>3419</v>
      </c>
      <c r="U150" s="150">
        <v>420.19499999999999</v>
      </c>
      <c r="V150" s="166">
        <v>4.6999999999999997E-5</v>
      </c>
      <c r="W150" s="166">
        <v>1.1000492650100901E-2</v>
      </c>
      <c r="X150" s="166">
        <v>1.3174671782930701E-3</v>
      </c>
    </row>
    <row r="151" spans="1:24">
      <c r="A151" s="4" t="s">
        <v>256</v>
      </c>
      <c r="B151" s="4">
        <v>556</v>
      </c>
      <c r="C151" s="4" t="s">
        <v>1766</v>
      </c>
      <c r="D151" s="4" t="s">
        <v>1767</v>
      </c>
      <c r="E151" s="4" t="s">
        <v>1552</v>
      </c>
      <c r="F151" s="4" t="s">
        <v>1768</v>
      </c>
      <c r="G151" s="4" t="s">
        <v>1769</v>
      </c>
      <c r="H151" s="4" t="s">
        <v>511</v>
      </c>
      <c r="I151" s="4" t="s">
        <v>1121</v>
      </c>
      <c r="J151" s="4" t="s">
        <v>31</v>
      </c>
      <c r="K151" s="4" t="s">
        <v>31</v>
      </c>
      <c r="L151" s="2" t="s">
        <v>517</v>
      </c>
      <c r="M151" s="2" t="s">
        <v>32</v>
      </c>
      <c r="N151" s="4" t="s">
        <v>633</v>
      </c>
      <c r="O151" s="4" t="s">
        <v>312</v>
      </c>
      <c r="P151" s="4" t="s">
        <v>35</v>
      </c>
      <c r="Q151" s="150">
        <v>16351</v>
      </c>
      <c r="R151" s="150">
        <v>1</v>
      </c>
      <c r="S151" s="150">
        <v>2997</v>
      </c>
      <c r="U151" s="150">
        <v>490.03899999999999</v>
      </c>
      <c r="V151" s="166">
        <v>7.7999999999999999E-5</v>
      </c>
      <c r="W151" s="166">
        <v>1.28289825083499E-2</v>
      </c>
      <c r="X151" s="166">
        <v>1.5364551318973799E-3</v>
      </c>
    </row>
    <row r="152" spans="1:24">
      <c r="A152" s="4" t="s">
        <v>256</v>
      </c>
      <c r="B152" s="4">
        <v>556</v>
      </c>
      <c r="C152" s="4" t="s">
        <v>1770</v>
      </c>
      <c r="D152" s="4" t="s">
        <v>1771</v>
      </c>
      <c r="E152" s="4" t="s">
        <v>1552</v>
      </c>
      <c r="F152" s="4" t="s">
        <v>1772</v>
      </c>
      <c r="G152" s="4" t="s">
        <v>1773</v>
      </c>
      <c r="H152" s="4" t="s">
        <v>511</v>
      </c>
      <c r="I152" s="4" t="s">
        <v>1121</v>
      </c>
      <c r="J152" s="4" t="s">
        <v>31</v>
      </c>
      <c r="K152" s="4" t="s">
        <v>31</v>
      </c>
      <c r="L152" s="2" t="s">
        <v>517</v>
      </c>
      <c r="M152" s="2" t="s">
        <v>32</v>
      </c>
      <c r="N152" s="4" t="s">
        <v>665</v>
      </c>
      <c r="O152" s="4" t="s">
        <v>312</v>
      </c>
      <c r="P152" s="4" t="s">
        <v>35</v>
      </c>
      <c r="Q152" s="150">
        <v>5502</v>
      </c>
      <c r="R152" s="150">
        <v>1</v>
      </c>
      <c r="S152" s="150">
        <v>4545</v>
      </c>
      <c r="U152" s="150">
        <v>250.066</v>
      </c>
      <c r="V152" s="166">
        <v>7.7000000000000001E-5</v>
      </c>
      <c r="W152" s="166">
        <v>6.5465972711030301E-3</v>
      </c>
      <c r="X152" s="166">
        <v>7.8404916111662795E-4</v>
      </c>
    </row>
    <row r="153" spans="1:24">
      <c r="A153" s="4" t="s">
        <v>256</v>
      </c>
      <c r="B153" s="4">
        <v>556</v>
      </c>
      <c r="C153" s="4" t="s">
        <v>2031</v>
      </c>
      <c r="D153" s="4" t="s">
        <v>2032</v>
      </c>
      <c r="E153" s="4" t="s">
        <v>1552</v>
      </c>
      <c r="F153" s="4" t="s">
        <v>2033</v>
      </c>
      <c r="G153" s="4" t="s">
        <v>2034</v>
      </c>
      <c r="H153" s="4" t="s">
        <v>511</v>
      </c>
      <c r="I153" s="4" t="s">
        <v>1121</v>
      </c>
      <c r="J153" s="4" t="s">
        <v>31</v>
      </c>
      <c r="K153" s="4" t="s">
        <v>31</v>
      </c>
      <c r="L153" s="2" t="s">
        <v>517</v>
      </c>
      <c r="M153" s="2" t="s">
        <v>32</v>
      </c>
      <c r="N153" s="4" t="s">
        <v>652</v>
      </c>
      <c r="O153" s="4" t="s">
        <v>312</v>
      </c>
      <c r="P153" s="4" t="s">
        <v>35</v>
      </c>
      <c r="Q153" s="150">
        <v>900</v>
      </c>
      <c r="R153" s="150">
        <v>1</v>
      </c>
      <c r="S153" s="150">
        <v>13690</v>
      </c>
      <c r="U153" s="150">
        <v>123.21</v>
      </c>
      <c r="V153" s="166">
        <v>5.1E-5</v>
      </c>
      <c r="W153" s="166">
        <v>3.2255747375895898E-3</v>
      </c>
      <c r="X153" s="166">
        <v>3.8630895752351602E-4</v>
      </c>
    </row>
    <row r="154" spans="1:24">
      <c r="A154" s="4" t="s">
        <v>256</v>
      </c>
      <c r="B154" s="4">
        <v>556</v>
      </c>
      <c r="C154" s="4" t="s">
        <v>1774</v>
      </c>
      <c r="D154" s="4" t="s">
        <v>1775</v>
      </c>
      <c r="E154" s="4" t="s">
        <v>1552</v>
      </c>
      <c r="F154" s="4" t="s">
        <v>1776</v>
      </c>
      <c r="G154" s="4" t="s">
        <v>1777</v>
      </c>
      <c r="H154" s="4" t="s">
        <v>511</v>
      </c>
      <c r="I154" s="4" t="s">
        <v>1121</v>
      </c>
      <c r="J154" s="4" t="s">
        <v>31</v>
      </c>
      <c r="K154" s="4" t="s">
        <v>31</v>
      </c>
      <c r="L154" s="2" t="s">
        <v>517</v>
      </c>
      <c r="M154" s="2" t="s">
        <v>32</v>
      </c>
      <c r="N154" s="4" t="s">
        <v>664</v>
      </c>
      <c r="O154" s="4" t="s">
        <v>312</v>
      </c>
      <c r="P154" s="4" t="s">
        <v>35</v>
      </c>
      <c r="Q154" s="150">
        <v>1420</v>
      </c>
      <c r="R154" s="150">
        <v>1</v>
      </c>
      <c r="S154" s="150">
        <v>3744</v>
      </c>
      <c r="U154" s="150">
        <v>53.164999999999999</v>
      </c>
      <c r="V154" s="166">
        <v>9.7999999999999997E-5</v>
      </c>
      <c r="W154" s="166">
        <v>1.3918272527311301E-3</v>
      </c>
      <c r="X154" s="166">
        <v>1.6669132752979599E-4</v>
      </c>
    </row>
    <row r="155" spans="1:24">
      <c r="A155" s="4" t="s">
        <v>256</v>
      </c>
      <c r="B155" s="4">
        <v>556</v>
      </c>
      <c r="C155" s="4" t="s">
        <v>1778</v>
      </c>
      <c r="D155" s="4" t="s">
        <v>1779</v>
      </c>
      <c r="E155" s="4" t="s">
        <v>1552</v>
      </c>
      <c r="F155" s="4" t="s">
        <v>1780</v>
      </c>
      <c r="G155" s="4" t="s">
        <v>1781</v>
      </c>
      <c r="H155" s="4" t="s">
        <v>511</v>
      </c>
      <c r="I155" s="4" t="s">
        <v>1121</v>
      </c>
      <c r="J155" s="4" t="s">
        <v>31</v>
      </c>
      <c r="K155" s="4" t="s">
        <v>31</v>
      </c>
      <c r="L155" s="2" t="s">
        <v>517</v>
      </c>
      <c r="M155" s="2" t="s">
        <v>32</v>
      </c>
      <c r="N155" s="4" t="s">
        <v>639</v>
      </c>
      <c r="O155" s="4" t="s">
        <v>312</v>
      </c>
      <c r="P155" s="4" t="s">
        <v>35</v>
      </c>
      <c r="Q155" s="150">
        <v>1173</v>
      </c>
      <c r="R155" s="150">
        <v>1</v>
      </c>
      <c r="S155" s="150">
        <v>83740</v>
      </c>
      <c r="U155" s="150">
        <v>982.27</v>
      </c>
      <c r="V155" s="166">
        <v>1.5300000000000001E-4</v>
      </c>
      <c r="W155" s="166">
        <v>2.57153310819501E-2</v>
      </c>
      <c r="X155" s="166">
        <v>3.0797806750135202E-3</v>
      </c>
    </row>
    <row r="156" spans="1:24">
      <c r="A156" s="4" t="s">
        <v>256</v>
      </c>
      <c r="B156" s="4">
        <v>556</v>
      </c>
      <c r="C156" s="4" t="s">
        <v>1782</v>
      </c>
      <c r="D156" s="4" t="s">
        <v>1783</v>
      </c>
      <c r="E156" s="4" t="s">
        <v>1552</v>
      </c>
      <c r="F156" s="4" t="s">
        <v>1784</v>
      </c>
      <c r="G156" s="4" t="s">
        <v>1785</v>
      </c>
      <c r="H156" s="4" t="s">
        <v>511</v>
      </c>
      <c r="I156" s="4" t="s">
        <v>1121</v>
      </c>
      <c r="J156" s="4" t="s">
        <v>31</v>
      </c>
      <c r="K156" s="4" t="s">
        <v>489</v>
      </c>
      <c r="L156" s="2" t="s">
        <v>517</v>
      </c>
      <c r="M156" s="2" t="s">
        <v>32</v>
      </c>
      <c r="N156" s="4" t="s">
        <v>646</v>
      </c>
      <c r="O156" s="4" t="s">
        <v>312</v>
      </c>
      <c r="P156" s="4" t="s">
        <v>35</v>
      </c>
      <c r="Q156" s="150">
        <v>4235</v>
      </c>
      <c r="R156" s="150">
        <v>1</v>
      </c>
      <c r="S156" s="150">
        <v>14820</v>
      </c>
      <c r="U156" s="150">
        <v>627.62699999999995</v>
      </c>
      <c r="V156" s="166">
        <v>3.8000000000000002E-5</v>
      </c>
      <c r="W156" s="166">
        <v>1.6430953622507401E-2</v>
      </c>
      <c r="X156" s="166">
        <v>1.96784296797023E-3</v>
      </c>
    </row>
    <row r="157" spans="1:24">
      <c r="A157" s="4" t="s">
        <v>256</v>
      </c>
      <c r="B157" s="4">
        <v>556</v>
      </c>
      <c r="C157" s="4" t="s">
        <v>1786</v>
      </c>
      <c r="D157" s="4" t="s">
        <v>1787</v>
      </c>
      <c r="E157" s="4" t="s">
        <v>1552</v>
      </c>
      <c r="F157" s="4" t="s">
        <v>1788</v>
      </c>
      <c r="G157" s="4" t="s">
        <v>1789</v>
      </c>
      <c r="H157" s="4" t="s">
        <v>511</v>
      </c>
      <c r="I157" s="4" t="s">
        <v>1121</v>
      </c>
      <c r="J157" s="4" t="s">
        <v>31</v>
      </c>
      <c r="K157" s="4" t="s">
        <v>155</v>
      </c>
      <c r="L157" s="2" t="s">
        <v>517</v>
      </c>
      <c r="M157" s="2" t="s">
        <v>32</v>
      </c>
      <c r="N157" s="4" t="s">
        <v>655</v>
      </c>
      <c r="O157" s="4" t="s">
        <v>312</v>
      </c>
      <c r="P157" s="4" t="s">
        <v>35</v>
      </c>
      <c r="Q157" s="150">
        <v>11760</v>
      </c>
      <c r="R157" s="150">
        <v>1</v>
      </c>
      <c r="S157" s="150">
        <v>6120</v>
      </c>
      <c r="U157" s="150">
        <v>719.71199999999999</v>
      </c>
      <c r="V157" s="166">
        <v>1.0000000000000001E-5</v>
      </c>
      <c r="W157" s="166">
        <v>1.8841691790764399E-2</v>
      </c>
      <c r="X157" s="166">
        <v>2.2565635292359802E-3</v>
      </c>
    </row>
    <row r="158" spans="1:24">
      <c r="A158" s="4" t="s">
        <v>256</v>
      </c>
      <c r="B158" s="4">
        <v>556</v>
      </c>
      <c r="C158" s="4" t="s">
        <v>1790</v>
      </c>
      <c r="D158" s="4" t="s">
        <v>1791</v>
      </c>
      <c r="E158" s="4" t="s">
        <v>1552</v>
      </c>
      <c r="F158" s="4" t="s">
        <v>1792</v>
      </c>
      <c r="G158" s="4" t="s">
        <v>1793</v>
      </c>
      <c r="H158" s="4" t="s">
        <v>511</v>
      </c>
      <c r="I158" s="4" t="s">
        <v>1121</v>
      </c>
      <c r="J158" s="4" t="s">
        <v>31</v>
      </c>
      <c r="K158" s="4" t="s">
        <v>31</v>
      </c>
      <c r="L158" s="2" t="s">
        <v>517</v>
      </c>
      <c r="M158" s="2" t="s">
        <v>32</v>
      </c>
      <c r="N158" s="4" t="s">
        <v>667</v>
      </c>
      <c r="O158" s="4" t="s">
        <v>312</v>
      </c>
      <c r="P158" s="4" t="s">
        <v>35</v>
      </c>
      <c r="Q158" s="150">
        <v>36590</v>
      </c>
      <c r="R158" s="150">
        <v>1</v>
      </c>
      <c r="S158" s="150">
        <v>1257</v>
      </c>
      <c r="U158" s="150">
        <v>459.93599999999998</v>
      </c>
      <c r="V158" s="166">
        <v>1.83E-4</v>
      </c>
      <c r="W158" s="166">
        <v>1.2040896925415399E-2</v>
      </c>
      <c r="X158" s="166">
        <v>1.4420705509311199E-3</v>
      </c>
    </row>
    <row r="159" spans="1:24">
      <c r="A159" s="4" t="s">
        <v>256</v>
      </c>
      <c r="B159" s="4">
        <v>556</v>
      </c>
      <c r="C159" s="4" t="s">
        <v>1794</v>
      </c>
      <c r="D159" s="4" t="s">
        <v>1795</v>
      </c>
      <c r="E159" s="4" t="s">
        <v>1552</v>
      </c>
      <c r="F159" s="4" t="s">
        <v>1796</v>
      </c>
      <c r="G159" s="4" t="s">
        <v>1797</v>
      </c>
      <c r="H159" s="4" t="s">
        <v>511</v>
      </c>
      <c r="I159" s="4" t="s">
        <v>1121</v>
      </c>
      <c r="J159" s="4" t="s">
        <v>31</v>
      </c>
      <c r="K159" s="4" t="s">
        <v>31</v>
      </c>
      <c r="L159" s="2" t="s">
        <v>517</v>
      </c>
      <c r="M159" s="2" t="s">
        <v>32</v>
      </c>
      <c r="N159" s="4" t="s">
        <v>642</v>
      </c>
      <c r="O159" s="4" t="s">
        <v>312</v>
      </c>
      <c r="P159" s="4" t="s">
        <v>35</v>
      </c>
      <c r="Q159" s="150">
        <v>198690.22</v>
      </c>
      <c r="R159" s="150">
        <v>1</v>
      </c>
      <c r="S159" s="150">
        <v>147.19999999999999</v>
      </c>
      <c r="U159" s="150">
        <v>292.47199999999998</v>
      </c>
      <c r="V159" s="166">
        <v>7.7000000000000001E-5</v>
      </c>
      <c r="W159" s="166">
        <v>7.6567673649745099E-3</v>
      </c>
      <c r="X159" s="166">
        <v>9.17007993736256E-4</v>
      </c>
    </row>
    <row r="160" spans="1:24">
      <c r="A160" s="4" t="s">
        <v>256</v>
      </c>
      <c r="B160" s="4">
        <v>556</v>
      </c>
      <c r="C160" s="4" t="s">
        <v>2035</v>
      </c>
      <c r="D160" s="4" t="s">
        <v>2036</v>
      </c>
      <c r="E160" s="4" t="s">
        <v>1552</v>
      </c>
      <c r="F160" s="4" t="s">
        <v>2037</v>
      </c>
      <c r="G160" s="4" t="s">
        <v>2038</v>
      </c>
      <c r="H160" s="4" t="s">
        <v>511</v>
      </c>
      <c r="I160" s="4" t="s">
        <v>1121</v>
      </c>
      <c r="J160" s="4" t="s">
        <v>31</v>
      </c>
      <c r="K160" s="4" t="s">
        <v>31</v>
      </c>
      <c r="L160" s="2" t="s">
        <v>517</v>
      </c>
      <c r="M160" s="2" t="s">
        <v>32</v>
      </c>
      <c r="N160" s="4" t="s">
        <v>649</v>
      </c>
      <c r="O160" s="4" t="s">
        <v>312</v>
      </c>
      <c r="P160" s="4" t="s">
        <v>35</v>
      </c>
      <c r="Q160" s="150">
        <v>200</v>
      </c>
      <c r="R160" s="150">
        <v>1</v>
      </c>
      <c r="S160" s="150">
        <v>8151</v>
      </c>
      <c r="U160" s="150">
        <v>16.302</v>
      </c>
      <c r="V160" s="166">
        <v>3.0000000000000001E-6</v>
      </c>
      <c r="W160" s="166">
        <v>4.2677801616902402E-4</v>
      </c>
      <c r="X160" s="166">
        <v>5.1112804362863101E-5</v>
      </c>
    </row>
    <row r="161" spans="1:24">
      <c r="A161" s="4" t="s">
        <v>256</v>
      </c>
      <c r="B161" s="4">
        <v>556</v>
      </c>
      <c r="C161" s="4" t="s">
        <v>2039</v>
      </c>
      <c r="D161" s="4" t="s">
        <v>2040</v>
      </c>
      <c r="E161" s="4" t="s">
        <v>1552</v>
      </c>
      <c r="F161" s="4" t="s">
        <v>2041</v>
      </c>
      <c r="G161" s="4" t="s">
        <v>2042</v>
      </c>
      <c r="H161" s="4" t="s">
        <v>511</v>
      </c>
      <c r="I161" s="4" t="s">
        <v>1121</v>
      </c>
      <c r="J161" s="4" t="s">
        <v>31</v>
      </c>
      <c r="K161" s="4" t="s">
        <v>31</v>
      </c>
      <c r="L161" s="2" t="s">
        <v>517</v>
      </c>
      <c r="M161" s="2" t="s">
        <v>32</v>
      </c>
      <c r="N161" s="4" t="s">
        <v>652</v>
      </c>
      <c r="O161" s="4" t="s">
        <v>312</v>
      </c>
      <c r="P161" s="4" t="s">
        <v>35</v>
      </c>
      <c r="Q161" s="150">
        <v>238</v>
      </c>
      <c r="R161" s="150">
        <v>1</v>
      </c>
      <c r="S161" s="150">
        <v>28570</v>
      </c>
      <c r="U161" s="150">
        <v>67.997</v>
      </c>
      <c r="V161" s="166">
        <v>0</v>
      </c>
      <c r="W161" s="166">
        <v>1.78011618539067E-3</v>
      </c>
      <c r="X161" s="166">
        <v>2.13194510682116E-4</v>
      </c>
    </row>
    <row r="162" spans="1:24">
      <c r="A162" s="4" t="s">
        <v>256</v>
      </c>
      <c r="B162" s="4">
        <v>556</v>
      </c>
      <c r="C162" s="4" t="s">
        <v>1798</v>
      </c>
      <c r="D162" s="4" t="s">
        <v>1799</v>
      </c>
      <c r="E162" s="4" t="s">
        <v>1552</v>
      </c>
      <c r="F162" s="4" t="s">
        <v>1800</v>
      </c>
      <c r="G162" s="4" t="s">
        <v>1801</v>
      </c>
      <c r="H162" s="4" t="s">
        <v>511</v>
      </c>
      <c r="I162" s="4" t="s">
        <v>1121</v>
      </c>
      <c r="J162" s="4" t="s">
        <v>31</v>
      </c>
      <c r="K162" s="4" t="s">
        <v>31</v>
      </c>
      <c r="L162" s="2" t="s">
        <v>517</v>
      </c>
      <c r="M162" s="2" t="s">
        <v>32</v>
      </c>
      <c r="N162" s="4" t="s">
        <v>633</v>
      </c>
      <c r="O162" s="4" t="s">
        <v>312</v>
      </c>
      <c r="P162" s="4" t="s">
        <v>35</v>
      </c>
      <c r="Q162" s="150">
        <v>6670</v>
      </c>
      <c r="R162" s="150">
        <v>1</v>
      </c>
      <c r="S162" s="150">
        <v>5291</v>
      </c>
      <c r="U162" s="150">
        <v>352.91</v>
      </c>
      <c r="V162" s="166">
        <v>8.3999999999999995E-5</v>
      </c>
      <c r="W162" s="166">
        <v>9.2389953166976801E-3</v>
      </c>
      <c r="X162" s="166">
        <v>1.10650254286938E-3</v>
      </c>
    </row>
    <row r="163" spans="1:24">
      <c r="A163" s="4" t="s">
        <v>256</v>
      </c>
      <c r="B163" s="4">
        <v>556</v>
      </c>
      <c r="C163" s="4" t="s">
        <v>2043</v>
      </c>
      <c r="D163" s="4" t="s">
        <v>2044</v>
      </c>
      <c r="E163" s="4" t="s">
        <v>1552</v>
      </c>
      <c r="F163" s="4" t="s">
        <v>2045</v>
      </c>
      <c r="G163" s="4" t="s">
        <v>2046</v>
      </c>
      <c r="H163" s="4" t="s">
        <v>511</v>
      </c>
      <c r="I163" s="4" t="s">
        <v>1121</v>
      </c>
      <c r="J163" s="4" t="s">
        <v>31</v>
      </c>
      <c r="K163" s="4" t="s">
        <v>31</v>
      </c>
      <c r="L163" s="2" t="s">
        <v>517</v>
      </c>
      <c r="M163" s="2" t="s">
        <v>32</v>
      </c>
      <c r="N163" s="4" t="s">
        <v>644</v>
      </c>
      <c r="O163" s="4" t="s">
        <v>312</v>
      </c>
      <c r="P163" s="4" t="s">
        <v>35</v>
      </c>
      <c r="Q163" s="150">
        <v>326</v>
      </c>
      <c r="R163" s="150">
        <v>1</v>
      </c>
      <c r="S163" s="150">
        <v>1940</v>
      </c>
      <c r="U163" s="150">
        <v>6.3239999999999998</v>
      </c>
      <c r="V163" s="166">
        <v>1.4E-5</v>
      </c>
      <c r="W163" s="166">
        <v>1.6556955499075999E-4</v>
      </c>
      <c r="X163" s="166">
        <v>1.9829335045546001E-5</v>
      </c>
    </row>
    <row r="164" spans="1:24">
      <c r="A164" s="4" t="s">
        <v>256</v>
      </c>
      <c r="B164" s="4">
        <v>556</v>
      </c>
      <c r="C164" s="4" t="s">
        <v>362</v>
      </c>
      <c r="D164" s="4" t="s">
        <v>1802</v>
      </c>
      <c r="E164" s="4" t="s">
        <v>1552</v>
      </c>
      <c r="F164" s="4" t="s">
        <v>1486</v>
      </c>
      <c r="G164" s="4" t="s">
        <v>1803</v>
      </c>
      <c r="H164" s="4" t="s">
        <v>511</v>
      </c>
      <c r="I164" s="4" t="s">
        <v>1121</v>
      </c>
      <c r="J164" s="4" t="s">
        <v>31</v>
      </c>
      <c r="K164" s="4" t="s">
        <v>31</v>
      </c>
      <c r="L164" s="2" t="s">
        <v>517</v>
      </c>
      <c r="M164" s="2" t="s">
        <v>32</v>
      </c>
      <c r="N164" s="4" t="s">
        <v>636</v>
      </c>
      <c r="O164" s="4" t="s">
        <v>312</v>
      </c>
      <c r="P164" s="4" t="s">
        <v>35</v>
      </c>
      <c r="Q164" s="150">
        <v>76600</v>
      </c>
      <c r="R164" s="150">
        <v>1</v>
      </c>
      <c r="S164" s="150">
        <v>3110</v>
      </c>
      <c r="U164" s="150">
        <v>2382.2600000000002</v>
      </c>
      <c r="V164" s="166">
        <v>4.6999999999999997E-5</v>
      </c>
      <c r="W164" s="166">
        <v>6.2366347491033002E-2</v>
      </c>
      <c r="X164" s="166">
        <v>7.4692669194868196E-3</v>
      </c>
    </row>
    <row r="165" spans="1:24">
      <c r="A165" s="4" t="s">
        <v>256</v>
      </c>
      <c r="B165" s="4">
        <v>556</v>
      </c>
      <c r="C165" s="4" t="s">
        <v>1804</v>
      </c>
      <c r="D165" s="4" t="s">
        <v>1805</v>
      </c>
      <c r="E165" s="4" t="s">
        <v>1552</v>
      </c>
      <c r="F165" s="4" t="s">
        <v>1806</v>
      </c>
      <c r="G165" s="4" t="s">
        <v>1807</v>
      </c>
      <c r="H165" s="4" t="s">
        <v>511</v>
      </c>
      <c r="I165" s="4" t="s">
        <v>1121</v>
      </c>
      <c r="J165" s="4" t="s">
        <v>31</v>
      </c>
      <c r="K165" s="4" t="s">
        <v>31</v>
      </c>
      <c r="L165" s="2" t="s">
        <v>517</v>
      </c>
      <c r="M165" s="2" t="s">
        <v>32</v>
      </c>
      <c r="N165" s="4" t="s">
        <v>639</v>
      </c>
      <c r="O165" s="4" t="s">
        <v>312</v>
      </c>
      <c r="P165" s="4" t="s">
        <v>35</v>
      </c>
      <c r="Q165" s="150">
        <v>88330</v>
      </c>
      <c r="R165" s="150">
        <v>1</v>
      </c>
      <c r="S165" s="150">
        <v>316.8</v>
      </c>
      <c r="U165" s="150">
        <v>279.82900000000001</v>
      </c>
      <c r="V165" s="166">
        <v>3.7300000000000001E-4</v>
      </c>
      <c r="W165" s="166">
        <v>7.3257915144699396E-3</v>
      </c>
      <c r="X165" s="166">
        <v>8.7736887631514697E-4</v>
      </c>
    </row>
    <row r="166" spans="1:24">
      <c r="A166" s="4" t="s">
        <v>256</v>
      </c>
      <c r="B166" s="4">
        <v>556</v>
      </c>
      <c r="C166" s="4" t="s">
        <v>1436</v>
      </c>
      <c r="D166" s="4" t="s">
        <v>2047</v>
      </c>
      <c r="E166" s="4" t="s">
        <v>1552</v>
      </c>
      <c r="F166" s="4" t="s">
        <v>2048</v>
      </c>
      <c r="G166" s="4" t="s">
        <v>2049</v>
      </c>
      <c r="H166" s="4" t="s">
        <v>511</v>
      </c>
      <c r="I166" s="4" t="s">
        <v>1121</v>
      </c>
      <c r="J166" s="4" t="s">
        <v>31</v>
      </c>
      <c r="K166" s="4" t="s">
        <v>31</v>
      </c>
      <c r="L166" s="2" t="s">
        <v>517</v>
      </c>
      <c r="M166" s="2" t="s">
        <v>32</v>
      </c>
      <c r="N166" s="4" t="s">
        <v>633</v>
      </c>
      <c r="O166" s="4" t="s">
        <v>312</v>
      </c>
      <c r="P166" s="4" t="s">
        <v>35</v>
      </c>
      <c r="Q166" s="150">
        <v>4600</v>
      </c>
      <c r="R166" s="150">
        <v>1</v>
      </c>
      <c r="S166" s="150">
        <v>454</v>
      </c>
      <c r="U166" s="150">
        <v>20.884</v>
      </c>
      <c r="V166" s="166">
        <v>1.02E-4</v>
      </c>
      <c r="W166" s="166">
        <v>5.4673243097005898E-4</v>
      </c>
      <c r="X166" s="166">
        <v>6.5479070440070702E-5</v>
      </c>
    </row>
    <row r="167" spans="1:24">
      <c r="A167" s="4" t="s">
        <v>256</v>
      </c>
      <c r="B167" s="4">
        <v>556</v>
      </c>
      <c r="C167" s="4" t="s">
        <v>1808</v>
      </c>
      <c r="D167" s="4" t="s">
        <v>1809</v>
      </c>
      <c r="E167" s="4" t="s">
        <v>1552</v>
      </c>
      <c r="F167" s="4" t="s">
        <v>1810</v>
      </c>
      <c r="G167" s="4" t="s">
        <v>1811</v>
      </c>
      <c r="H167" s="4" t="s">
        <v>511</v>
      </c>
      <c r="I167" s="4" t="s">
        <v>1121</v>
      </c>
      <c r="J167" s="4" t="s">
        <v>31</v>
      </c>
      <c r="K167" s="4" t="s">
        <v>31</v>
      </c>
      <c r="L167" s="2" t="s">
        <v>517</v>
      </c>
      <c r="M167" s="2" t="s">
        <v>32</v>
      </c>
      <c r="N167" s="4" t="s">
        <v>639</v>
      </c>
      <c r="O167" s="4" t="s">
        <v>312</v>
      </c>
      <c r="P167" s="4" t="s">
        <v>35</v>
      </c>
      <c r="Q167" s="150">
        <v>570</v>
      </c>
      <c r="R167" s="150">
        <v>1</v>
      </c>
      <c r="S167" s="150">
        <v>5126</v>
      </c>
      <c r="U167" s="150">
        <v>29.218</v>
      </c>
      <c r="V167" s="166">
        <v>9.0000000000000002E-6</v>
      </c>
      <c r="W167" s="166">
        <v>7.6491752128755896E-4</v>
      </c>
      <c r="X167" s="166">
        <v>9.1609872434977597E-5</v>
      </c>
    </row>
    <row r="168" spans="1:24">
      <c r="A168" s="4" t="s">
        <v>256</v>
      </c>
      <c r="B168" s="4">
        <v>556</v>
      </c>
      <c r="C168" s="4" t="s">
        <v>1812</v>
      </c>
      <c r="D168" s="4" t="s">
        <v>1813</v>
      </c>
      <c r="E168" s="4" t="s">
        <v>1552</v>
      </c>
      <c r="F168" s="4" t="s">
        <v>1814</v>
      </c>
      <c r="G168" s="4" t="s">
        <v>1815</v>
      </c>
      <c r="H168" s="4" t="s">
        <v>511</v>
      </c>
      <c r="I168" s="4" t="s">
        <v>1121</v>
      </c>
      <c r="J168" s="4" t="s">
        <v>31</v>
      </c>
      <c r="K168" s="4" t="s">
        <v>31</v>
      </c>
      <c r="L168" s="2" t="s">
        <v>517</v>
      </c>
      <c r="M168" s="2" t="s">
        <v>32</v>
      </c>
      <c r="N168" s="4" t="s">
        <v>664</v>
      </c>
      <c r="O168" s="4" t="s">
        <v>312</v>
      </c>
      <c r="P168" s="4" t="s">
        <v>35</v>
      </c>
      <c r="Q168" s="150">
        <v>137</v>
      </c>
      <c r="R168" s="150">
        <v>1</v>
      </c>
      <c r="S168" s="150">
        <v>17990</v>
      </c>
      <c r="U168" s="150">
        <v>24.646000000000001</v>
      </c>
      <c r="V168" s="166">
        <v>9.0000000000000002E-6</v>
      </c>
      <c r="W168" s="166">
        <v>6.4522751931705502E-4</v>
      </c>
      <c r="X168" s="166">
        <v>7.7275273596395005E-5</v>
      </c>
    </row>
    <row r="169" spans="1:24">
      <c r="A169" s="4" t="s">
        <v>256</v>
      </c>
      <c r="B169" s="4">
        <v>556</v>
      </c>
      <c r="C169" s="4" t="s">
        <v>1816</v>
      </c>
      <c r="D169" s="4" t="s">
        <v>1817</v>
      </c>
      <c r="E169" s="4" t="s">
        <v>1552</v>
      </c>
      <c r="F169" s="4" t="s">
        <v>1818</v>
      </c>
      <c r="G169" s="4" t="s">
        <v>1819</v>
      </c>
      <c r="H169" s="4" t="s">
        <v>511</v>
      </c>
      <c r="I169" s="4" t="s">
        <v>1121</v>
      </c>
      <c r="J169" s="4" t="s">
        <v>31</v>
      </c>
      <c r="K169" s="4" t="s">
        <v>31</v>
      </c>
      <c r="L169" s="2" t="s">
        <v>517</v>
      </c>
      <c r="M169" s="2" t="s">
        <v>32</v>
      </c>
      <c r="N169" s="4" t="s">
        <v>639</v>
      </c>
      <c r="O169" s="4" t="s">
        <v>312</v>
      </c>
      <c r="P169" s="4" t="s">
        <v>35</v>
      </c>
      <c r="Q169" s="150">
        <v>1950</v>
      </c>
      <c r="R169" s="150">
        <v>1</v>
      </c>
      <c r="S169" s="150">
        <v>13990</v>
      </c>
      <c r="U169" s="150">
        <v>272.80500000000001</v>
      </c>
      <c r="V169" s="166">
        <v>1.84E-4</v>
      </c>
      <c r="W169" s="166">
        <v>7.1418952705797198E-3</v>
      </c>
      <c r="X169" s="166">
        <v>8.5534465674217005E-4</v>
      </c>
    </row>
    <row r="170" spans="1:24">
      <c r="A170" s="4" t="s">
        <v>256</v>
      </c>
      <c r="B170" s="4">
        <v>556</v>
      </c>
      <c r="C170" s="4" t="s">
        <v>1820</v>
      </c>
      <c r="D170" s="4" t="s">
        <v>1821</v>
      </c>
      <c r="E170" s="4" t="s">
        <v>1552</v>
      </c>
      <c r="F170" s="4" t="s">
        <v>1822</v>
      </c>
      <c r="G170" s="4" t="s">
        <v>1823</v>
      </c>
      <c r="H170" s="4" t="s">
        <v>511</v>
      </c>
      <c r="I170" s="4" t="s">
        <v>1121</v>
      </c>
      <c r="J170" s="4" t="s">
        <v>31</v>
      </c>
      <c r="K170" s="4" t="s">
        <v>31</v>
      </c>
      <c r="L170" s="2" t="s">
        <v>517</v>
      </c>
      <c r="M170" s="2" t="s">
        <v>32</v>
      </c>
      <c r="N170" s="4" t="s">
        <v>652</v>
      </c>
      <c r="O170" s="4" t="s">
        <v>312</v>
      </c>
      <c r="P170" s="4" t="s">
        <v>35</v>
      </c>
      <c r="Q170" s="150">
        <v>20860.05</v>
      </c>
      <c r="R170" s="150">
        <v>1</v>
      </c>
      <c r="S170" s="150">
        <v>881</v>
      </c>
      <c r="U170" s="150">
        <v>183.77699999999999</v>
      </c>
      <c r="V170" s="166">
        <v>2.8E-5</v>
      </c>
      <c r="W170" s="166">
        <v>4.8111888579318099E-3</v>
      </c>
      <c r="X170" s="166">
        <v>5.7620904904076E-4</v>
      </c>
    </row>
    <row r="171" spans="1:24">
      <c r="A171" s="4" t="s">
        <v>256</v>
      </c>
      <c r="B171" s="4">
        <v>556</v>
      </c>
      <c r="C171" s="4" t="s">
        <v>1824</v>
      </c>
      <c r="D171" s="4" t="s">
        <v>1825</v>
      </c>
      <c r="E171" s="4" t="s">
        <v>1552</v>
      </c>
      <c r="F171" s="4" t="s">
        <v>1826</v>
      </c>
      <c r="G171" s="4" t="s">
        <v>1827</v>
      </c>
      <c r="H171" s="4" t="s">
        <v>511</v>
      </c>
      <c r="I171" s="4" t="s">
        <v>1121</v>
      </c>
      <c r="J171" s="4" t="s">
        <v>31</v>
      </c>
      <c r="K171" s="4" t="s">
        <v>31</v>
      </c>
      <c r="L171" s="2" t="s">
        <v>517</v>
      </c>
      <c r="M171" s="2" t="s">
        <v>32</v>
      </c>
      <c r="N171" s="4" t="s">
        <v>633</v>
      </c>
      <c r="O171" s="4" t="s">
        <v>312</v>
      </c>
      <c r="P171" s="4" t="s">
        <v>35</v>
      </c>
      <c r="Q171" s="150">
        <v>68790</v>
      </c>
      <c r="R171" s="150">
        <v>1</v>
      </c>
      <c r="S171" s="150">
        <v>422.2</v>
      </c>
      <c r="U171" s="150">
        <v>290.43099999999998</v>
      </c>
      <c r="V171" s="166">
        <v>6.4999999999999994E-5</v>
      </c>
      <c r="W171" s="166">
        <v>7.6033448772930999E-3</v>
      </c>
      <c r="X171" s="166">
        <v>9.1060988263871499E-4</v>
      </c>
    </row>
    <row r="172" spans="1:24">
      <c r="A172" s="4" t="s">
        <v>256</v>
      </c>
      <c r="B172" s="4">
        <v>556</v>
      </c>
      <c r="C172" s="4" t="s">
        <v>1828</v>
      </c>
      <c r="D172" s="4" t="s">
        <v>1829</v>
      </c>
      <c r="E172" s="4" t="s">
        <v>1552</v>
      </c>
      <c r="F172" s="4" t="s">
        <v>1830</v>
      </c>
      <c r="G172" s="4" t="s">
        <v>1831</v>
      </c>
      <c r="H172" s="4" t="s">
        <v>511</v>
      </c>
      <c r="I172" s="4" t="s">
        <v>1121</v>
      </c>
      <c r="J172" s="4" t="s">
        <v>31</v>
      </c>
      <c r="K172" s="4" t="s">
        <v>31</v>
      </c>
      <c r="L172" s="2" t="s">
        <v>517</v>
      </c>
      <c r="M172" s="2" t="s">
        <v>32</v>
      </c>
      <c r="N172" s="4" t="s">
        <v>652</v>
      </c>
      <c r="O172" s="4" t="s">
        <v>312</v>
      </c>
      <c r="P172" s="4" t="s">
        <v>35</v>
      </c>
      <c r="Q172" s="150">
        <v>7993.33</v>
      </c>
      <c r="R172" s="150">
        <v>1</v>
      </c>
      <c r="S172" s="150">
        <v>9151</v>
      </c>
      <c r="U172" s="150">
        <v>731.47</v>
      </c>
      <c r="V172" s="166">
        <v>2.1900000000000001E-4</v>
      </c>
      <c r="W172" s="166">
        <v>1.9149500481767098E-2</v>
      </c>
      <c r="X172" s="166">
        <v>2.2934280461706599E-3</v>
      </c>
    </row>
    <row r="173" spans="1:24">
      <c r="A173" s="4" t="s">
        <v>256</v>
      </c>
      <c r="B173" s="4">
        <v>556</v>
      </c>
      <c r="C173" s="4" t="s">
        <v>1832</v>
      </c>
      <c r="D173" s="4" t="s">
        <v>1833</v>
      </c>
      <c r="E173" s="4" t="s">
        <v>1552</v>
      </c>
      <c r="F173" s="4" t="s">
        <v>1834</v>
      </c>
      <c r="G173" s="4" t="s">
        <v>1835</v>
      </c>
      <c r="H173" s="4" t="s">
        <v>511</v>
      </c>
      <c r="I173" s="4" t="s">
        <v>1121</v>
      </c>
      <c r="J173" s="4" t="s">
        <v>31</v>
      </c>
      <c r="K173" s="4" t="s">
        <v>31</v>
      </c>
      <c r="L173" s="2" t="s">
        <v>517</v>
      </c>
      <c r="M173" s="2" t="s">
        <v>32</v>
      </c>
      <c r="N173" s="4" t="s">
        <v>669</v>
      </c>
      <c r="O173" s="4" t="s">
        <v>312</v>
      </c>
      <c r="P173" s="4" t="s">
        <v>35</v>
      </c>
      <c r="Q173" s="150">
        <v>3939</v>
      </c>
      <c r="R173" s="150">
        <v>1</v>
      </c>
      <c r="S173" s="150">
        <v>3667</v>
      </c>
      <c r="T173" s="149">
        <v>3.2450000000000001</v>
      </c>
      <c r="U173" s="150">
        <v>147.68899999999999</v>
      </c>
      <c r="V173" s="166">
        <v>8.0000000000000007E-5</v>
      </c>
      <c r="W173" s="166">
        <v>3.8664111713556698E-3</v>
      </c>
      <c r="X173" s="166">
        <v>4.6305833548282498E-4</v>
      </c>
    </row>
    <row r="174" spans="1:24">
      <c r="A174" s="4" t="s">
        <v>256</v>
      </c>
      <c r="B174" s="4">
        <v>556</v>
      </c>
      <c r="C174" s="4" t="s">
        <v>1836</v>
      </c>
      <c r="D174" s="4" t="s">
        <v>1837</v>
      </c>
      <c r="E174" s="4" t="s">
        <v>1552</v>
      </c>
      <c r="F174" s="4" t="s">
        <v>1838</v>
      </c>
      <c r="G174" s="4" t="s">
        <v>1839</v>
      </c>
      <c r="H174" s="4" t="s">
        <v>511</v>
      </c>
      <c r="I174" s="4" t="s">
        <v>1121</v>
      </c>
      <c r="J174" s="4" t="s">
        <v>31</v>
      </c>
      <c r="K174" s="4" t="s">
        <v>31</v>
      </c>
      <c r="L174" s="2" t="s">
        <v>517</v>
      </c>
      <c r="M174" s="2" t="s">
        <v>32</v>
      </c>
      <c r="N174" s="4" t="s">
        <v>647</v>
      </c>
      <c r="O174" s="4" t="s">
        <v>312</v>
      </c>
      <c r="P174" s="4" t="s">
        <v>35</v>
      </c>
      <c r="Q174" s="150">
        <v>880</v>
      </c>
      <c r="R174" s="150">
        <v>1</v>
      </c>
      <c r="S174" s="150">
        <v>14490</v>
      </c>
      <c r="U174" s="150">
        <v>127.512</v>
      </c>
      <c r="V174" s="166">
        <v>2.6499999999999999E-4</v>
      </c>
      <c r="W174" s="166">
        <v>3.3381988957026502E-3</v>
      </c>
      <c r="X174" s="166">
        <v>3.9979731995567401E-4</v>
      </c>
    </row>
    <row r="175" spans="1:24">
      <c r="A175" s="4" t="s">
        <v>256</v>
      </c>
      <c r="B175" s="4">
        <v>556</v>
      </c>
      <c r="C175" s="4" t="s">
        <v>1840</v>
      </c>
      <c r="D175" s="4" t="s">
        <v>1841</v>
      </c>
      <c r="E175" s="4" t="s">
        <v>1552</v>
      </c>
      <c r="F175" s="4" t="s">
        <v>1842</v>
      </c>
      <c r="G175" s="4" t="s">
        <v>1843</v>
      </c>
      <c r="H175" s="4" t="s">
        <v>511</v>
      </c>
      <c r="I175" s="4" t="s">
        <v>1121</v>
      </c>
      <c r="J175" s="4" t="s">
        <v>31</v>
      </c>
      <c r="K175" s="4" t="s">
        <v>31</v>
      </c>
      <c r="L175" s="2" t="s">
        <v>517</v>
      </c>
      <c r="M175" s="2" t="s">
        <v>32</v>
      </c>
      <c r="N175" s="4" t="s">
        <v>636</v>
      </c>
      <c r="O175" s="4" t="s">
        <v>312</v>
      </c>
      <c r="P175" s="4" t="s">
        <v>35</v>
      </c>
      <c r="Q175" s="150">
        <v>5135.91</v>
      </c>
      <c r="R175" s="150">
        <v>1</v>
      </c>
      <c r="S175" s="150">
        <v>13080</v>
      </c>
      <c r="U175" s="150">
        <v>671.77700000000004</v>
      </c>
      <c r="V175" s="166">
        <v>2.0000000000000002E-5</v>
      </c>
      <c r="W175" s="166">
        <v>1.7586778758297301E-2</v>
      </c>
      <c r="X175" s="166">
        <v>2.1062696483639801E-3</v>
      </c>
    </row>
    <row r="176" spans="1:24">
      <c r="A176" s="4" t="s">
        <v>256</v>
      </c>
      <c r="B176" s="4">
        <v>556</v>
      </c>
      <c r="C176" s="4" t="s">
        <v>1844</v>
      </c>
      <c r="D176" s="4" t="s">
        <v>1845</v>
      </c>
      <c r="E176" s="4" t="s">
        <v>1552</v>
      </c>
      <c r="F176" s="4" t="s">
        <v>1846</v>
      </c>
      <c r="G176" s="4" t="s">
        <v>1847</v>
      </c>
      <c r="H176" s="4" t="s">
        <v>511</v>
      </c>
      <c r="I176" s="4" t="s">
        <v>1121</v>
      </c>
      <c r="J176" s="4" t="s">
        <v>31</v>
      </c>
      <c r="K176" s="4" t="s">
        <v>31</v>
      </c>
      <c r="L176" s="2" t="s">
        <v>517</v>
      </c>
      <c r="M176" s="2" t="s">
        <v>32</v>
      </c>
      <c r="N176" s="4" t="s">
        <v>665</v>
      </c>
      <c r="O176" s="4" t="s">
        <v>312</v>
      </c>
      <c r="P176" s="4" t="s">
        <v>35</v>
      </c>
      <c r="Q176" s="150">
        <v>326</v>
      </c>
      <c r="R176" s="150">
        <v>1</v>
      </c>
      <c r="S176" s="150">
        <v>25420</v>
      </c>
      <c r="U176" s="150">
        <v>82.869</v>
      </c>
      <c r="V176" s="166">
        <v>6.9999999999999994E-5</v>
      </c>
      <c r="W176" s="166">
        <v>2.1694732411675901E-3</v>
      </c>
      <c r="X176" s="166">
        <v>2.5982561693700001E-4</v>
      </c>
    </row>
    <row r="177" spans="1:24">
      <c r="A177" s="4" t="s">
        <v>256</v>
      </c>
      <c r="B177" s="4">
        <v>556</v>
      </c>
      <c r="C177" s="4" t="s">
        <v>1848</v>
      </c>
      <c r="D177" s="4" t="s">
        <v>1849</v>
      </c>
      <c r="E177" s="4" t="s">
        <v>1552</v>
      </c>
      <c r="F177" s="4" t="s">
        <v>1850</v>
      </c>
      <c r="G177" s="4" t="s">
        <v>1851</v>
      </c>
      <c r="H177" s="4" t="s">
        <v>511</v>
      </c>
      <c r="I177" s="4" t="s">
        <v>1121</v>
      </c>
      <c r="J177" s="4" t="s">
        <v>31</v>
      </c>
      <c r="K177" s="4" t="s">
        <v>155</v>
      </c>
      <c r="L177" s="2" t="s">
        <v>517</v>
      </c>
      <c r="M177" s="2" t="s">
        <v>32</v>
      </c>
      <c r="N177" s="4" t="s">
        <v>662</v>
      </c>
      <c r="O177" s="4" t="s">
        <v>312</v>
      </c>
      <c r="P177" s="4" t="s">
        <v>35</v>
      </c>
      <c r="Q177" s="150">
        <v>1813</v>
      </c>
      <c r="R177" s="150">
        <v>1</v>
      </c>
      <c r="S177" s="150">
        <v>1408</v>
      </c>
      <c r="U177" s="150">
        <v>25.527000000000001</v>
      </c>
      <c r="V177" s="166">
        <v>1.7E-5</v>
      </c>
      <c r="W177" s="166">
        <v>6.6828484172907197E-4</v>
      </c>
      <c r="X177" s="166">
        <v>8.0036719511899094E-5</v>
      </c>
    </row>
    <row r="178" spans="1:24">
      <c r="A178" s="4" t="s">
        <v>256</v>
      </c>
      <c r="B178" s="4">
        <v>556</v>
      </c>
      <c r="C178" s="4" t="s">
        <v>1852</v>
      </c>
      <c r="D178" s="4" t="s">
        <v>1853</v>
      </c>
      <c r="E178" s="4" t="s">
        <v>1552</v>
      </c>
      <c r="F178" s="4" t="s">
        <v>1854</v>
      </c>
      <c r="G178" s="4" t="s">
        <v>1855</v>
      </c>
      <c r="H178" s="4" t="s">
        <v>511</v>
      </c>
      <c r="I178" s="4" t="s">
        <v>1121</v>
      </c>
      <c r="J178" s="4" t="s">
        <v>31</v>
      </c>
      <c r="K178" s="4" t="s">
        <v>31</v>
      </c>
      <c r="L178" s="2" t="s">
        <v>517</v>
      </c>
      <c r="M178" s="2" t="s">
        <v>32</v>
      </c>
      <c r="N178" s="4" t="s">
        <v>652</v>
      </c>
      <c r="O178" s="4" t="s">
        <v>312</v>
      </c>
      <c r="P178" s="4" t="s">
        <v>35</v>
      </c>
      <c r="Q178" s="150">
        <v>2358.63</v>
      </c>
      <c r="R178" s="150">
        <v>1</v>
      </c>
      <c r="S178" s="150">
        <v>24710</v>
      </c>
      <c r="U178" s="150">
        <v>582.81700000000001</v>
      </c>
      <c r="V178" s="166">
        <v>5.0000000000000002E-5</v>
      </c>
      <c r="W178" s="166">
        <v>1.5257863140448E-2</v>
      </c>
      <c r="X178" s="166">
        <v>1.8273485140907399E-3</v>
      </c>
    </row>
    <row r="179" spans="1:24">
      <c r="A179" s="4" t="s">
        <v>256</v>
      </c>
      <c r="B179" s="4">
        <v>556</v>
      </c>
      <c r="C179" s="4" t="s">
        <v>1856</v>
      </c>
      <c r="D179" s="4" t="s">
        <v>1857</v>
      </c>
      <c r="E179" s="4" t="s">
        <v>1552</v>
      </c>
      <c r="F179" s="4" t="s">
        <v>1858</v>
      </c>
      <c r="G179" s="4" t="s">
        <v>1859</v>
      </c>
      <c r="H179" s="4" t="s">
        <v>511</v>
      </c>
      <c r="I179" s="4" t="s">
        <v>1121</v>
      </c>
      <c r="J179" s="4" t="s">
        <v>31</v>
      </c>
      <c r="K179" s="4" t="s">
        <v>31</v>
      </c>
      <c r="L179" s="2" t="s">
        <v>517</v>
      </c>
      <c r="M179" s="2" t="s">
        <v>32</v>
      </c>
      <c r="N179" s="4" t="s">
        <v>665</v>
      </c>
      <c r="O179" s="4" t="s">
        <v>312</v>
      </c>
      <c r="P179" s="4" t="s">
        <v>35</v>
      </c>
      <c r="Q179" s="150">
        <v>400</v>
      </c>
      <c r="R179" s="150">
        <v>1</v>
      </c>
      <c r="S179" s="150">
        <v>5741</v>
      </c>
      <c r="U179" s="150">
        <v>22.963999999999999</v>
      </c>
      <c r="V179" s="166">
        <v>1.5E-5</v>
      </c>
      <c r="W179" s="166">
        <v>6.0118576636642601E-4</v>
      </c>
      <c r="X179" s="166">
        <v>7.2000640374726203E-5</v>
      </c>
    </row>
    <row r="180" spans="1:24">
      <c r="A180" s="4" t="s">
        <v>256</v>
      </c>
      <c r="B180" s="4">
        <v>556</v>
      </c>
      <c r="C180" s="4" t="s">
        <v>1860</v>
      </c>
      <c r="D180" s="4" t="s">
        <v>1861</v>
      </c>
      <c r="E180" s="4" t="s">
        <v>1552</v>
      </c>
      <c r="F180" s="4" t="s">
        <v>1862</v>
      </c>
      <c r="G180" s="4" t="s">
        <v>1863</v>
      </c>
      <c r="H180" s="4" t="s">
        <v>511</v>
      </c>
      <c r="I180" s="4" t="s">
        <v>1121</v>
      </c>
      <c r="J180" s="4" t="s">
        <v>31</v>
      </c>
      <c r="K180" s="4" t="s">
        <v>31</v>
      </c>
      <c r="L180" s="2" t="s">
        <v>517</v>
      </c>
      <c r="M180" s="2" t="s">
        <v>32</v>
      </c>
      <c r="N180" s="4" t="s">
        <v>652</v>
      </c>
      <c r="O180" s="4" t="s">
        <v>312</v>
      </c>
      <c r="P180" s="4" t="s">
        <v>35</v>
      </c>
      <c r="Q180" s="150">
        <v>57456</v>
      </c>
      <c r="R180" s="150">
        <v>1</v>
      </c>
      <c r="S180" s="150">
        <v>159.4</v>
      </c>
      <c r="U180" s="150">
        <v>91.584999999999994</v>
      </c>
      <c r="V180" s="166">
        <v>8.2999999999999998E-5</v>
      </c>
      <c r="W180" s="166">
        <v>2.3976448637608801E-3</v>
      </c>
      <c r="X180" s="166">
        <v>2.8715244977496097E-4</v>
      </c>
    </row>
    <row r="181" spans="1:24">
      <c r="A181" s="4" t="s">
        <v>256</v>
      </c>
      <c r="B181" s="4">
        <v>556</v>
      </c>
      <c r="C181" s="4" t="s">
        <v>2050</v>
      </c>
      <c r="D181" s="4" t="s">
        <v>2051</v>
      </c>
      <c r="E181" s="4" t="s">
        <v>1552</v>
      </c>
      <c r="F181" s="4" t="s">
        <v>2052</v>
      </c>
      <c r="G181" s="4" t="s">
        <v>2053</v>
      </c>
      <c r="H181" s="4" t="s">
        <v>511</v>
      </c>
      <c r="I181" s="4" t="s">
        <v>1121</v>
      </c>
      <c r="J181" s="4" t="s">
        <v>31</v>
      </c>
      <c r="K181" s="4" t="s">
        <v>31</v>
      </c>
      <c r="L181" s="2" t="s">
        <v>517</v>
      </c>
      <c r="M181" s="2" t="s">
        <v>32</v>
      </c>
      <c r="N181" s="4" t="s">
        <v>628</v>
      </c>
      <c r="O181" s="4" t="s">
        <v>312</v>
      </c>
      <c r="P181" s="4" t="s">
        <v>35</v>
      </c>
      <c r="Q181" s="150">
        <v>12750</v>
      </c>
      <c r="R181" s="150">
        <v>1</v>
      </c>
      <c r="S181" s="150">
        <v>250.9</v>
      </c>
      <c r="U181" s="150">
        <v>31.99</v>
      </c>
      <c r="V181" s="166">
        <v>2.1999999999999999E-5</v>
      </c>
      <c r="W181" s="166">
        <v>8.3747528172880897E-4</v>
      </c>
      <c r="X181" s="166">
        <v>1.0029970760439801E-4</v>
      </c>
    </row>
    <row r="182" spans="1:24">
      <c r="A182" s="4" t="s">
        <v>256</v>
      </c>
      <c r="B182" s="4">
        <v>556</v>
      </c>
      <c r="C182" s="4" t="s">
        <v>1864</v>
      </c>
      <c r="D182" s="4" t="s">
        <v>1865</v>
      </c>
      <c r="E182" s="4" t="s">
        <v>1552</v>
      </c>
      <c r="F182" s="4" t="s">
        <v>1866</v>
      </c>
      <c r="G182" s="4" t="s">
        <v>1867</v>
      </c>
      <c r="H182" s="4" t="s">
        <v>511</v>
      </c>
      <c r="I182" s="4" t="s">
        <v>1121</v>
      </c>
      <c r="J182" s="4" t="s">
        <v>31</v>
      </c>
      <c r="K182" s="4" t="s">
        <v>31</v>
      </c>
      <c r="L182" s="2" t="s">
        <v>517</v>
      </c>
      <c r="M182" s="2" t="s">
        <v>32</v>
      </c>
      <c r="N182" s="4" t="s">
        <v>669</v>
      </c>
      <c r="O182" s="4" t="s">
        <v>312</v>
      </c>
      <c r="P182" s="4" t="s">
        <v>35</v>
      </c>
      <c r="Q182" s="150">
        <v>625</v>
      </c>
      <c r="R182" s="150">
        <v>1</v>
      </c>
      <c r="S182" s="150">
        <v>8000</v>
      </c>
      <c r="U182" s="150">
        <v>50</v>
      </c>
      <c r="V182" s="166">
        <v>1.9000000000000001E-5</v>
      </c>
      <c r="W182" s="166">
        <v>1.3089744085665099E-3</v>
      </c>
      <c r="X182" s="166">
        <v>1.56768508044605E-4</v>
      </c>
    </row>
    <row r="183" spans="1:24">
      <c r="A183" s="4" t="s">
        <v>256</v>
      </c>
      <c r="B183" s="4">
        <v>556</v>
      </c>
      <c r="C183" s="4" t="s">
        <v>1868</v>
      </c>
      <c r="D183" s="4" t="s">
        <v>1869</v>
      </c>
      <c r="E183" s="4" t="s">
        <v>1552</v>
      </c>
      <c r="F183" s="4" t="s">
        <v>1870</v>
      </c>
      <c r="G183" s="4" t="s">
        <v>1871</v>
      </c>
      <c r="H183" s="4" t="s">
        <v>511</v>
      </c>
      <c r="I183" s="4" t="s">
        <v>1121</v>
      </c>
      <c r="J183" s="4" t="s">
        <v>31</v>
      </c>
      <c r="K183" s="4" t="s">
        <v>489</v>
      </c>
      <c r="L183" s="2" t="s">
        <v>517</v>
      </c>
      <c r="M183" s="2" t="s">
        <v>32</v>
      </c>
      <c r="N183" s="4" t="s">
        <v>646</v>
      </c>
      <c r="O183" s="4" t="s">
        <v>312</v>
      </c>
      <c r="P183" s="4" t="s">
        <v>35</v>
      </c>
      <c r="Q183" s="150">
        <v>897</v>
      </c>
      <c r="R183" s="150">
        <v>1</v>
      </c>
      <c r="S183" s="150">
        <v>87800</v>
      </c>
      <c r="U183" s="150">
        <v>787.56600000000003</v>
      </c>
      <c r="V183" s="166">
        <v>3.1000000000000001E-5</v>
      </c>
      <c r="W183" s="166">
        <v>2.0618074781141801E-2</v>
      </c>
      <c r="X183" s="166">
        <v>2.4693109361331499E-3</v>
      </c>
    </row>
    <row r="184" spans="1:24">
      <c r="A184" s="4" t="s">
        <v>256</v>
      </c>
      <c r="B184" s="4">
        <v>556</v>
      </c>
      <c r="C184" s="4" t="s">
        <v>1872</v>
      </c>
      <c r="D184" s="4" t="s">
        <v>1873</v>
      </c>
      <c r="E184" s="4" t="s">
        <v>1552</v>
      </c>
      <c r="F184" s="4" t="s">
        <v>1874</v>
      </c>
      <c r="G184" s="4" t="s">
        <v>1875</v>
      </c>
      <c r="H184" s="4" t="s">
        <v>511</v>
      </c>
      <c r="I184" s="4" t="s">
        <v>1121</v>
      </c>
      <c r="J184" s="4" t="s">
        <v>31</v>
      </c>
      <c r="K184" s="4" t="s">
        <v>31</v>
      </c>
      <c r="L184" s="2" t="s">
        <v>517</v>
      </c>
      <c r="M184" s="2" t="s">
        <v>32</v>
      </c>
      <c r="N184" s="4" t="s">
        <v>666</v>
      </c>
      <c r="O184" s="4" t="s">
        <v>312</v>
      </c>
      <c r="P184" s="4" t="s">
        <v>35</v>
      </c>
      <c r="Q184" s="150">
        <v>83975</v>
      </c>
      <c r="R184" s="150">
        <v>1</v>
      </c>
      <c r="S184" s="150">
        <v>150.9</v>
      </c>
      <c r="U184" s="150">
        <v>126.718</v>
      </c>
      <c r="V184" s="166">
        <v>1.64E-4</v>
      </c>
      <c r="W184" s="166">
        <v>3.3174195814538602E-3</v>
      </c>
      <c r="X184" s="166">
        <v>3.9730869827472003E-4</v>
      </c>
    </row>
    <row r="185" spans="1:24">
      <c r="A185" s="4" t="s">
        <v>256</v>
      </c>
      <c r="B185" s="4">
        <v>556</v>
      </c>
      <c r="C185" s="4" t="s">
        <v>1876</v>
      </c>
      <c r="D185" s="4" t="s">
        <v>1877</v>
      </c>
      <c r="E185" s="4" t="s">
        <v>1552</v>
      </c>
      <c r="F185" s="4" t="s">
        <v>1878</v>
      </c>
      <c r="G185" s="4" t="s">
        <v>1879</v>
      </c>
      <c r="H185" s="4" t="s">
        <v>511</v>
      </c>
      <c r="I185" s="4" t="s">
        <v>1121</v>
      </c>
      <c r="J185" s="4" t="s">
        <v>31</v>
      </c>
      <c r="K185" s="4" t="s">
        <v>31</v>
      </c>
      <c r="L185" s="2" t="s">
        <v>517</v>
      </c>
      <c r="M185" s="2" t="s">
        <v>32</v>
      </c>
      <c r="N185" s="4" t="s">
        <v>650</v>
      </c>
      <c r="O185" s="4" t="s">
        <v>312</v>
      </c>
      <c r="P185" s="4" t="s">
        <v>35</v>
      </c>
      <c r="Q185" s="150">
        <v>2337</v>
      </c>
      <c r="R185" s="150">
        <v>1</v>
      </c>
      <c r="S185" s="150">
        <v>5893</v>
      </c>
      <c r="U185" s="150">
        <v>137.71899999999999</v>
      </c>
      <c r="V185" s="166">
        <v>1.12E-4</v>
      </c>
      <c r="W185" s="166">
        <v>3.6054236650575702E-3</v>
      </c>
      <c r="X185" s="166">
        <v>4.3180132868966597E-4</v>
      </c>
    </row>
    <row r="186" spans="1:24">
      <c r="A186" s="4" t="s">
        <v>256</v>
      </c>
      <c r="B186" s="4">
        <v>556</v>
      </c>
      <c r="C186" s="4" t="s">
        <v>1880</v>
      </c>
      <c r="D186" s="4" t="s">
        <v>1881</v>
      </c>
      <c r="E186" s="4" t="s">
        <v>1552</v>
      </c>
      <c r="F186" s="4" t="s">
        <v>1882</v>
      </c>
      <c r="G186" s="4" t="s">
        <v>1883</v>
      </c>
      <c r="H186" s="4" t="s">
        <v>511</v>
      </c>
      <c r="I186" s="4" t="s">
        <v>1121</v>
      </c>
      <c r="J186" s="4" t="s">
        <v>31</v>
      </c>
      <c r="K186" s="4" t="s">
        <v>31</v>
      </c>
      <c r="L186" s="2" t="s">
        <v>517</v>
      </c>
      <c r="M186" s="2" t="s">
        <v>32</v>
      </c>
      <c r="N186" s="4" t="s">
        <v>642</v>
      </c>
      <c r="O186" s="4" t="s">
        <v>312</v>
      </c>
      <c r="P186" s="4" t="s">
        <v>35</v>
      </c>
      <c r="Q186" s="150">
        <v>10800.73</v>
      </c>
      <c r="R186" s="150">
        <v>1</v>
      </c>
      <c r="S186" s="150">
        <v>895.6</v>
      </c>
      <c r="U186" s="150">
        <v>96.730999999999995</v>
      </c>
      <c r="V186" s="166">
        <v>9.0000000000000002E-6</v>
      </c>
      <c r="W186" s="166">
        <v>2.5323769158264002E-3</v>
      </c>
      <c r="X186" s="166">
        <v>3.03288550412124E-4</v>
      </c>
    </row>
    <row r="187" spans="1:24">
      <c r="A187" s="4" t="s">
        <v>256</v>
      </c>
      <c r="B187" s="4">
        <v>556</v>
      </c>
      <c r="C187" s="4" t="s">
        <v>1884</v>
      </c>
      <c r="D187" s="4" t="s">
        <v>1885</v>
      </c>
      <c r="E187" s="4" t="s">
        <v>1552</v>
      </c>
      <c r="F187" s="4" t="s">
        <v>1886</v>
      </c>
      <c r="G187" s="4" t="s">
        <v>1887</v>
      </c>
      <c r="H187" s="4" t="s">
        <v>511</v>
      </c>
      <c r="I187" s="4" t="s">
        <v>1121</v>
      </c>
      <c r="J187" s="4" t="s">
        <v>31</v>
      </c>
      <c r="K187" s="4" t="s">
        <v>155</v>
      </c>
      <c r="L187" s="2" t="s">
        <v>517</v>
      </c>
      <c r="M187" s="2" t="s">
        <v>32</v>
      </c>
      <c r="N187" s="4" t="s">
        <v>669</v>
      </c>
      <c r="O187" s="4" t="s">
        <v>312</v>
      </c>
      <c r="P187" s="4" t="s">
        <v>35</v>
      </c>
      <c r="Q187" s="150">
        <v>1839</v>
      </c>
      <c r="R187" s="150">
        <v>1</v>
      </c>
      <c r="S187" s="150">
        <v>64400</v>
      </c>
      <c r="U187" s="150">
        <v>1184.316</v>
      </c>
      <c r="V187" s="166">
        <v>2.9E-5</v>
      </c>
      <c r="W187" s="166">
        <v>3.1004786713116999E-2</v>
      </c>
      <c r="X187" s="166">
        <v>3.7132690474670901E-3</v>
      </c>
    </row>
    <row r="188" spans="1:24">
      <c r="A188" s="4" t="s">
        <v>256</v>
      </c>
      <c r="B188" s="4">
        <v>556</v>
      </c>
      <c r="C188" s="4" t="s">
        <v>2054</v>
      </c>
      <c r="D188" s="4" t="s">
        <v>2055</v>
      </c>
      <c r="E188" s="4" t="s">
        <v>1552</v>
      </c>
      <c r="F188" s="4" t="s">
        <v>2056</v>
      </c>
      <c r="G188" s="4" t="s">
        <v>2057</v>
      </c>
      <c r="H188" s="4" t="s">
        <v>511</v>
      </c>
      <c r="I188" s="4" t="s">
        <v>1121</v>
      </c>
      <c r="J188" s="4" t="s">
        <v>31</v>
      </c>
      <c r="K188" s="4" t="s">
        <v>31</v>
      </c>
      <c r="L188" s="2" t="s">
        <v>517</v>
      </c>
      <c r="M188" s="2" t="s">
        <v>32</v>
      </c>
      <c r="N188" s="4" t="s">
        <v>654</v>
      </c>
      <c r="O188" s="4" t="s">
        <v>312</v>
      </c>
      <c r="P188" s="4" t="s">
        <v>35</v>
      </c>
      <c r="Q188" s="150">
        <v>5200</v>
      </c>
      <c r="R188" s="150">
        <v>1</v>
      </c>
      <c r="S188" s="150">
        <v>1516</v>
      </c>
      <c r="U188" s="150">
        <v>78.831999999999994</v>
      </c>
      <c r="V188" s="166">
        <v>5.5599999999999996E-4</v>
      </c>
      <c r="W188" s="166">
        <v>2.0637814115223E-3</v>
      </c>
      <c r="X188" s="166">
        <v>2.47167500523446E-4</v>
      </c>
    </row>
    <row r="189" spans="1:24">
      <c r="A189" s="4" t="s">
        <v>256</v>
      </c>
      <c r="B189" s="4">
        <v>556</v>
      </c>
      <c r="C189" s="4" t="s">
        <v>1888</v>
      </c>
      <c r="D189" s="4" t="s">
        <v>1889</v>
      </c>
      <c r="E189" s="4" t="s">
        <v>1552</v>
      </c>
      <c r="F189" s="4" t="s">
        <v>1890</v>
      </c>
      <c r="G189" s="4" t="s">
        <v>1891</v>
      </c>
      <c r="H189" s="4" t="s">
        <v>511</v>
      </c>
      <c r="I189" s="4" t="s">
        <v>1121</v>
      </c>
      <c r="J189" s="4" t="s">
        <v>31</v>
      </c>
      <c r="K189" s="4" t="s">
        <v>489</v>
      </c>
      <c r="L189" s="2" t="s">
        <v>517</v>
      </c>
      <c r="M189" s="2" t="s">
        <v>32</v>
      </c>
      <c r="N189" s="4" t="s">
        <v>653</v>
      </c>
      <c r="O189" s="4" t="s">
        <v>312</v>
      </c>
      <c r="P189" s="4" t="s">
        <v>35</v>
      </c>
      <c r="Q189" s="150">
        <v>4400</v>
      </c>
      <c r="R189" s="150">
        <v>1</v>
      </c>
      <c r="S189" s="150">
        <v>4210</v>
      </c>
      <c r="U189" s="150">
        <v>185.24</v>
      </c>
      <c r="V189" s="166">
        <v>6.0000000000000002E-5</v>
      </c>
      <c r="W189" s="166">
        <v>4.8494883888571998E-3</v>
      </c>
      <c r="X189" s="166">
        <v>5.8079596860365296E-4</v>
      </c>
    </row>
    <row r="190" spans="1:24">
      <c r="A190" s="4" t="s">
        <v>256</v>
      </c>
      <c r="B190" s="4">
        <v>556</v>
      </c>
      <c r="C190" s="4" t="s">
        <v>1892</v>
      </c>
      <c r="D190" s="4" t="s">
        <v>1893</v>
      </c>
      <c r="E190" s="4" t="s">
        <v>1552</v>
      </c>
      <c r="F190" s="4" t="s">
        <v>1892</v>
      </c>
      <c r="G190" s="4" t="s">
        <v>1894</v>
      </c>
      <c r="H190" s="4" t="s">
        <v>511</v>
      </c>
      <c r="I190" s="4" t="s">
        <v>1121</v>
      </c>
      <c r="J190" s="4" t="s">
        <v>31</v>
      </c>
      <c r="K190" s="4" t="s">
        <v>31</v>
      </c>
      <c r="L190" s="2" t="s">
        <v>517</v>
      </c>
      <c r="M190" s="2" t="s">
        <v>32</v>
      </c>
      <c r="N190" s="4" t="s">
        <v>648</v>
      </c>
      <c r="O190" s="4" t="s">
        <v>312</v>
      </c>
      <c r="P190" s="4" t="s">
        <v>35</v>
      </c>
      <c r="Q190" s="150">
        <v>4527</v>
      </c>
      <c r="R190" s="150">
        <v>1</v>
      </c>
      <c r="S190" s="150">
        <v>1772</v>
      </c>
      <c r="U190" s="150">
        <v>80.218000000000004</v>
      </c>
      <c r="V190" s="166">
        <v>1.2999999999999999E-4</v>
      </c>
      <c r="W190" s="166">
        <v>2.1000777011025598E-3</v>
      </c>
      <c r="X190" s="166">
        <v>2.5151450312931403E-4</v>
      </c>
    </row>
    <row r="191" spans="1:24">
      <c r="A191" s="4" t="s">
        <v>256</v>
      </c>
      <c r="B191" s="4">
        <v>556</v>
      </c>
      <c r="C191" s="4" t="s">
        <v>2058</v>
      </c>
      <c r="D191" s="4" t="s">
        <v>2059</v>
      </c>
      <c r="E191" s="4" t="s">
        <v>1552</v>
      </c>
      <c r="F191" s="4" t="s">
        <v>2060</v>
      </c>
      <c r="G191" s="4" t="s">
        <v>2061</v>
      </c>
      <c r="H191" s="4" t="s">
        <v>511</v>
      </c>
      <c r="I191" s="4" t="s">
        <v>1121</v>
      </c>
      <c r="J191" s="4" t="s">
        <v>31</v>
      </c>
      <c r="K191" s="4" t="s">
        <v>31</v>
      </c>
      <c r="L191" s="2" t="s">
        <v>517</v>
      </c>
      <c r="M191" s="2" t="s">
        <v>32</v>
      </c>
      <c r="N191" s="4" t="s">
        <v>654</v>
      </c>
      <c r="O191" s="4" t="s">
        <v>312</v>
      </c>
      <c r="P191" s="4" t="s">
        <v>35</v>
      </c>
      <c r="Q191" s="150">
        <v>14047</v>
      </c>
      <c r="R191" s="150">
        <v>1</v>
      </c>
      <c r="S191" s="150">
        <v>474.1</v>
      </c>
      <c r="T191" s="149">
        <v>4.9160000000000004</v>
      </c>
      <c r="U191" s="150">
        <v>71.513000000000005</v>
      </c>
      <c r="V191" s="166">
        <v>2.12E-4</v>
      </c>
      <c r="W191" s="166">
        <v>1.8721809893145599E-3</v>
      </c>
      <c r="X191" s="166">
        <v>2.24220594813412E-4</v>
      </c>
    </row>
    <row r="192" spans="1:24">
      <c r="A192" s="4" t="s">
        <v>256</v>
      </c>
      <c r="B192" s="4">
        <v>556</v>
      </c>
      <c r="C192" s="4" t="s">
        <v>1895</v>
      </c>
      <c r="D192" s="4" t="s">
        <v>1896</v>
      </c>
      <c r="E192" s="4" t="s">
        <v>1552</v>
      </c>
      <c r="F192" s="4" t="s">
        <v>1897</v>
      </c>
      <c r="G192" s="4" t="s">
        <v>1898</v>
      </c>
      <c r="H192" s="4" t="s">
        <v>511</v>
      </c>
      <c r="I192" s="4" t="s">
        <v>1121</v>
      </c>
      <c r="J192" s="4" t="s">
        <v>31</v>
      </c>
      <c r="K192" s="4" t="s">
        <v>31</v>
      </c>
      <c r="L192" s="2" t="s">
        <v>517</v>
      </c>
      <c r="M192" s="2" t="s">
        <v>32</v>
      </c>
      <c r="N192" s="4" t="s">
        <v>652</v>
      </c>
      <c r="O192" s="4" t="s">
        <v>312</v>
      </c>
      <c r="P192" s="4" t="s">
        <v>35</v>
      </c>
      <c r="Q192" s="150">
        <v>4360</v>
      </c>
      <c r="R192" s="150">
        <v>1</v>
      </c>
      <c r="S192" s="150">
        <v>22000</v>
      </c>
      <c r="U192" s="150">
        <v>959.2</v>
      </c>
      <c r="V192" s="166">
        <v>3.6000000000000001E-5</v>
      </c>
      <c r="W192" s="166">
        <v>2.5111365053939901E-2</v>
      </c>
      <c r="X192" s="166">
        <v>3.0074470583277002E-3</v>
      </c>
    </row>
    <row r="193" spans="1:24">
      <c r="A193" s="4" t="s">
        <v>256</v>
      </c>
      <c r="B193" s="4">
        <v>556</v>
      </c>
      <c r="C193" s="4" t="s">
        <v>1899</v>
      </c>
      <c r="D193" s="4" t="s">
        <v>1900</v>
      </c>
      <c r="E193" s="4" t="s">
        <v>1552</v>
      </c>
      <c r="F193" s="4" t="s">
        <v>1901</v>
      </c>
      <c r="G193" s="4" t="s">
        <v>1902</v>
      </c>
      <c r="H193" s="4" t="s">
        <v>511</v>
      </c>
      <c r="I193" s="4" t="s">
        <v>1121</v>
      </c>
      <c r="J193" s="4" t="s">
        <v>31</v>
      </c>
      <c r="K193" s="4" t="s">
        <v>31</v>
      </c>
      <c r="L193" s="2" t="s">
        <v>517</v>
      </c>
      <c r="M193" s="2" t="s">
        <v>32</v>
      </c>
      <c r="N193" s="4" t="s">
        <v>639</v>
      </c>
      <c r="O193" s="4" t="s">
        <v>312</v>
      </c>
      <c r="P193" s="4" t="s">
        <v>35</v>
      </c>
      <c r="Q193" s="150">
        <v>398</v>
      </c>
      <c r="R193" s="150">
        <v>1</v>
      </c>
      <c r="S193" s="150">
        <v>8237</v>
      </c>
      <c r="U193" s="150">
        <v>32.783000000000001</v>
      </c>
      <c r="V193" s="166">
        <v>5.8999999999999998E-5</v>
      </c>
      <c r="W193" s="166">
        <v>8.5824896738764095E-4</v>
      </c>
      <c r="X193" s="166">
        <v>1.02787655180768E-4</v>
      </c>
    </row>
    <row r="194" spans="1:24">
      <c r="A194" s="4" t="s">
        <v>256</v>
      </c>
      <c r="B194" s="4">
        <v>556</v>
      </c>
      <c r="C194" s="4" t="s">
        <v>1903</v>
      </c>
      <c r="D194" s="4" t="s">
        <v>1904</v>
      </c>
      <c r="E194" s="4" t="s">
        <v>1552</v>
      </c>
      <c r="F194" s="4" t="s">
        <v>1905</v>
      </c>
      <c r="G194" s="4" t="s">
        <v>1906</v>
      </c>
      <c r="H194" s="4" t="s">
        <v>511</v>
      </c>
      <c r="I194" s="4" t="s">
        <v>1121</v>
      </c>
      <c r="J194" s="4" t="s">
        <v>31</v>
      </c>
      <c r="K194" s="4" t="s">
        <v>31</v>
      </c>
      <c r="L194" s="2" t="s">
        <v>517</v>
      </c>
      <c r="M194" s="2" t="s">
        <v>32</v>
      </c>
      <c r="N194" s="4" t="s">
        <v>636</v>
      </c>
      <c r="O194" s="4" t="s">
        <v>312</v>
      </c>
      <c r="P194" s="4" t="s">
        <v>35</v>
      </c>
      <c r="Q194" s="150">
        <v>69856</v>
      </c>
      <c r="R194" s="150">
        <v>1</v>
      </c>
      <c r="S194" s="150">
        <v>3365</v>
      </c>
      <c r="U194" s="150">
        <v>2350.654</v>
      </c>
      <c r="V194" s="166">
        <v>5.1999999999999997E-5</v>
      </c>
      <c r="W194" s="166">
        <v>6.15389290596852E-2</v>
      </c>
      <c r="X194" s="166">
        <v>7.3701716643297301E-3</v>
      </c>
    </row>
    <row r="195" spans="1:24">
      <c r="A195" s="4" t="s">
        <v>256</v>
      </c>
      <c r="B195" s="4">
        <v>556</v>
      </c>
      <c r="C195" s="4" t="s">
        <v>1907</v>
      </c>
      <c r="D195" s="4" t="s">
        <v>1908</v>
      </c>
      <c r="E195" s="4" t="s">
        <v>1552</v>
      </c>
      <c r="F195" s="4" t="s">
        <v>1909</v>
      </c>
      <c r="G195" s="4" t="s">
        <v>1910</v>
      </c>
      <c r="H195" s="4" t="s">
        <v>511</v>
      </c>
      <c r="I195" s="4" t="s">
        <v>1121</v>
      </c>
      <c r="J195" s="4" t="s">
        <v>31</v>
      </c>
      <c r="K195" s="4" t="s">
        <v>31</v>
      </c>
      <c r="L195" s="2" t="s">
        <v>517</v>
      </c>
      <c r="M195" s="2" t="s">
        <v>32</v>
      </c>
      <c r="N195" s="4" t="s">
        <v>665</v>
      </c>
      <c r="O195" s="4" t="s">
        <v>312</v>
      </c>
      <c r="P195" s="4" t="s">
        <v>35</v>
      </c>
      <c r="Q195" s="150">
        <v>5670</v>
      </c>
      <c r="R195" s="150">
        <v>1</v>
      </c>
      <c r="S195" s="150">
        <v>26800</v>
      </c>
      <c r="U195" s="150">
        <v>1519.56</v>
      </c>
      <c r="V195" s="166">
        <v>3.6999999999999999E-4</v>
      </c>
      <c r="W195" s="166">
        <v>3.97813030456265E-2</v>
      </c>
      <c r="X195" s="166">
        <v>4.7643830816851999E-3</v>
      </c>
    </row>
    <row r="196" spans="1:24">
      <c r="A196" s="4" t="s">
        <v>256</v>
      </c>
      <c r="B196" s="4">
        <v>556</v>
      </c>
      <c r="C196" s="4" t="s">
        <v>1911</v>
      </c>
      <c r="D196" s="4" t="s">
        <v>1912</v>
      </c>
      <c r="E196" s="4" t="s">
        <v>1552</v>
      </c>
      <c r="F196" s="4" t="s">
        <v>1913</v>
      </c>
      <c r="G196" s="4" t="s">
        <v>1914</v>
      </c>
      <c r="H196" s="4" t="s">
        <v>511</v>
      </c>
      <c r="I196" s="4" t="s">
        <v>1121</v>
      </c>
      <c r="J196" s="4" t="s">
        <v>31</v>
      </c>
      <c r="K196" s="4" t="s">
        <v>31</v>
      </c>
      <c r="L196" s="2" t="s">
        <v>517</v>
      </c>
      <c r="M196" s="2" t="s">
        <v>32</v>
      </c>
      <c r="N196" s="4" t="s">
        <v>628</v>
      </c>
      <c r="O196" s="4" t="s">
        <v>312</v>
      </c>
      <c r="P196" s="4" t="s">
        <v>35</v>
      </c>
      <c r="Q196" s="150">
        <v>1123</v>
      </c>
      <c r="R196" s="150">
        <v>1</v>
      </c>
      <c r="S196" s="150">
        <v>6189</v>
      </c>
      <c r="U196" s="150">
        <v>69.501999999999995</v>
      </c>
      <c r="V196" s="166">
        <v>9.0000000000000006E-5</v>
      </c>
      <c r="W196" s="166">
        <v>1.81953909124323E-3</v>
      </c>
      <c r="X196" s="166">
        <v>2.1791597054629901E-4</v>
      </c>
    </row>
    <row r="197" spans="1:24">
      <c r="A197" s="4" t="s">
        <v>256</v>
      </c>
      <c r="B197" s="4">
        <v>556</v>
      </c>
      <c r="C197" s="4" t="s">
        <v>1915</v>
      </c>
      <c r="D197" s="4" t="s">
        <v>1916</v>
      </c>
      <c r="E197" s="4" t="s">
        <v>1552</v>
      </c>
      <c r="F197" s="4" t="s">
        <v>1917</v>
      </c>
      <c r="G197" s="4" t="s">
        <v>1918</v>
      </c>
      <c r="H197" s="4" t="s">
        <v>511</v>
      </c>
      <c r="I197" s="4" t="s">
        <v>1121</v>
      </c>
      <c r="J197" s="4" t="s">
        <v>31</v>
      </c>
      <c r="K197" s="4" t="s">
        <v>31</v>
      </c>
      <c r="L197" s="2" t="s">
        <v>517</v>
      </c>
      <c r="M197" s="2" t="s">
        <v>32</v>
      </c>
      <c r="N197" s="4" t="s">
        <v>628</v>
      </c>
      <c r="O197" s="4" t="s">
        <v>312</v>
      </c>
      <c r="P197" s="4" t="s">
        <v>35</v>
      </c>
      <c r="Q197" s="150">
        <v>317</v>
      </c>
      <c r="R197" s="150">
        <v>1</v>
      </c>
      <c r="S197" s="150">
        <v>34440</v>
      </c>
      <c r="T197" s="149">
        <v>5.1989999999999998</v>
      </c>
      <c r="U197" s="150">
        <v>114.374</v>
      </c>
      <c r="V197" s="166">
        <v>3.0000000000000001E-5</v>
      </c>
      <c r="W197" s="166">
        <v>2.9942464970305598E-3</v>
      </c>
      <c r="X197" s="166">
        <v>3.5860407429303499E-4</v>
      </c>
    </row>
    <row r="198" spans="1:24">
      <c r="A198" s="4" t="s">
        <v>256</v>
      </c>
      <c r="B198" s="4">
        <v>556</v>
      </c>
      <c r="C198" s="4" t="s">
        <v>1919</v>
      </c>
      <c r="D198" s="4" t="s">
        <v>1920</v>
      </c>
      <c r="E198" s="4" t="s">
        <v>1552</v>
      </c>
      <c r="F198" s="4" t="s">
        <v>1921</v>
      </c>
      <c r="G198" s="4" t="s">
        <v>1922</v>
      </c>
      <c r="H198" s="4" t="s">
        <v>511</v>
      </c>
      <c r="I198" s="4" t="s">
        <v>1121</v>
      </c>
      <c r="J198" s="4" t="s">
        <v>31</v>
      </c>
      <c r="K198" s="4" t="s">
        <v>31</v>
      </c>
      <c r="L198" s="2" t="s">
        <v>517</v>
      </c>
      <c r="M198" s="2" t="s">
        <v>32</v>
      </c>
      <c r="N198" s="4" t="s">
        <v>636</v>
      </c>
      <c r="O198" s="4" t="s">
        <v>312</v>
      </c>
      <c r="P198" s="4" t="s">
        <v>35</v>
      </c>
      <c r="Q198" s="150">
        <v>6166.5</v>
      </c>
      <c r="R198" s="150">
        <v>1</v>
      </c>
      <c r="S198" s="150">
        <v>15200</v>
      </c>
      <c r="U198" s="150">
        <v>937.30799999999999</v>
      </c>
      <c r="V198" s="166">
        <v>1.74E-4</v>
      </c>
      <c r="W198" s="166">
        <v>2.4538243698893101E-2</v>
      </c>
      <c r="X198" s="166">
        <v>2.9388075347654601E-3</v>
      </c>
    </row>
    <row r="199" spans="1:24">
      <c r="A199" s="4" t="s">
        <v>256</v>
      </c>
      <c r="B199" s="4">
        <v>556</v>
      </c>
      <c r="C199" s="4" t="s">
        <v>1923</v>
      </c>
      <c r="D199" s="4" t="s">
        <v>1924</v>
      </c>
      <c r="E199" s="4" t="s">
        <v>1552</v>
      </c>
      <c r="F199" s="4" t="s">
        <v>1925</v>
      </c>
      <c r="G199" s="4" t="s">
        <v>1926</v>
      </c>
      <c r="H199" s="4" t="s">
        <v>511</v>
      </c>
      <c r="I199" s="4" t="s">
        <v>1121</v>
      </c>
      <c r="J199" s="4" t="s">
        <v>31</v>
      </c>
      <c r="K199" s="4" t="s">
        <v>31</v>
      </c>
      <c r="L199" s="2" t="s">
        <v>517</v>
      </c>
      <c r="M199" s="2" t="s">
        <v>32</v>
      </c>
      <c r="N199" s="4" t="s">
        <v>659</v>
      </c>
      <c r="O199" s="4" t="s">
        <v>312</v>
      </c>
      <c r="P199" s="4" t="s">
        <v>35</v>
      </c>
      <c r="Q199" s="150">
        <v>11835</v>
      </c>
      <c r="R199" s="150">
        <v>1</v>
      </c>
      <c r="S199" s="150">
        <v>469.6</v>
      </c>
      <c r="U199" s="150">
        <v>55.576999999999998</v>
      </c>
      <c r="V199" s="166">
        <v>1.55E-4</v>
      </c>
      <c r="W199" s="166">
        <v>1.4549816028161201E-3</v>
      </c>
      <c r="X199" s="166">
        <v>1.7425496909112599E-4</v>
      </c>
    </row>
    <row r="200" spans="1:24">
      <c r="A200" s="4" t="s">
        <v>256</v>
      </c>
      <c r="B200" s="4">
        <v>556</v>
      </c>
      <c r="C200" s="4" t="s">
        <v>1927</v>
      </c>
      <c r="D200" s="4" t="s">
        <v>1928</v>
      </c>
      <c r="E200" s="4" t="s">
        <v>1552</v>
      </c>
      <c r="F200" s="4" t="s">
        <v>1929</v>
      </c>
      <c r="G200" s="4" t="s">
        <v>1930</v>
      </c>
      <c r="H200" s="4" t="s">
        <v>511</v>
      </c>
      <c r="I200" s="4" t="s">
        <v>1121</v>
      </c>
      <c r="J200" s="4" t="s">
        <v>31</v>
      </c>
      <c r="K200" s="4" t="s">
        <v>31</v>
      </c>
      <c r="L200" s="2" t="s">
        <v>517</v>
      </c>
      <c r="M200" s="2" t="s">
        <v>32</v>
      </c>
      <c r="N200" s="4" t="s">
        <v>627</v>
      </c>
      <c r="O200" s="4" t="s">
        <v>312</v>
      </c>
      <c r="P200" s="4" t="s">
        <v>35</v>
      </c>
      <c r="Q200" s="150">
        <v>36274.35</v>
      </c>
      <c r="R200" s="150">
        <v>1</v>
      </c>
      <c r="S200" s="150">
        <v>379.1</v>
      </c>
      <c r="U200" s="150">
        <v>137.51599999999999</v>
      </c>
      <c r="V200" s="166">
        <v>5.0500000000000002E-4</v>
      </c>
      <c r="W200" s="166">
        <v>3.60010008839049E-3</v>
      </c>
      <c r="X200" s="166">
        <v>4.3116375383251299E-4</v>
      </c>
    </row>
    <row r="201" spans="1:24">
      <c r="A201" s="4" t="s">
        <v>256</v>
      </c>
      <c r="B201" s="4">
        <v>556</v>
      </c>
      <c r="C201" s="4" t="s">
        <v>1931</v>
      </c>
      <c r="D201" s="4" t="s">
        <v>1932</v>
      </c>
      <c r="E201" s="4" t="s">
        <v>1552</v>
      </c>
      <c r="F201" s="4" t="s">
        <v>1933</v>
      </c>
      <c r="G201" s="4" t="s">
        <v>1934</v>
      </c>
      <c r="H201" s="4" t="s">
        <v>511</v>
      </c>
      <c r="I201" s="4" t="s">
        <v>1121</v>
      </c>
      <c r="J201" s="4" t="s">
        <v>31</v>
      </c>
      <c r="K201" s="4" t="s">
        <v>31</v>
      </c>
      <c r="L201" s="2" t="s">
        <v>517</v>
      </c>
      <c r="M201" s="2" t="s">
        <v>32</v>
      </c>
      <c r="N201" s="4" t="s">
        <v>648</v>
      </c>
      <c r="O201" s="4" t="s">
        <v>312</v>
      </c>
      <c r="P201" s="4" t="s">
        <v>35</v>
      </c>
      <c r="Q201" s="150">
        <v>8075</v>
      </c>
      <c r="R201" s="150">
        <v>1</v>
      </c>
      <c r="S201" s="150">
        <v>332.1</v>
      </c>
      <c r="U201" s="150">
        <v>26.817</v>
      </c>
      <c r="V201" s="166">
        <v>1.6200000000000001E-4</v>
      </c>
      <c r="W201" s="166">
        <v>7.0205729775217401E-4</v>
      </c>
      <c r="X201" s="166">
        <v>8.4081456757405604E-5</v>
      </c>
    </row>
    <row r="202" spans="1:24">
      <c r="A202" s="4" t="s">
        <v>256</v>
      </c>
      <c r="B202" s="4">
        <v>556</v>
      </c>
      <c r="C202" s="4" t="s">
        <v>1935</v>
      </c>
      <c r="D202" s="4" t="s">
        <v>1936</v>
      </c>
      <c r="E202" s="4" t="s">
        <v>1552</v>
      </c>
      <c r="F202" s="4" t="s">
        <v>1937</v>
      </c>
      <c r="G202" s="4" t="s">
        <v>1938</v>
      </c>
      <c r="H202" s="4" t="s">
        <v>511</v>
      </c>
      <c r="I202" s="4" t="s">
        <v>1121</v>
      </c>
      <c r="J202" s="4" t="s">
        <v>31</v>
      </c>
      <c r="K202" s="4" t="s">
        <v>31</v>
      </c>
      <c r="L202" s="2" t="s">
        <v>517</v>
      </c>
      <c r="M202" s="2" t="s">
        <v>32</v>
      </c>
      <c r="N202" s="4" t="s">
        <v>644</v>
      </c>
      <c r="O202" s="4" t="s">
        <v>312</v>
      </c>
      <c r="P202" s="4" t="s">
        <v>35</v>
      </c>
      <c r="Q202" s="150">
        <v>803</v>
      </c>
      <c r="R202" s="150">
        <v>1</v>
      </c>
      <c r="S202" s="150">
        <v>5050</v>
      </c>
      <c r="U202" s="150">
        <v>40.551000000000002</v>
      </c>
      <c r="V202" s="166">
        <v>3.1000000000000001E-5</v>
      </c>
      <c r="W202" s="166">
        <v>1.0616175145797E-3</v>
      </c>
      <c r="X202" s="166">
        <v>1.2714396307941599E-4</v>
      </c>
    </row>
    <row r="203" spans="1:24">
      <c r="A203" s="4" t="s">
        <v>256</v>
      </c>
      <c r="B203" s="4">
        <v>556</v>
      </c>
      <c r="C203" s="4" t="s">
        <v>1939</v>
      </c>
      <c r="D203" s="4" t="s">
        <v>1940</v>
      </c>
      <c r="E203" s="4" t="s">
        <v>1552</v>
      </c>
      <c r="F203" s="4" t="s">
        <v>1941</v>
      </c>
      <c r="G203" s="4" t="s">
        <v>1942</v>
      </c>
      <c r="H203" s="4" t="s">
        <v>511</v>
      </c>
      <c r="I203" s="4" t="s">
        <v>1121</v>
      </c>
      <c r="J203" s="4" t="s">
        <v>31</v>
      </c>
      <c r="K203" s="4" t="s">
        <v>31</v>
      </c>
      <c r="L203" s="2" t="s">
        <v>517</v>
      </c>
      <c r="M203" s="2" t="s">
        <v>32</v>
      </c>
      <c r="N203" s="4" t="s">
        <v>673</v>
      </c>
      <c r="O203" s="4" t="s">
        <v>312</v>
      </c>
      <c r="P203" s="4" t="s">
        <v>35</v>
      </c>
      <c r="Q203" s="150">
        <v>2570</v>
      </c>
      <c r="R203" s="150">
        <v>1</v>
      </c>
      <c r="S203" s="150">
        <v>1535</v>
      </c>
      <c r="U203" s="150">
        <v>39.450000000000003</v>
      </c>
      <c r="V203" s="166">
        <v>1.4E-5</v>
      </c>
      <c r="W203" s="166">
        <v>1.03276771861489E-3</v>
      </c>
      <c r="X203" s="166">
        <v>1.2368878516211301E-4</v>
      </c>
    </row>
    <row r="204" spans="1:24">
      <c r="A204" s="4" t="s">
        <v>256</v>
      </c>
      <c r="B204" s="4">
        <v>556</v>
      </c>
      <c r="C204" s="4" t="s">
        <v>1943</v>
      </c>
      <c r="D204" s="4" t="s">
        <v>1944</v>
      </c>
      <c r="E204" s="4" t="s">
        <v>1552</v>
      </c>
      <c r="F204" s="4" t="s">
        <v>1945</v>
      </c>
      <c r="G204" s="4" t="s">
        <v>1946</v>
      </c>
      <c r="H204" s="4" t="s">
        <v>511</v>
      </c>
      <c r="I204" s="4" t="s">
        <v>1121</v>
      </c>
      <c r="J204" s="4" t="s">
        <v>31</v>
      </c>
      <c r="K204" s="4" t="s">
        <v>489</v>
      </c>
      <c r="L204" s="2" t="s">
        <v>517</v>
      </c>
      <c r="M204" s="2" t="s">
        <v>32</v>
      </c>
      <c r="N204" s="4" t="s">
        <v>646</v>
      </c>
      <c r="O204" s="4" t="s">
        <v>312</v>
      </c>
      <c r="P204" s="4" t="s">
        <v>35</v>
      </c>
      <c r="Q204" s="150">
        <v>3816</v>
      </c>
      <c r="R204" s="150">
        <v>1</v>
      </c>
      <c r="S204" s="150">
        <v>22930</v>
      </c>
      <c r="U204" s="150">
        <v>875.00900000000001</v>
      </c>
      <c r="V204" s="166">
        <v>2.9500000000000001E-4</v>
      </c>
      <c r="W204" s="166">
        <v>2.2907282529409798E-2</v>
      </c>
      <c r="X204" s="166">
        <v>2.7434764820380101E-3</v>
      </c>
    </row>
    <row r="205" spans="1:24">
      <c r="A205" s="4" t="s">
        <v>256</v>
      </c>
      <c r="B205" s="4">
        <v>556</v>
      </c>
      <c r="C205" s="4" t="s">
        <v>1947</v>
      </c>
      <c r="D205" s="4" t="s">
        <v>1948</v>
      </c>
      <c r="E205" s="4" t="s">
        <v>1552</v>
      </c>
      <c r="F205" s="4" t="s">
        <v>1949</v>
      </c>
      <c r="G205" s="4" t="s">
        <v>1950</v>
      </c>
      <c r="H205" s="4" t="s">
        <v>511</v>
      </c>
      <c r="I205" s="4" t="s">
        <v>1121</v>
      </c>
      <c r="J205" s="4" t="s">
        <v>31</v>
      </c>
      <c r="K205" s="4" t="s">
        <v>31</v>
      </c>
      <c r="L205" s="2" t="s">
        <v>517</v>
      </c>
      <c r="M205" s="2" t="s">
        <v>32</v>
      </c>
      <c r="N205" s="4" t="s">
        <v>635</v>
      </c>
      <c r="O205" s="4" t="s">
        <v>312</v>
      </c>
      <c r="P205" s="4" t="s">
        <v>35</v>
      </c>
      <c r="Q205" s="150">
        <v>796</v>
      </c>
      <c r="R205" s="150">
        <v>1</v>
      </c>
      <c r="S205" s="150">
        <v>7294</v>
      </c>
      <c r="U205" s="150">
        <v>58.06</v>
      </c>
      <c r="V205" s="166">
        <v>3.8000000000000002E-5</v>
      </c>
      <c r="W205" s="166">
        <v>1.5199873663045899E-3</v>
      </c>
      <c r="X205" s="166">
        <v>1.82040344030234E-4</v>
      </c>
    </row>
    <row r="206" spans="1:24">
      <c r="A206" s="4" t="s">
        <v>256</v>
      </c>
      <c r="B206" s="4">
        <v>556</v>
      </c>
      <c r="C206" s="4" t="s">
        <v>2062</v>
      </c>
      <c r="D206" s="4" t="s">
        <v>2063</v>
      </c>
      <c r="E206" s="4" t="s">
        <v>1552</v>
      </c>
      <c r="F206" s="4" t="s">
        <v>2064</v>
      </c>
      <c r="G206" s="4" t="s">
        <v>2065</v>
      </c>
      <c r="H206" s="4" t="s">
        <v>511</v>
      </c>
      <c r="I206" s="4" t="s">
        <v>1121</v>
      </c>
      <c r="J206" s="4" t="s">
        <v>31</v>
      </c>
      <c r="K206" s="4" t="s">
        <v>155</v>
      </c>
      <c r="L206" s="2" t="s">
        <v>517</v>
      </c>
      <c r="M206" s="2" t="s">
        <v>32</v>
      </c>
      <c r="N206" s="4" t="s">
        <v>646</v>
      </c>
      <c r="O206" s="4" t="s">
        <v>312</v>
      </c>
      <c r="P206" s="4" t="s">
        <v>35</v>
      </c>
      <c r="Q206" s="150">
        <v>2361</v>
      </c>
      <c r="R206" s="150">
        <v>1</v>
      </c>
      <c r="S206" s="150">
        <v>14290</v>
      </c>
      <c r="U206" s="150">
        <v>337.387</v>
      </c>
      <c r="V206" s="166">
        <v>5.4799999999999998E-4</v>
      </c>
      <c r="W206" s="166">
        <v>8.8326163577117506E-3</v>
      </c>
      <c r="X206" s="166">
        <v>1.0578328189358901E-3</v>
      </c>
    </row>
    <row r="207" spans="1:24">
      <c r="A207" s="4" t="s">
        <v>256</v>
      </c>
      <c r="B207" s="4">
        <v>556</v>
      </c>
      <c r="C207" s="4" t="s">
        <v>2066</v>
      </c>
      <c r="D207" s="4" t="s">
        <v>2067</v>
      </c>
      <c r="E207" s="4" t="s">
        <v>1552</v>
      </c>
      <c r="F207" s="4" t="s">
        <v>2068</v>
      </c>
      <c r="G207" s="4" t="s">
        <v>2069</v>
      </c>
      <c r="H207" s="4" t="s">
        <v>511</v>
      </c>
      <c r="I207" s="4" t="s">
        <v>1121</v>
      </c>
      <c r="J207" s="4" t="s">
        <v>31</v>
      </c>
      <c r="K207" s="4" t="s">
        <v>31</v>
      </c>
      <c r="L207" s="2" t="s">
        <v>517</v>
      </c>
      <c r="M207" s="2" t="s">
        <v>32</v>
      </c>
      <c r="N207" s="4" t="s">
        <v>651</v>
      </c>
      <c r="O207" s="4" t="s">
        <v>312</v>
      </c>
      <c r="P207" s="4" t="s">
        <v>35</v>
      </c>
      <c r="Q207" s="150">
        <v>369</v>
      </c>
      <c r="R207" s="150">
        <v>1</v>
      </c>
      <c r="S207" s="150">
        <v>19350</v>
      </c>
      <c r="U207" s="150">
        <v>71.400999999999996</v>
      </c>
      <c r="V207" s="166">
        <v>1.63E-4</v>
      </c>
      <c r="W207" s="166">
        <v>1.86925472466523E-3</v>
      </c>
      <c r="X207" s="166">
        <v>2.23870132542937E-4</v>
      </c>
    </row>
    <row r="208" spans="1:24">
      <c r="A208" s="4" t="s">
        <v>256</v>
      </c>
      <c r="B208" s="4">
        <v>556</v>
      </c>
      <c r="C208" s="4" t="s">
        <v>1951</v>
      </c>
      <c r="D208" s="4" t="s">
        <v>1952</v>
      </c>
      <c r="E208" s="4" t="s">
        <v>1552</v>
      </c>
      <c r="F208" s="4" t="s">
        <v>1953</v>
      </c>
      <c r="G208" s="4" t="s">
        <v>1954</v>
      </c>
      <c r="H208" s="4" t="s">
        <v>511</v>
      </c>
      <c r="I208" s="4" t="s">
        <v>1121</v>
      </c>
      <c r="J208" s="4" t="s">
        <v>31</v>
      </c>
      <c r="K208" s="4" t="s">
        <v>489</v>
      </c>
      <c r="L208" s="2" t="s">
        <v>517</v>
      </c>
      <c r="M208" s="2" t="s">
        <v>32</v>
      </c>
      <c r="N208" s="4" t="s">
        <v>646</v>
      </c>
      <c r="O208" s="4" t="s">
        <v>312</v>
      </c>
      <c r="P208" s="4" t="s">
        <v>35</v>
      </c>
      <c r="Q208" s="150">
        <v>370</v>
      </c>
      <c r="R208" s="150">
        <v>1</v>
      </c>
      <c r="S208" s="150">
        <v>47200</v>
      </c>
      <c r="U208" s="150">
        <v>174.64</v>
      </c>
      <c r="V208" s="166">
        <v>7.9999999999999996E-6</v>
      </c>
      <c r="W208" s="166">
        <v>4.5719858142410997E-3</v>
      </c>
      <c r="X208" s="166">
        <v>5.4756104489819704E-4</v>
      </c>
    </row>
    <row r="209" spans="1:24">
      <c r="A209" s="4" t="s">
        <v>256</v>
      </c>
      <c r="B209" s="4">
        <v>556</v>
      </c>
      <c r="C209" s="4" t="s">
        <v>1955</v>
      </c>
      <c r="D209" s="4" t="s">
        <v>1956</v>
      </c>
      <c r="E209" s="4" t="s">
        <v>505</v>
      </c>
      <c r="F209" s="4" t="s">
        <v>1957</v>
      </c>
      <c r="G209" s="4" t="s">
        <v>1958</v>
      </c>
      <c r="H209" s="4" t="s">
        <v>511</v>
      </c>
      <c r="I209" s="4" t="s">
        <v>1121</v>
      </c>
      <c r="J209" s="4" t="s">
        <v>31</v>
      </c>
      <c r="K209" s="4" t="s">
        <v>31</v>
      </c>
      <c r="L209" s="2" t="s">
        <v>517</v>
      </c>
      <c r="M209" s="2" t="s">
        <v>32</v>
      </c>
      <c r="N209" s="4" t="s">
        <v>639</v>
      </c>
      <c r="O209" s="4" t="s">
        <v>312</v>
      </c>
      <c r="P209" s="4" t="s">
        <v>35</v>
      </c>
      <c r="Q209" s="150">
        <v>5542</v>
      </c>
      <c r="R209" s="150">
        <v>1</v>
      </c>
      <c r="S209" s="150">
        <v>9392</v>
      </c>
      <c r="U209" s="150">
        <v>520.505</v>
      </c>
      <c r="V209" s="166">
        <v>1.0399999999999999E-4</v>
      </c>
      <c r="W209" s="166">
        <v>1.3626545066002501E-2</v>
      </c>
      <c r="X209" s="166">
        <v>1.63197471686189E-3</v>
      </c>
    </row>
    <row r="210" spans="1:24">
      <c r="A210" s="4" t="s">
        <v>256</v>
      </c>
      <c r="B210" s="4">
        <v>556</v>
      </c>
      <c r="C210" s="4" t="s">
        <v>2070</v>
      </c>
      <c r="D210" s="4" t="s">
        <v>2071</v>
      </c>
      <c r="E210" s="4" t="s">
        <v>1552</v>
      </c>
      <c r="F210" s="4" t="s">
        <v>2072</v>
      </c>
      <c r="G210" s="4" t="s">
        <v>2073</v>
      </c>
      <c r="H210" s="4" t="s">
        <v>511</v>
      </c>
      <c r="I210" s="4" t="s">
        <v>1121</v>
      </c>
      <c r="J210" s="4" t="s">
        <v>31</v>
      </c>
      <c r="K210" s="4" t="s">
        <v>31</v>
      </c>
      <c r="L210" s="2" t="s">
        <v>517</v>
      </c>
      <c r="M210" s="2" t="s">
        <v>32</v>
      </c>
      <c r="N210" s="4" t="s">
        <v>638</v>
      </c>
      <c r="O210" s="4" t="s">
        <v>312</v>
      </c>
      <c r="P210" s="4" t="s">
        <v>35</v>
      </c>
      <c r="Q210" s="150">
        <v>203810.9</v>
      </c>
      <c r="R210" s="150">
        <v>1</v>
      </c>
      <c r="S210" s="150">
        <v>53.9</v>
      </c>
      <c r="U210" s="150">
        <v>109.854</v>
      </c>
      <c r="V210" s="166">
        <v>1.374E-3</v>
      </c>
      <c r="W210" s="166">
        <v>2.8759234596528599E-3</v>
      </c>
      <c r="X210" s="166">
        <v>3.4443318912093999E-4</v>
      </c>
    </row>
    <row r="211" spans="1:24">
      <c r="A211" s="4" t="s">
        <v>256</v>
      </c>
      <c r="B211" s="4">
        <v>556</v>
      </c>
      <c r="C211" s="4" t="s">
        <v>1959</v>
      </c>
      <c r="D211" s="4" t="s">
        <v>1960</v>
      </c>
      <c r="E211" s="4" t="s">
        <v>1552</v>
      </c>
      <c r="F211" s="4" t="s">
        <v>1961</v>
      </c>
      <c r="G211" s="4" t="s">
        <v>1962</v>
      </c>
      <c r="H211" s="4" t="s">
        <v>511</v>
      </c>
      <c r="I211" s="4" t="s">
        <v>1121</v>
      </c>
      <c r="J211" s="4" t="s">
        <v>31</v>
      </c>
      <c r="K211" s="4" t="s">
        <v>31</v>
      </c>
      <c r="L211" s="2" t="s">
        <v>517</v>
      </c>
      <c r="M211" s="2" t="s">
        <v>32</v>
      </c>
      <c r="N211" s="4" t="s">
        <v>647</v>
      </c>
      <c r="O211" s="4" t="s">
        <v>312</v>
      </c>
      <c r="P211" s="4" t="s">
        <v>35</v>
      </c>
      <c r="Q211" s="150">
        <v>789</v>
      </c>
      <c r="R211" s="150">
        <v>1</v>
      </c>
      <c r="S211" s="150">
        <v>6285</v>
      </c>
      <c r="U211" s="150">
        <v>49.588999999999999</v>
      </c>
      <c r="V211" s="166">
        <v>6.3E-5</v>
      </c>
      <c r="W211" s="166">
        <v>1.29820547610723E-3</v>
      </c>
      <c r="X211" s="166">
        <v>1.55478773528922E-4</v>
      </c>
    </row>
    <row r="212" spans="1:24">
      <c r="A212" s="4" t="s">
        <v>256</v>
      </c>
      <c r="B212" s="4">
        <v>556</v>
      </c>
      <c r="C212" s="4" t="s">
        <v>2074</v>
      </c>
      <c r="D212" s="4" t="s">
        <v>2075</v>
      </c>
      <c r="E212" s="4" t="s">
        <v>1552</v>
      </c>
      <c r="F212" s="4" t="s">
        <v>2076</v>
      </c>
      <c r="G212" s="4" t="s">
        <v>2077</v>
      </c>
      <c r="H212" s="4" t="s">
        <v>511</v>
      </c>
      <c r="I212" s="4" t="s">
        <v>1121</v>
      </c>
      <c r="J212" s="4" t="s">
        <v>31</v>
      </c>
      <c r="K212" s="4" t="s">
        <v>31</v>
      </c>
      <c r="L212" s="2" t="s">
        <v>517</v>
      </c>
      <c r="M212" s="2" t="s">
        <v>32</v>
      </c>
      <c r="N212" s="4" t="s">
        <v>650</v>
      </c>
      <c r="O212" s="4" t="s">
        <v>312</v>
      </c>
      <c r="P212" s="4" t="s">
        <v>35</v>
      </c>
      <c r="Q212" s="150">
        <v>6973.75</v>
      </c>
      <c r="R212" s="150">
        <v>1</v>
      </c>
      <c r="S212" s="150">
        <v>2835</v>
      </c>
      <c r="U212" s="150">
        <v>197.70599999999999</v>
      </c>
      <c r="V212" s="166">
        <v>1.6540000000000001E-3</v>
      </c>
      <c r="W212" s="166">
        <v>5.1758369797469698E-3</v>
      </c>
      <c r="X212" s="166">
        <v>6.1988090514742897E-4</v>
      </c>
    </row>
    <row r="213" spans="1:24">
      <c r="A213" s="4" t="s">
        <v>256</v>
      </c>
      <c r="B213" s="4">
        <v>556</v>
      </c>
      <c r="C213" s="4" t="s">
        <v>1963</v>
      </c>
      <c r="D213" s="4" t="s">
        <v>1964</v>
      </c>
      <c r="E213" s="4" t="s">
        <v>1552</v>
      </c>
      <c r="F213" s="4" t="s">
        <v>1965</v>
      </c>
      <c r="G213" s="4" t="s">
        <v>1966</v>
      </c>
      <c r="H213" s="4" t="s">
        <v>511</v>
      </c>
      <c r="I213" s="4" t="s">
        <v>1121</v>
      </c>
      <c r="J213" s="4" t="s">
        <v>31</v>
      </c>
      <c r="K213" s="4" t="s">
        <v>31</v>
      </c>
      <c r="L213" s="2" t="s">
        <v>517</v>
      </c>
      <c r="M213" s="2" t="s">
        <v>32</v>
      </c>
      <c r="N213" s="4" t="s">
        <v>644</v>
      </c>
      <c r="O213" s="4" t="s">
        <v>312</v>
      </c>
      <c r="P213" s="4" t="s">
        <v>35</v>
      </c>
      <c r="Q213" s="150">
        <v>17740</v>
      </c>
      <c r="R213" s="150">
        <v>1</v>
      </c>
      <c r="S213" s="150">
        <v>207.6</v>
      </c>
      <c r="U213" s="150">
        <v>36.828000000000003</v>
      </c>
      <c r="V213" s="166">
        <v>2.0799999999999999E-4</v>
      </c>
      <c r="W213" s="166">
        <v>9.6414447345090804E-4</v>
      </c>
      <c r="X213" s="166">
        <v>1.15470164774173E-4</v>
      </c>
    </row>
    <row r="214" spans="1:24">
      <c r="A214" s="4" t="s">
        <v>256</v>
      </c>
      <c r="B214" s="4">
        <v>556</v>
      </c>
      <c r="C214" s="4" t="s">
        <v>1967</v>
      </c>
      <c r="D214" s="4" t="s">
        <v>1968</v>
      </c>
      <c r="E214" s="4" t="s">
        <v>1552</v>
      </c>
      <c r="F214" s="4" t="s">
        <v>1969</v>
      </c>
      <c r="G214" s="4" t="s">
        <v>1970</v>
      </c>
      <c r="H214" s="4" t="s">
        <v>511</v>
      </c>
      <c r="I214" s="4" t="s">
        <v>1121</v>
      </c>
      <c r="J214" s="4" t="s">
        <v>31</v>
      </c>
      <c r="K214" s="4" t="s">
        <v>31</v>
      </c>
      <c r="L214" s="2" t="s">
        <v>517</v>
      </c>
      <c r="M214" s="2" t="s">
        <v>32</v>
      </c>
      <c r="N214" s="4" t="s">
        <v>664</v>
      </c>
      <c r="O214" s="4" t="s">
        <v>312</v>
      </c>
      <c r="P214" s="4" t="s">
        <v>35</v>
      </c>
      <c r="Q214" s="150">
        <v>1416</v>
      </c>
      <c r="R214" s="150">
        <v>1</v>
      </c>
      <c r="S214" s="150">
        <v>5970</v>
      </c>
      <c r="U214" s="150">
        <v>84.534999999999997</v>
      </c>
      <c r="V214" s="166">
        <v>2.9E-5</v>
      </c>
      <c r="W214" s="166">
        <v>2.2130882684610301E-3</v>
      </c>
      <c r="X214" s="166">
        <v>2.65049143625046E-4</v>
      </c>
    </row>
    <row r="215" spans="1:24">
      <c r="A215" s="4" t="s">
        <v>256</v>
      </c>
      <c r="B215" s="4">
        <v>556</v>
      </c>
      <c r="C215" s="4" t="s">
        <v>1971</v>
      </c>
      <c r="D215" s="4" t="s">
        <v>1972</v>
      </c>
      <c r="E215" s="4" t="s">
        <v>1552</v>
      </c>
      <c r="F215" s="4" t="s">
        <v>1973</v>
      </c>
      <c r="G215" s="4" t="s">
        <v>1974</v>
      </c>
      <c r="H215" s="4" t="s">
        <v>511</v>
      </c>
      <c r="I215" s="4" t="s">
        <v>1121</v>
      </c>
      <c r="J215" s="4" t="s">
        <v>31</v>
      </c>
      <c r="K215" s="4" t="s">
        <v>31</v>
      </c>
      <c r="L215" s="2" t="s">
        <v>517</v>
      </c>
      <c r="M215" s="2" t="s">
        <v>32</v>
      </c>
      <c r="N215" s="4" t="s">
        <v>644</v>
      </c>
      <c r="O215" s="4" t="s">
        <v>312</v>
      </c>
      <c r="P215" s="4" t="s">
        <v>35</v>
      </c>
      <c r="Q215" s="150">
        <v>2119</v>
      </c>
      <c r="R215" s="150">
        <v>1</v>
      </c>
      <c r="S215" s="150">
        <v>1190</v>
      </c>
      <c r="U215" s="150">
        <v>25.216000000000001</v>
      </c>
      <c r="V215" s="166">
        <v>1.27E-4</v>
      </c>
      <c r="W215" s="166">
        <v>6.6014459167707798E-4</v>
      </c>
      <c r="X215" s="166">
        <v>7.9061807514071406E-5</v>
      </c>
    </row>
    <row r="216" spans="1:24">
      <c r="A216" s="4" t="s">
        <v>256</v>
      </c>
      <c r="B216" s="4">
        <v>556</v>
      </c>
      <c r="C216" s="4" t="s">
        <v>1975</v>
      </c>
      <c r="D216" s="4" t="s">
        <v>1976</v>
      </c>
      <c r="E216" s="4" t="s">
        <v>1552</v>
      </c>
      <c r="F216" s="4" t="s">
        <v>1977</v>
      </c>
      <c r="G216" s="4" t="s">
        <v>1978</v>
      </c>
      <c r="H216" s="4" t="s">
        <v>511</v>
      </c>
      <c r="I216" s="4" t="s">
        <v>1121</v>
      </c>
      <c r="J216" s="4" t="s">
        <v>31</v>
      </c>
      <c r="K216" s="4" t="s">
        <v>31</v>
      </c>
      <c r="L216" s="2" t="s">
        <v>517</v>
      </c>
      <c r="M216" s="2" t="s">
        <v>32</v>
      </c>
      <c r="N216" s="4" t="s">
        <v>664</v>
      </c>
      <c r="O216" s="4" t="s">
        <v>312</v>
      </c>
      <c r="P216" s="4" t="s">
        <v>35</v>
      </c>
      <c r="Q216" s="150">
        <v>25040</v>
      </c>
      <c r="R216" s="150">
        <v>1</v>
      </c>
      <c r="S216" s="150">
        <v>2472</v>
      </c>
      <c r="U216" s="150">
        <v>618.98900000000003</v>
      </c>
      <c r="V216" s="166">
        <v>9.1000000000000003E-5</v>
      </c>
      <c r="W216" s="166">
        <v>1.6204809967785901E-2</v>
      </c>
      <c r="X216" s="166">
        <v>1.94075901344641E-3</v>
      </c>
    </row>
    <row r="217" spans="1:24">
      <c r="A217" s="4" t="s">
        <v>256</v>
      </c>
      <c r="B217" s="4">
        <v>556</v>
      </c>
      <c r="C217" s="4" t="s">
        <v>1979</v>
      </c>
      <c r="D217" s="4" t="s">
        <v>1980</v>
      </c>
      <c r="E217" s="4" t="s">
        <v>1552</v>
      </c>
      <c r="F217" s="4" t="s">
        <v>1981</v>
      </c>
      <c r="G217" s="4" t="s">
        <v>1982</v>
      </c>
      <c r="H217" s="4" t="s">
        <v>511</v>
      </c>
      <c r="I217" s="4" t="s">
        <v>1121</v>
      </c>
      <c r="J217" s="4" t="s">
        <v>31</v>
      </c>
      <c r="K217" s="4" t="s">
        <v>31</v>
      </c>
      <c r="L217" s="2" t="s">
        <v>517</v>
      </c>
      <c r="M217" s="2" t="s">
        <v>32</v>
      </c>
      <c r="N217" s="4" t="s">
        <v>647</v>
      </c>
      <c r="O217" s="4" t="s">
        <v>312</v>
      </c>
      <c r="P217" s="4" t="s">
        <v>35</v>
      </c>
      <c r="Q217" s="150">
        <v>13108</v>
      </c>
      <c r="R217" s="150">
        <v>1</v>
      </c>
      <c r="S217" s="150">
        <v>5599</v>
      </c>
      <c r="U217" s="150">
        <v>733.91700000000003</v>
      </c>
      <c r="V217" s="166">
        <v>1.13E-4</v>
      </c>
      <c r="W217" s="166">
        <v>1.9213569325879101E-2</v>
      </c>
      <c r="X217" s="166">
        <v>2.3011012115418399E-3</v>
      </c>
    </row>
    <row r="218" spans="1:24">
      <c r="A218" s="4" t="s">
        <v>256</v>
      </c>
      <c r="B218" s="4">
        <v>556</v>
      </c>
      <c r="C218" s="4" t="s">
        <v>1983</v>
      </c>
      <c r="D218" s="4" t="s">
        <v>1984</v>
      </c>
      <c r="E218" s="4" t="s">
        <v>1552</v>
      </c>
      <c r="F218" s="4" t="s">
        <v>1985</v>
      </c>
      <c r="G218" s="4" t="s">
        <v>1986</v>
      </c>
      <c r="H218" s="4" t="s">
        <v>511</v>
      </c>
      <c r="I218" s="4" t="s">
        <v>1121</v>
      </c>
      <c r="J218" s="4" t="s">
        <v>31</v>
      </c>
      <c r="K218" s="4" t="s">
        <v>489</v>
      </c>
      <c r="L218" s="2" t="s">
        <v>517</v>
      </c>
      <c r="M218" s="2" t="s">
        <v>32</v>
      </c>
      <c r="N218" s="4" t="s">
        <v>643</v>
      </c>
      <c r="O218" s="4" t="s">
        <v>312</v>
      </c>
      <c r="P218" s="4" t="s">
        <v>35</v>
      </c>
      <c r="Q218" s="150">
        <v>3400</v>
      </c>
      <c r="R218" s="150">
        <v>1</v>
      </c>
      <c r="S218" s="150">
        <v>5620</v>
      </c>
      <c r="U218" s="150">
        <v>191.08</v>
      </c>
      <c r="V218" s="166">
        <v>3.1999999999999999E-5</v>
      </c>
      <c r="W218" s="166">
        <v>5.0023765997777702E-3</v>
      </c>
      <c r="X218" s="166">
        <v>5.9910653034326298E-4</v>
      </c>
    </row>
    <row r="219" spans="1:24">
      <c r="A219" s="4" t="s">
        <v>256</v>
      </c>
      <c r="B219" s="4">
        <v>556</v>
      </c>
      <c r="C219" s="4" t="s">
        <v>2078</v>
      </c>
      <c r="D219" s="4" t="s">
        <v>2079</v>
      </c>
      <c r="E219" s="4" t="s">
        <v>1552</v>
      </c>
      <c r="F219" s="4" t="s">
        <v>2080</v>
      </c>
      <c r="G219" s="4" t="s">
        <v>2081</v>
      </c>
      <c r="H219" s="4" t="s">
        <v>511</v>
      </c>
      <c r="I219" s="4" t="s">
        <v>1121</v>
      </c>
      <c r="J219" s="4" t="s">
        <v>31</v>
      </c>
      <c r="K219" s="4" t="s">
        <v>31</v>
      </c>
      <c r="L219" s="2" t="s">
        <v>517</v>
      </c>
      <c r="M219" s="2" t="s">
        <v>32</v>
      </c>
      <c r="N219" s="4" t="s">
        <v>639</v>
      </c>
      <c r="O219" s="4" t="s">
        <v>312</v>
      </c>
      <c r="P219" s="4" t="s">
        <v>35</v>
      </c>
      <c r="Q219" s="150">
        <v>750</v>
      </c>
      <c r="R219" s="150">
        <v>1</v>
      </c>
      <c r="S219" s="150">
        <v>877</v>
      </c>
      <c r="U219" s="150">
        <v>6.577</v>
      </c>
      <c r="V219" s="166">
        <v>1.15E-4</v>
      </c>
      <c r="W219" s="166">
        <v>1.7219558344692401E-4</v>
      </c>
      <c r="X219" s="166">
        <v>2.0622897233267799E-5</v>
      </c>
    </row>
    <row r="220" spans="1:24">
      <c r="A220" s="4" t="s">
        <v>256</v>
      </c>
      <c r="B220" s="4">
        <v>556</v>
      </c>
      <c r="C220" s="4" t="s">
        <v>1987</v>
      </c>
      <c r="D220" s="4" t="s">
        <v>1988</v>
      </c>
      <c r="E220" s="4" t="s">
        <v>1552</v>
      </c>
      <c r="F220" s="4" t="s">
        <v>1989</v>
      </c>
      <c r="G220" s="4" t="s">
        <v>1990</v>
      </c>
      <c r="H220" s="4" t="s">
        <v>511</v>
      </c>
      <c r="I220" s="4" t="s">
        <v>1121</v>
      </c>
      <c r="J220" s="4" t="s">
        <v>31</v>
      </c>
      <c r="K220" s="4" t="s">
        <v>489</v>
      </c>
      <c r="L220" s="2" t="s">
        <v>517</v>
      </c>
      <c r="M220" s="2" t="s">
        <v>32</v>
      </c>
      <c r="N220" s="4" t="s">
        <v>647</v>
      </c>
      <c r="O220" s="4" t="s">
        <v>312</v>
      </c>
      <c r="P220" s="4" t="s">
        <v>35</v>
      </c>
      <c r="Q220" s="150">
        <v>16144</v>
      </c>
      <c r="R220" s="150">
        <v>1</v>
      </c>
      <c r="S220" s="150">
        <v>1708</v>
      </c>
      <c r="U220" s="150">
        <v>275.74</v>
      </c>
      <c r="V220" s="166">
        <v>1.6100000000000001E-4</v>
      </c>
      <c r="W220" s="166">
        <v>7.2187195022082604E-3</v>
      </c>
      <c r="X220" s="166">
        <v>8.6454546318671097E-4</v>
      </c>
    </row>
    <row r="221" spans="1:24">
      <c r="A221" s="4" t="s">
        <v>256</v>
      </c>
      <c r="B221" s="4">
        <v>556</v>
      </c>
      <c r="C221" s="4" t="s">
        <v>2082</v>
      </c>
      <c r="D221" s="4" t="s">
        <v>2083</v>
      </c>
      <c r="E221" s="4" t="s">
        <v>1552</v>
      </c>
      <c r="F221" s="4" t="s">
        <v>2084</v>
      </c>
      <c r="G221" s="4" t="s">
        <v>2085</v>
      </c>
      <c r="H221" s="4" t="s">
        <v>511</v>
      </c>
      <c r="I221" s="4" t="s">
        <v>1121</v>
      </c>
      <c r="J221" s="4" t="s">
        <v>31</v>
      </c>
      <c r="K221" s="4" t="s">
        <v>31</v>
      </c>
      <c r="L221" s="2" t="s">
        <v>517</v>
      </c>
      <c r="M221" s="2" t="s">
        <v>32</v>
      </c>
      <c r="N221" s="4" t="s">
        <v>635</v>
      </c>
      <c r="O221" s="4" t="s">
        <v>312</v>
      </c>
      <c r="P221" s="4" t="s">
        <v>35</v>
      </c>
      <c r="Q221" s="150">
        <v>3933.3</v>
      </c>
      <c r="R221" s="150">
        <v>1</v>
      </c>
      <c r="S221" s="150">
        <v>1048</v>
      </c>
      <c r="U221" s="150">
        <v>41.220999999999997</v>
      </c>
      <c r="V221" s="166">
        <v>6.3000000000000003E-4</v>
      </c>
      <c r="W221" s="166">
        <v>1.07914426303859E-3</v>
      </c>
      <c r="X221" s="166">
        <v>1.2924304323621099E-4</v>
      </c>
    </row>
    <row r="222" spans="1:24">
      <c r="A222" s="4" t="s">
        <v>256</v>
      </c>
      <c r="B222" s="4">
        <v>556</v>
      </c>
      <c r="C222" s="4" t="s">
        <v>2086</v>
      </c>
      <c r="D222" s="4" t="s">
        <v>2087</v>
      </c>
      <c r="E222" s="4" t="s">
        <v>505</v>
      </c>
      <c r="F222" s="4" t="s">
        <v>2088</v>
      </c>
      <c r="G222" s="4" t="s">
        <v>2089</v>
      </c>
      <c r="H222" s="4" t="s">
        <v>511</v>
      </c>
      <c r="I222" s="4" t="s">
        <v>1121</v>
      </c>
      <c r="J222" s="4" t="s">
        <v>154</v>
      </c>
      <c r="K222" s="4" t="s">
        <v>431</v>
      </c>
      <c r="L222" s="2" t="s">
        <v>517</v>
      </c>
      <c r="M222" s="2" t="s">
        <v>557</v>
      </c>
      <c r="N222" s="4" t="s">
        <v>757</v>
      </c>
      <c r="O222" s="4" t="s">
        <v>312</v>
      </c>
      <c r="P222" s="4" t="s">
        <v>169</v>
      </c>
      <c r="Q222" s="150">
        <v>33499.758000000002</v>
      </c>
      <c r="R222" s="150">
        <v>4.0199999999999996</v>
      </c>
      <c r="S222" s="150">
        <v>1.966</v>
      </c>
      <c r="U222" s="150">
        <v>264.70499999999998</v>
      </c>
      <c r="V222" s="166">
        <v>4.0000000000000003E-5</v>
      </c>
      <c r="W222" s="166">
        <v>6.9298451243983601E-3</v>
      </c>
      <c r="X222" s="166">
        <v>8.2994860252603195E-4</v>
      </c>
    </row>
    <row r="223" spans="1:24">
      <c r="A223" s="4" t="s">
        <v>256</v>
      </c>
      <c r="B223" s="4">
        <v>556</v>
      </c>
      <c r="C223" s="4" t="s">
        <v>2090</v>
      </c>
      <c r="D223" s="4" t="s">
        <v>2091</v>
      </c>
      <c r="E223" s="4" t="s">
        <v>505</v>
      </c>
      <c r="F223" s="4" t="s">
        <v>2092</v>
      </c>
      <c r="G223" s="4" t="s">
        <v>2093</v>
      </c>
      <c r="H223" s="4" t="s">
        <v>511</v>
      </c>
      <c r="I223" s="4" t="s">
        <v>1121</v>
      </c>
      <c r="J223" s="4" t="s">
        <v>154</v>
      </c>
      <c r="K223" s="4" t="s">
        <v>426</v>
      </c>
      <c r="L223" s="2" t="s">
        <v>517</v>
      </c>
      <c r="M223" s="2" t="s">
        <v>535</v>
      </c>
      <c r="N223" s="4" t="s">
        <v>723</v>
      </c>
      <c r="O223" s="4" t="s">
        <v>312</v>
      </c>
      <c r="P223" s="4" t="s">
        <v>159</v>
      </c>
      <c r="Q223" s="150">
        <v>1320</v>
      </c>
      <c r="R223" s="150">
        <v>3.7589999999999999</v>
      </c>
      <c r="S223" s="150">
        <v>7799</v>
      </c>
      <c r="U223" s="150">
        <v>386.97699999999998</v>
      </c>
      <c r="V223" s="166">
        <v>0</v>
      </c>
      <c r="W223" s="166">
        <v>1.0130860349082E-2</v>
      </c>
      <c r="X223" s="166">
        <v>1.2133162052213901E-3</v>
      </c>
    </row>
    <row r="224" spans="1:24">
      <c r="A224" s="4" t="s">
        <v>256</v>
      </c>
      <c r="B224" s="4">
        <v>556</v>
      </c>
      <c r="C224" s="4" t="s">
        <v>2094</v>
      </c>
      <c r="D224" s="4" t="s">
        <v>2095</v>
      </c>
      <c r="E224" s="4" t="s">
        <v>505</v>
      </c>
      <c r="F224" s="4" t="s">
        <v>2096</v>
      </c>
      <c r="G224" s="4" t="s">
        <v>2097</v>
      </c>
      <c r="H224" s="4" t="s">
        <v>511</v>
      </c>
      <c r="I224" s="4" t="s">
        <v>1121</v>
      </c>
      <c r="J224" s="4" t="s">
        <v>154</v>
      </c>
      <c r="K224" s="4" t="s">
        <v>155</v>
      </c>
      <c r="L224" s="2" t="s">
        <v>517</v>
      </c>
      <c r="M224" s="2" t="s">
        <v>535</v>
      </c>
      <c r="N224" s="4" t="s">
        <v>1999</v>
      </c>
      <c r="O224" s="4" t="s">
        <v>312</v>
      </c>
      <c r="P224" s="4" t="s">
        <v>159</v>
      </c>
      <c r="Q224" s="150">
        <v>1990</v>
      </c>
      <c r="R224" s="150">
        <v>3.7589999999999999</v>
      </c>
      <c r="S224" s="150">
        <v>500</v>
      </c>
      <c r="U224" s="150">
        <v>37.402000000000001</v>
      </c>
      <c r="V224" s="166">
        <v>9.7E-5</v>
      </c>
      <c r="W224" s="166">
        <v>9.7916652555849891E-4</v>
      </c>
      <c r="X224" s="166">
        <v>1.17269271526194E-4</v>
      </c>
    </row>
    <row r="225" spans="1:24">
      <c r="A225" s="4" t="s">
        <v>256</v>
      </c>
      <c r="B225" s="4">
        <v>556</v>
      </c>
      <c r="C225" s="4" t="s">
        <v>2098</v>
      </c>
      <c r="D225" s="4" t="s">
        <v>2099</v>
      </c>
      <c r="E225" s="4" t="s">
        <v>505</v>
      </c>
      <c r="F225" s="4" t="s">
        <v>2100</v>
      </c>
      <c r="G225" s="4" t="s">
        <v>2101</v>
      </c>
      <c r="H225" s="4" t="s">
        <v>511</v>
      </c>
      <c r="I225" s="4" t="s">
        <v>1121</v>
      </c>
      <c r="J225" s="4" t="s">
        <v>154</v>
      </c>
      <c r="K225" s="4" t="s">
        <v>155</v>
      </c>
      <c r="L225" s="2" t="s">
        <v>517</v>
      </c>
      <c r="M225" s="2" t="s">
        <v>535</v>
      </c>
      <c r="N225" s="4" t="s">
        <v>733</v>
      </c>
      <c r="O225" s="4" t="s">
        <v>312</v>
      </c>
      <c r="P225" s="4" t="s">
        <v>159</v>
      </c>
      <c r="Q225" s="150">
        <v>200</v>
      </c>
      <c r="R225" s="150">
        <v>3.7589999999999999</v>
      </c>
      <c r="S225" s="150">
        <v>16500</v>
      </c>
      <c r="U225" s="150">
        <v>124.047</v>
      </c>
      <c r="V225" s="166">
        <v>1.9999999999999999E-6</v>
      </c>
      <c r="W225" s="166">
        <v>3.2474869691889899E-3</v>
      </c>
      <c r="X225" s="166">
        <v>3.88933262348183E-4</v>
      </c>
    </row>
    <row r="226" spans="1:24">
      <c r="A226" s="4" t="s">
        <v>256</v>
      </c>
      <c r="B226" s="4">
        <v>556</v>
      </c>
      <c r="C226" s="4" t="s">
        <v>2102</v>
      </c>
      <c r="D226" s="4" t="s">
        <v>2103</v>
      </c>
      <c r="E226" s="4" t="s">
        <v>505</v>
      </c>
      <c r="F226" s="4" t="s">
        <v>2104</v>
      </c>
      <c r="G226" s="4" t="s">
        <v>2105</v>
      </c>
      <c r="H226" s="4" t="s">
        <v>511</v>
      </c>
      <c r="I226" s="4" t="s">
        <v>1121</v>
      </c>
      <c r="J226" s="4" t="s">
        <v>154</v>
      </c>
      <c r="K226" s="4" t="s">
        <v>155</v>
      </c>
      <c r="L226" s="2" t="s">
        <v>517</v>
      </c>
      <c r="M226" s="2" t="s">
        <v>156</v>
      </c>
      <c r="N226" s="4" t="s">
        <v>725</v>
      </c>
      <c r="O226" s="4" t="s">
        <v>312</v>
      </c>
      <c r="P226" s="4" t="s">
        <v>159</v>
      </c>
      <c r="Q226" s="150">
        <v>2061</v>
      </c>
      <c r="R226" s="150">
        <v>3.7589999999999999</v>
      </c>
      <c r="S226" s="150">
        <v>6346</v>
      </c>
      <c r="T226" s="149">
        <v>3.0000000000000001E-3</v>
      </c>
      <c r="U226" s="150">
        <v>491.65600000000001</v>
      </c>
      <c r="V226" s="166">
        <v>9.9999999999999995E-7</v>
      </c>
      <c r="W226" s="166">
        <v>1.2871304384641E-2</v>
      </c>
      <c r="X226" s="166">
        <v>1.54152378515782E-3</v>
      </c>
    </row>
    <row r="227" spans="1:24">
      <c r="A227" s="4" t="s">
        <v>256</v>
      </c>
      <c r="B227" s="4">
        <v>556</v>
      </c>
      <c r="C227" s="4" t="s">
        <v>2106</v>
      </c>
      <c r="D227" s="4" t="s">
        <v>2107</v>
      </c>
      <c r="E227" s="4" t="s">
        <v>505</v>
      </c>
      <c r="F227" s="4" t="s">
        <v>2108</v>
      </c>
      <c r="G227" s="4" t="s">
        <v>2109</v>
      </c>
      <c r="H227" s="4" t="s">
        <v>511</v>
      </c>
      <c r="I227" s="4" t="s">
        <v>1121</v>
      </c>
      <c r="J227" s="4" t="s">
        <v>154</v>
      </c>
      <c r="K227" s="4" t="s">
        <v>426</v>
      </c>
      <c r="L227" s="2" t="s">
        <v>517</v>
      </c>
      <c r="M227" s="2" t="s">
        <v>156</v>
      </c>
      <c r="N227" s="4" t="s">
        <v>714</v>
      </c>
      <c r="O227" s="4" t="s">
        <v>312</v>
      </c>
      <c r="P227" s="4" t="s">
        <v>159</v>
      </c>
      <c r="Q227" s="150">
        <v>450</v>
      </c>
      <c r="R227" s="150">
        <v>3.7589999999999999</v>
      </c>
      <c r="S227" s="150">
        <v>12608</v>
      </c>
      <c r="U227" s="150">
        <v>213.27099999999999</v>
      </c>
      <c r="V227" s="166">
        <v>0</v>
      </c>
      <c r="W227" s="166">
        <v>5.5833157783001996E-3</v>
      </c>
      <c r="X227" s="166">
        <v>6.6868235068443904E-4</v>
      </c>
    </row>
    <row r="228" spans="1:24">
      <c r="A228" s="4" t="s">
        <v>256</v>
      </c>
      <c r="B228" s="4">
        <v>556</v>
      </c>
      <c r="C228" s="4" t="s">
        <v>2110</v>
      </c>
      <c r="D228" s="4" t="s">
        <v>2111</v>
      </c>
      <c r="E228" s="4" t="s">
        <v>505</v>
      </c>
      <c r="F228" s="4" t="s">
        <v>2112</v>
      </c>
      <c r="G228" s="4" t="s">
        <v>2113</v>
      </c>
      <c r="H228" s="4" t="s">
        <v>511</v>
      </c>
      <c r="I228" s="4" t="s">
        <v>1121</v>
      </c>
      <c r="J228" s="4" t="s">
        <v>154</v>
      </c>
      <c r="K228" s="4" t="s">
        <v>2114</v>
      </c>
      <c r="L228" s="2" t="s">
        <v>517</v>
      </c>
      <c r="M228" s="2" t="s">
        <v>156</v>
      </c>
      <c r="N228" s="4" t="s">
        <v>723</v>
      </c>
      <c r="O228" s="4" t="s">
        <v>312</v>
      </c>
      <c r="P228" s="4" t="s">
        <v>159</v>
      </c>
      <c r="Q228" s="150">
        <v>1477.6</v>
      </c>
      <c r="R228" s="150">
        <v>3.7589999999999999</v>
      </c>
      <c r="S228" s="150">
        <v>3850</v>
      </c>
      <c r="U228" s="150">
        <v>213.84</v>
      </c>
      <c r="V228" s="166">
        <v>0</v>
      </c>
      <c r="W228" s="166">
        <v>5.59823453661926E-3</v>
      </c>
      <c r="X228" s="166">
        <v>6.70469086519954E-4</v>
      </c>
    </row>
    <row r="229" spans="1:24">
      <c r="A229" s="4" t="s">
        <v>256</v>
      </c>
      <c r="B229" s="4">
        <v>556</v>
      </c>
      <c r="C229" s="4" t="s">
        <v>2115</v>
      </c>
      <c r="D229" s="4" t="s">
        <v>2116</v>
      </c>
      <c r="E229" s="4" t="s">
        <v>505</v>
      </c>
      <c r="F229" s="4" t="s">
        <v>2117</v>
      </c>
      <c r="G229" s="4" t="s">
        <v>2118</v>
      </c>
      <c r="H229" s="4" t="s">
        <v>511</v>
      </c>
      <c r="I229" s="4" t="s">
        <v>1121</v>
      </c>
      <c r="J229" s="4" t="s">
        <v>154</v>
      </c>
      <c r="K229" s="4" t="s">
        <v>431</v>
      </c>
      <c r="L229" s="2" t="s">
        <v>517</v>
      </c>
      <c r="M229" s="2" t="s">
        <v>557</v>
      </c>
      <c r="N229" s="4" t="s">
        <v>757</v>
      </c>
      <c r="O229" s="4" t="s">
        <v>312</v>
      </c>
      <c r="P229" s="4" t="s">
        <v>169</v>
      </c>
      <c r="Q229" s="150">
        <v>10691.93</v>
      </c>
      <c r="R229" s="150">
        <v>4.0199999999999996</v>
      </c>
      <c r="S229" s="150">
        <v>1073</v>
      </c>
      <c r="U229" s="150">
        <v>461.21499999999997</v>
      </c>
      <c r="V229" s="166">
        <v>1.66E-4</v>
      </c>
      <c r="W229" s="166">
        <v>1.20743744344179E-2</v>
      </c>
      <c r="X229" s="166">
        <v>1.4460799640296799E-3</v>
      </c>
    </row>
    <row r="230" spans="1:24">
      <c r="A230" s="4" t="s">
        <v>256</v>
      </c>
      <c r="B230" s="4">
        <v>556</v>
      </c>
      <c r="C230" s="4" t="s">
        <v>2119</v>
      </c>
      <c r="D230" s="4" t="s">
        <v>2120</v>
      </c>
      <c r="E230" s="4" t="s">
        <v>505</v>
      </c>
      <c r="F230" s="4" t="s">
        <v>2121</v>
      </c>
      <c r="G230" s="4" t="s">
        <v>2122</v>
      </c>
      <c r="H230" s="4" t="s">
        <v>511</v>
      </c>
      <c r="I230" s="4" t="s">
        <v>1121</v>
      </c>
      <c r="J230" s="4" t="s">
        <v>154</v>
      </c>
      <c r="K230" s="4" t="s">
        <v>426</v>
      </c>
      <c r="L230" s="2" t="s">
        <v>517</v>
      </c>
      <c r="M230" s="2" t="s">
        <v>156</v>
      </c>
      <c r="N230" s="4" t="s">
        <v>725</v>
      </c>
      <c r="O230" s="4" t="s">
        <v>312</v>
      </c>
      <c r="P230" s="4" t="s">
        <v>159</v>
      </c>
      <c r="Q230" s="150">
        <v>876.14</v>
      </c>
      <c r="R230" s="150">
        <v>3.7589999999999999</v>
      </c>
      <c r="S230" s="150">
        <v>4350</v>
      </c>
      <c r="U230" s="150">
        <v>143.26300000000001</v>
      </c>
      <c r="V230" s="166">
        <v>0</v>
      </c>
      <c r="W230" s="166">
        <v>3.75056108010782E-3</v>
      </c>
      <c r="X230" s="166">
        <v>4.4918362116992601E-4</v>
      </c>
    </row>
    <row r="231" spans="1:24">
      <c r="A231" s="4" t="s">
        <v>256</v>
      </c>
      <c r="B231" s="4">
        <v>556</v>
      </c>
      <c r="C231" s="4" t="s">
        <v>2123</v>
      </c>
      <c r="D231" s="4" t="s">
        <v>2124</v>
      </c>
      <c r="E231" s="4" t="s">
        <v>1552</v>
      </c>
      <c r="F231" s="4" t="s">
        <v>2125</v>
      </c>
      <c r="G231" s="4" t="s">
        <v>2126</v>
      </c>
      <c r="H231" s="4" t="s">
        <v>511</v>
      </c>
      <c r="I231" s="4" t="s">
        <v>1121</v>
      </c>
      <c r="J231" s="4" t="s">
        <v>154</v>
      </c>
      <c r="K231" s="4" t="s">
        <v>155</v>
      </c>
      <c r="L231" s="2" t="s">
        <v>517</v>
      </c>
      <c r="M231" s="2" t="s">
        <v>535</v>
      </c>
      <c r="N231" s="4" t="s">
        <v>719</v>
      </c>
      <c r="O231" s="4" t="s">
        <v>312</v>
      </c>
      <c r="P231" s="4" t="s">
        <v>159</v>
      </c>
      <c r="Q231" s="150">
        <v>1389</v>
      </c>
      <c r="R231" s="150">
        <v>3.7589999999999999</v>
      </c>
      <c r="S231" s="150">
        <v>1824</v>
      </c>
      <c r="U231" s="150">
        <v>95.236000000000004</v>
      </c>
      <c r="V231" s="166">
        <v>1.8E-5</v>
      </c>
      <c r="W231" s="166">
        <v>2.49321974120339E-3</v>
      </c>
      <c r="X231" s="166">
        <v>2.9859891568380798E-4</v>
      </c>
    </row>
    <row r="232" spans="1:24">
      <c r="A232" s="4" t="s">
        <v>256</v>
      </c>
      <c r="B232" s="4">
        <v>556</v>
      </c>
      <c r="C232" s="4" t="s">
        <v>2127</v>
      </c>
      <c r="D232" s="4" t="s">
        <v>2128</v>
      </c>
      <c r="E232" s="4" t="s">
        <v>505</v>
      </c>
      <c r="F232" s="4" t="s">
        <v>2129</v>
      </c>
      <c r="G232" s="4" t="s">
        <v>2130</v>
      </c>
      <c r="H232" s="4" t="s">
        <v>511</v>
      </c>
      <c r="I232" s="4" t="s">
        <v>1121</v>
      </c>
      <c r="J232" s="4" t="s">
        <v>154</v>
      </c>
      <c r="K232" s="4" t="s">
        <v>155</v>
      </c>
      <c r="L232" s="2" t="s">
        <v>517</v>
      </c>
      <c r="M232" s="2" t="s">
        <v>156</v>
      </c>
      <c r="N232" s="4" t="s">
        <v>678</v>
      </c>
      <c r="O232" s="4" t="s">
        <v>312</v>
      </c>
      <c r="P232" s="4" t="s">
        <v>159</v>
      </c>
      <c r="Q232" s="150">
        <v>1162.51</v>
      </c>
      <c r="R232" s="150">
        <v>3.7589999999999999</v>
      </c>
      <c r="S232" s="150">
        <v>9521</v>
      </c>
      <c r="T232" s="149">
        <v>0.34799999999999998</v>
      </c>
      <c r="U232" s="150">
        <v>417.36500000000001</v>
      </c>
      <c r="V232" s="166">
        <v>5.0000000000000004E-6</v>
      </c>
      <c r="W232" s="166">
        <v>1.09263933712063E-2</v>
      </c>
      <c r="X232" s="166">
        <v>1.3085927241223399E-3</v>
      </c>
    </row>
    <row r="233" spans="1:24">
      <c r="A233" s="4" t="s">
        <v>256</v>
      </c>
      <c r="B233" s="4">
        <v>556</v>
      </c>
      <c r="C233" s="4" t="s">
        <v>1991</v>
      </c>
      <c r="D233" s="4" t="s">
        <v>1992</v>
      </c>
      <c r="E233" s="4" t="s">
        <v>505</v>
      </c>
      <c r="F233" s="4" t="s">
        <v>1993</v>
      </c>
      <c r="G233" s="4" t="s">
        <v>1994</v>
      </c>
      <c r="H233" s="4" t="s">
        <v>511</v>
      </c>
      <c r="I233" s="4" t="s">
        <v>1121</v>
      </c>
      <c r="J233" s="4" t="s">
        <v>154</v>
      </c>
      <c r="K233" s="4" t="s">
        <v>155</v>
      </c>
      <c r="L233" s="2" t="s">
        <v>517</v>
      </c>
      <c r="M233" s="2" t="s">
        <v>156</v>
      </c>
      <c r="N233" s="4" t="s">
        <v>723</v>
      </c>
      <c r="O233" s="4" t="s">
        <v>312</v>
      </c>
      <c r="P233" s="4" t="s">
        <v>159</v>
      </c>
      <c r="Q233" s="150">
        <v>658</v>
      </c>
      <c r="R233" s="150">
        <v>3.7589999999999999</v>
      </c>
      <c r="S233" s="150">
        <v>14616</v>
      </c>
      <c r="U233" s="150">
        <v>361.51499999999999</v>
      </c>
      <c r="V233" s="166">
        <v>0</v>
      </c>
      <c r="W233" s="166">
        <v>9.4642870783080094E-3</v>
      </c>
      <c r="X233" s="166">
        <v>1.13348447094319E-3</v>
      </c>
    </row>
    <row r="234" spans="1:24">
      <c r="A234" s="4" t="s">
        <v>256</v>
      </c>
      <c r="B234" s="4">
        <v>556</v>
      </c>
      <c r="C234" s="4" t="s">
        <v>1995</v>
      </c>
      <c r="D234" s="4" t="s">
        <v>1996</v>
      </c>
      <c r="E234" s="4" t="s">
        <v>1552</v>
      </c>
      <c r="F234" s="4" t="s">
        <v>1997</v>
      </c>
      <c r="G234" s="4" t="s">
        <v>1998</v>
      </c>
      <c r="H234" s="4" t="s">
        <v>511</v>
      </c>
      <c r="I234" s="4" t="s">
        <v>1121</v>
      </c>
      <c r="J234" s="4" t="s">
        <v>31</v>
      </c>
      <c r="K234" s="4" t="s">
        <v>155</v>
      </c>
      <c r="L234" s="2" t="s">
        <v>517</v>
      </c>
      <c r="M234" s="2" t="s">
        <v>535</v>
      </c>
      <c r="N234" s="4" t="s">
        <v>1999</v>
      </c>
      <c r="O234" s="4" t="s">
        <v>312</v>
      </c>
      <c r="P234" s="4" t="s">
        <v>159</v>
      </c>
      <c r="Q234" s="150">
        <v>2196</v>
      </c>
      <c r="R234" s="150">
        <v>3.7589999999999999</v>
      </c>
      <c r="S234" s="150">
        <v>1464</v>
      </c>
      <c r="U234" s="150">
        <v>120.85</v>
      </c>
      <c r="V234" s="166">
        <v>4.6E-5</v>
      </c>
      <c r="W234" s="166">
        <v>3.1637844686885899E-3</v>
      </c>
      <c r="X234" s="166">
        <v>3.78908684299005E-4</v>
      </c>
    </row>
    <row r="235" spans="1:24">
      <c r="A235" s="4" t="s">
        <v>256</v>
      </c>
      <c r="B235" s="4">
        <v>556</v>
      </c>
      <c r="C235" s="4" t="s">
        <v>2000</v>
      </c>
      <c r="D235" s="4" t="s">
        <v>2001</v>
      </c>
      <c r="E235" s="4" t="s">
        <v>505</v>
      </c>
      <c r="F235" s="4" t="s">
        <v>2000</v>
      </c>
      <c r="G235" s="4" t="s">
        <v>2002</v>
      </c>
      <c r="H235" s="4" t="s">
        <v>511</v>
      </c>
      <c r="I235" s="4" t="s">
        <v>1121</v>
      </c>
      <c r="J235" s="4" t="s">
        <v>154</v>
      </c>
      <c r="K235" s="4" t="s">
        <v>155</v>
      </c>
      <c r="L235" s="2" t="s">
        <v>517</v>
      </c>
      <c r="M235" s="2" t="s">
        <v>156</v>
      </c>
      <c r="N235" s="4" t="s">
        <v>723</v>
      </c>
      <c r="O235" s="4" t="s">
        <v>312</v>
      </c>
      <c r="P235" s="4" t="s">
        <v>159</v>
      </c>
      <c r="Q235" s="150">
        <v>5621</v>
      </c>
      <c r="R235" s="150">
        <v>3.7589999999999999</v>
      </c>
      <c r="S235" s="150">
        <v>2798</v>
      </c>
      <c r="U235" s="150">
        <v>591.19899999999996</v>
      </c>
      <c r="V235" s="166">
        <v>9.9999999999999995E-7</v>
      </c>
      <c r="W235" s="166">
        <v>1.5477284746110299E-2</v>
      </c>
      <c r="X235" s="166">
        <v>1.85362740657887E-3</v>
      </c>
    </row>
    <row r="236" spans="1:24">
      <c r="A236" s="4" t="s">
        <v>256</v>
      </c>
      <c r="B236" s="4">
        <v>556</v>
      </c>
      <c r="C236" s="4" t="s">
        <v>2003</v>
      </c>
      <c r="D236" s="4" t="s">
        <v>2004</v>
      </c>
      <c r="E236" s="4" t="s">
        <v>1552</v>
      </c>
      <c r="F236" s="4" t="s">
        <v>2005</v>
      </c>
      <c r="G236" s="4" t="s">
        <v>2006</v>
      </c>
      <c r="H236" s="4" t="s">
        <v>511</v>
      </c>
      <c r="I236" s="4" t="s">
        <v>1121</v>
      </c>
      <c r="J236" s="4" t="s">
        <v>31</v>
      </c>
      <c r="K236" s="4" t="s">
        <v>31</v>
      </c>
      <c r="L236" s="2" t="s">
        <v>517</v>
      </c>
      <c r="M236" s="2" t="s">
        <v>535</v>
      </c>
      <c r="N236" s="4" t="s">
        <v>733</v>
      </c>
      <c r="O236" s="4" t="s">
        <v>312</v>
      </c>
      <c r="P236" s="4" t="s">
        <v>159</v>
      </c>
      <c r="Q236" s="150">
        <v>3875</v>
      </c>
      <c r="R236" s="150">
        <v>3.7589999999999999</v>
      </c>
      <c r="S236" s="150">
        <v>935</v>
      </c>
      <c r="U236" s="150">
        <v>136.19300000000001</v>
      </c>
      <c r="V236" s="166">
        <v>3.0400000000000002E-4</v>
      </c>
      <c r="W236" s="166">
        <v>3.5654700682554098E-3</v>
      </c>
      <c r="X236" s="166">
        <v>4.2701631095310902E-4</v>
      </c>
    </row>
    <row r="237" spans="1:24">
      <c r="A237" s="4" t="s">
        <v>256</v>
      </c>
      <c r="B237" s="4">
        <v>556</v>
      </c>
      <c r="C237" s="4" t="s">
        <v>2131</v>
      </c>
      <c r="D237" s="4" t="s">
        <v>2132</v>
      </c>
      <c r="E237" s="4" t="s">
        <v>1552</v>
      </c>
      <c r="F237" s="4" t="s">
        <v>2133</v>
      </c>
      <c r="G237" s="4" t="s">
        <v>2134</v>
      </c>
      <c r="H237" s="4" t="s">
        <v>511</v>
      </c>
      <c r="I237" s="4" t="s">
        <v>1121</v>
      </c>
      <c r="J237" s="4" t="s">
        <v>31</v>
      </c>
      <c r="K237" s="4" t="s">
        <v>31</v>
      </c>
      <c r="L237" s="2" t="s">
        <v>517</v>
      </c>
      <c r="M237" s="2" t="s">
        <v>535</v>
      </c>
      <c r="N237" s="4" t="s">
        <v>733</v>
      </c>
      <c r="O237" s="4" t="s">
        <v>312</v>
      </c>
      <c r="P237" s="4" t="s">
        <v>159</v>
      </c>
      <c r="Q237" s="150">
        <v>4938</v>
      </c>
      <c r="R237" s="150">
        <v>3.7589999999999999</v>
      </c>
      <c r="S237" s="150">
        <v>1824</v>
      </c>
      <c r="U237" s="150">
        <v>338.57</v>
      </c>
      <c r="V237" s="166">
        <v>1.3799999999999999E-4</v>
      </c>
      <c r="W237" s="166">
        <v>8.8635846523127202E-3</v>
      </c>
      <c r="X237" s="166">
        <v>1.0615417175281799E-3</v>
      </c>
    </row>
    <row r="238" spans="1:24">
      <c r="A238" s="4" t="s">
        <v>256</v>
      </c>
      <c r="B238" s="4">
        <v>556</v>
      </c>
      <c r="C238" s="4" t="s">
        <v>2135</v>
      </c>
      <c r="D238" s="4" t="s">
        <v>2136</v>
      </c>
      <c r="E238" s="4" t="s">
        <v>34</v>
      </c>
      <c r="F238" s="4" t="s">
        <v>2137</v>
      </c>
      <c r="G238" s="4" t="s">
        <v>2138</v>
      </c>
      <c r="H238" s="4" t="s">
        <v>511</v>
      </c>
      <c r="I238" s="4" t="s">
        <v>1121</v>
      </c>
      <c r="J238" s="4" t="s">
        <v>154</v>
      </c>
      <c r="K238" s="4" t="s">
        <v>155</v>
      </c>
      <c r="L238" s="2" t="s">
        <v>517</v>
      </c>
      <c r="M238" s="2" t="s">
        <v>535</v>
      </c>
      <c r="N238" s="4" t="s">
        <v>735</v>
      </c>
      <c r="O238" s="4" t="s">
        <v>312</v>
      </c>
      <c r="P238" s="4" t="s">
        <v>159</v>
      </c>
      <c r="Q238" s="150">
        <v>400000</v>
      </c>
      <c r="R238" s="150">
        <v>3.7589999999999999</v>
      </c>
      <c r="S238" s="150">
        <v>0</v>
      </c>
      <c r="U238" s="150">
        <v>0</v>
      </c>
      <c r="V238" s="166">
        <v>0</v>
      </c>
      <c r="W238" s="166">
        <v>0</v>
      </c>
      <c r="X238" s="166">
        <v>0</v>
      </c>
    </row>
    <row r="239" spans="1:24">
      <c r="A239" s="4" t="s">
        <v>256</v>
      </c>
      <c r="B239" s="4">
        <v>556</v>
      </c>
      <c r="C239" s="4" t="s">
        <v>2139</v>
      </c>
      <c r="D239" s="4" t="s">
        <v>2140</v>
      </c>
      <c r="E239" s="4" t="s">
        <v>505</v>
      </c>
      <c r="F239" s="4" t="s">
        <v>2141</v>
      </c>
      <c r="G239" s="4" t="s">
        <v>2142</v>
      </c>
      <c r="H239" s="4" t="s">
        <v>511</v>
      </c>
      <c r="I239" s="4" t="s">
        <v>1121</v>
      </c>
      <c r="J239" s="4" t="s">
        <v>154</v>
      </c>
      <c r="K239" s="4" t="s">
        <v>438</v>
      </c>
      <c r="L239" s="2" t="s">
        <v>517</v>
      </c>
      <c r="M239" s="2" t="s">
        <v>156</v>
      </c>
      <c r="N239" s="4" t="s">
        <v>675</v>
      </c>
      <c r="O239" s="4" t="s">
        <v>312</v>
      </c>
      <c r="P239" s="4" t="s">
        <v>159</v>
      </c>
      <c r="Q239" s="150">
        <v>620</v>
      </c>
      <c r="R239" s="150">
        <v>3.7589999999999999</v>
      </c>
      <c r="S239" s="150">
        <v>72.180000000000007</v>
      </c>
      <c r="U239" s="150">
        <v>168.221</v>
      </c>
      <c r="V239" s="166">
        <v>0</v>
      </c>
      <c r="W239" s="166">
        <v>4.4039466015259997E-3</v>
      </c>
      <c r="X239" s="166">
        <v>5.2743593282730101E-4</v>
      </c>
    </row>
    <row r="240" spans="1:24">
      <c r="A240" s="4" t="s">
        <v>256</v>
      </c>
      <c r="B240" s="4">
        <v>556</v>
      </c>
      <c r="C240" s="4" t="s">
        <v>2143</v>
      </c>
      <c r="D240" s="4" t="s">
        <v>2144</v>
      </c>
      <c r="E240" s="4" t="s">
        <v>1552</v>
      </c>
      <c r="F240" s="4" t="s">
        <v>2145</v>
      </c>
      <c r="G240" s="4" t="s">
        <v>2146</v>
      </c>
      <c r="H240" s="4" t="s">
        <v>511</v>
      </c>
      <c r="I240" s="4" t="s">
        <v>1121</v>
      </c>
      <c r="J240" s="4" t="s">
        <v>31</v>
      </c>
      <c r="K240" s="4" t="s">
        <v>31</v>
      </c>
      <c r="L240" s="2" t="s">
        <v>517</v>
      </c>
      <c r="M240" s="2" t="s">
        <v>535</v>
      </c>
      <c r="N240" s="4" t="s">
        <v>735</v>
      </c>
      <c r="O240" s="4" t="s">
        <v>312</v>
      </c>
      <c r="P240" s="4" t="s">
        <v>159</v>
      </c>
      <c r="Q240" s="150">
        <v>1800</v>
      </c>
      <c r="R240" s="150">
        <v>3.7589999999999999</v>
      </c>
      <c r="S240" s="150">
        <v>1512</v>
      </c>
      <c r="U240" s="150">
        <v>102.30500000000001</v>
      </c>
      <c r="V240" s="166">
        <v>3.4400000000000001E-4</v>
      </c>
      <c r="W240" s="166">
        <v>2.67829107131659E-3</v>
      </c>
      <c r="X240" s="166">
        <v>3.2076386872933798E-4</v>
      </c>
    </row>
    <row r="241" spans="1:24">
      <c r="A241" s="4" t="s">
        <v>256</v>
      </c>
      <c r="B241" s="4">
        <v>556</v>
      </c>
      <c r="C241" s="4" t="s">
        <v>2007</v>
      </c>
      <c r="D241" s="4" t="s">
        <v>2008</v>
      </c>
      <c r="E241" s="4" t="s">
        <v>505</v>
      </c>
      <c r="F241" s="4" t="s">
        <v>2009</v>
      </c>
      <c r="G241" s="4" t="s">
        <v>2010</v>
      </c>
      <c r="H241" s="4" t="s">
        <v>511</v>
      </c>
      <c r="I241" s="4" t="s">
        <v>1121</v>
      </c>
      <c r="J241" s="4" t="s">
        <v>154</v>
      </c>
      <c r="K241" s="4" t="s">
        <v>155</v>
      </c>
      <c r="L241" s="2" t="s">
        <v>517</v>
      </c>
      <c r="M241" s="2" t="s">
        <v>535</v>
      </c>
      <c r="N241" s="4" t="s">
        <v>737</v>
      </c>
      <c r="O241" s="4" t="s">
        <v>312</v>
      </c>
      <c r="P241" s="4" t="s">
        <v>159</v>
      </c>
      <c r="Q241" s="150">
        <v>646</v>
      </c>
      <c r="R241" s="150">
        <v>3.7589999999999999</v>
      </c>
      <c r="S241" s="150">
        <v>25.26</v>
      </c>
      <c r="U241" s="150">
        <v>61.338999999999999</v>
      </c>
      <c r="V241" s="166">
        <v>1.1E-5</v>
      </c>
      <c r="W241" s="166">
        <v>1.6058291655681001E-3</v>
      </c>
      <c r="X241" s="166">
        <v>1.92321133868702E-4</v>
      </c>
    </row>
    <row r="242" spans="1:24">
      <c r="A242" s="4" t="s">
        <v>256</v>
      </c>
      <c r="B242" s="4">
        <v>556</v>
      </c>
      <c r="C242" s="4" t="s">
        <v>2147</v>
      </c>
      <c r="D242" s="4" t="s">
        <v>2148</v>
      </c>
      <c r="E242" s="4" t="s">
        <v>505</v>
      </c>
      <c r="F242" s="4" t="s">
        <v>2149</v>
      </c>
      <c r="G242" s="4" t="s">
        <v>2150</v>
      </c>
      <c r="H242" s="4" t="s">
        <v>511</v>
      </c>
      <c r="I242" s="4" t="s">
        <v>1121</v>
      </c>
      <c r="J242" s="4" t="s">
        <v>31</v>
      </c>
      <c r="K242" s="4" t="s">
        <v>31</v>
      </c>
      <c r="L242" s="2" t="s">
        <v>517</v>
      </c>
      <c r="M242" s="2" t="s">
        <v>156</v>
      </c>
      <c r="N242" s="4" t="s">
        <v>698</v>
      </c>
      <c r="O242" s="4" t="s">
        <v>312</v>
      </c>
      <c r="P242" s="4" t="s">
        <v>159</v>
      </c>
      <c r="Q242" s="150">
        <v>399</v>
      </c>
      <c r="R242" s="150">
        <v>3.7589999999999999</v>
      </c>
      <c r="S242" s="150">
        <v>22.17</v>
      </c>
      <c r="U242" s="150">
        <v>33.250999999999998</v>
      </c>
      <c r="V242" s="166">
        <v>3.9999999999999998E-6</v>
      </c>
      <c r="W242" s="166">
        <v>8.7050659565639601E-4</v>
      </c>
      <c r="X242" s="166">
        <v>1.04255682426589E-4</v>
      </c>
    </row>
    <row r="243" spans="1:24">
      <c r="A243" s="4" t="s">
        <v>256</v>
      </c>
      <c r="B243" s="4">
        <v>7205</v>
      </c>
      <c r="C243" s="4" t="s">
        <v>1602</v>
      </c>
      <c r="D243" s="4" t="s">
        <v>1603</v>
      </c>
      <c r="E243" s="4" t="s">
        <v>1552</v>
      </c>
      <c r="F243" s="4" t="s">
        <v>1604</v>
      </c>
      <c r="G243" s="4" t="s">
        <v>1605</v>
      </c>
      <c r="H243" s="4" t="s">
        <v>511</v>
      </c>
      <c r="I243" s="4" t="s">
        <v>1121</v>
      </c>
      <c r="J243" s="4" t="s">
        <v>31</v>
      </c>
      <c r="K243" s="4" t="s">
        <v>31</v>
      </c>
      <c r="L243" s="2" t="s">
        <v>517</v>
      </c>
      <c r="M243" s="2" t="s">
        <v>32</v>
      </c>
      <c r="N243" s="4" t="s">
        <v>654</v>
      </c>
      <c r="O243" s="4" t="s">
        <v>312</v>
      </c>
      <c r="P243" s="4" t="s">
        <v>35</v>
      </c>
      <c r="Q243" s="150">
        <v>485534</v>
      </c>
      <c r="R243" s="150">
        <v>1</v>
      </c>
      <c r="S243" s="150">
        <v>128.1</v>
      </c>
      <c r="U243" s="150">
        <v>621.96900000000005</v>
      </c>
      <c r="V243" s="166">
        <v>1.6360000000000001E-3</v>
      </c>
      <c r="W243" s="166">
        <v>2.2927711319842099E-3</v>
      </c>
      <c r="X243" s="166">
        <v>3.3816021585301602E-4</v>
      </c>
    </row>
    <row r="244" spans="1:24">
      <c r="A244" s="4" t="s">
        <v>256</v>
      </c>
      <c r="B244" s="4">
        <v>7205</v>
      </c>
      <c r="C244" s="4" t="s">
        <v>1606</v>
      </c>
      <c r="D244" s="4" t="s">
        <v>1607</v>
      </c>
      <c r="E244" s="4" t="s">
        <v>1552</v>
      </c>
      <c r="F244" s="4" t="s">
        <v>1608</v>
      </c>
      <c r="G244" s="4" t="s">
        <v>1609</v>
      </c>
      <c r="H244" s="4" t="s">
        <v>511</v>
      </c>
      <c r="I244" s="4" t="s">
        <v>1121</v>
      </c>
      <c r="J244" s="4" t="s">
        <v>31</v>
      </c>
      <c r="K244" s="4" t="s">
        <v>31</v>
      </c>
      <c r="L244" s="2" t="s">
        <v>517</v>
      </c>
      <c r="M244" s="2" t="s">
        <v>32</v>
      </c>
      <c r="N244" s="4" t="s">
        <v>628</v>
      </c>
      <c r="O244" s="4" t="s">
        <v>312</v>
      </c>
      <c r="P244" s="4" t="s">
        <v>35</v>
      </c>
      <c r="Q244" s="150">
        <v>125067.8</v>
      </c>
      <c r="R244" s="150">
        <v>1</v>
      </c>
      <c r="S244" s="150">
        <v>2633</v>
      </c>
      <c r="U244" s="150">
        <v>3293.0349999999999</v>
      </c>
      <c r="V244" s="166">
        <v>5.5699999999999999E-4</v>
      </c>
      <c r="W244" s="166">
        <v>1.2139150549370901E-2</v>
      </c>
      <c r="X244" s="166">
        <v>1.790400146261E-3</v>
      </c>
    </row>
    <row r="245" spans="1:24">
      <c r="A245" s="4" t="s">
        <v>256</v>
      </c>
      <c r="B245" s="4">
        <v>7205</v>
      </c>
      <c r="C245" s="4" t="s">
        <v>1610</v>
      </c>
      <c r="D245" s="4" t="s">
        <v>1611</v>
      </c>
      <c r="E245" s="4" t="s">
        <v>1552</v>
      </c>
      <c r="F245" s="4" t="s">
        <v>1612</v>
      </c>
      <c r="G245" s="4" t="s">
        <v>1613</v>
      </c>
      <c r="H245" s="4" t="s">
        <v>511</v>
      </c>
      <c r="I245" s="4" t="s">
        <v>1121</v>
      </c>
      <c r="J245" s="4" t="s">
        <v>31</v>
      </c>
      <c r="K245" s="4" t="s">
        <v>31</v>
      </c>
      <c r="L245" s="2" t="s">
        <v>517</v>
      </c>
      <c r="M245" s="2" t="s">
        <v>32</v>
      </c>
      <c r="N245" s="4" t="s">
        <v>666</v>
      </c>
      <c r="O245" s="4" t="s">
        <v>312</v>
      </c>
      <c r="P245" s="4" t="s">
        <v>35</v>
      </c>
      <c r="Q245" s="150">
        <v>163161.68</v>
      </c>
      <c r="R245" s="150">
        <v>1</v>
      </c>
      <c r="S245" s="150">
        <v>369.3</v>
      </c>
      <c r="U245" s="150">
        <v>602.55600000000004</v>
      </c>
      <c r="V245" s="166">
        <v>2.9659999999999999E-3</v>
      </c>
      <c r="W245" s="166">
        <v>2.2212088953012699E-3</v>
      </c>
      <c r="X245" s="166">
        <v>3.2760552024208299E-4</v>
      </c>
    </row>
    <row r="246" spans="1:24">
      <c r="A246" s="4" t="s">
        <v>256</v>
      </c>
      <c r="B246" s="4">
        <v>7205</v>
      </c>
      <c r="C246" s="4" t="s">
        <v>1614</v>
      </c>
      <c r="D246" s="4" t="s">
        <v>1615</v>
      </c>
      <c r="E246" s="4" t="s">
        <v>1552</v>
      </c>
      <c r="F246" s="4" t="s">
        <v>1616</v>
      </c>
      <c r="G246" s="4" t="s">
        <v>1617</v>
      </c>
      <c r="H246" s="4" t="s">
        <v>511</v>
      </c>
      <c r="I246" s="4" t="s">
        <v>1121</v>
      </c>
      <c r="J246" s="4" t="s">
        <v>31</v>
      </c>
      <c r="K246" s="4" t="s">
        <v>155</v>
      </c>
      <c r="L246" s="2" t="s">
        <v>517</v>
      </c>
      <c r="M246" s="2" t="s">
        <v>32</v>
      </c>
      <c r="N246" s="4" t="s">
        <v>634</v>
      </c>
      <c r="O246" s="4" t="s">
        <v>312</v>
      </c>
      <c r="P246" s="4" t="s">
        <v>35</v>
      </c>
      <c r="Q246" s="150">
        <v>13000</v>
      </c>
      <c r="R246" s="150">
        <v>1</v>
      </c>
      <c r="S246" s="150">
        <v>2219</v>
      </c>
      <c r="U246" s="150">
        <v>288.47000000000003</v>
      </c>
      <c r="V246" s="166">
        <v>6.87E-4</v>
      </c>
      <c r="W246" s="166">
        <v>1.0633900259022901E-3</v>
      </c>
      <c r="X246" s="166">
        <v>1.5683911738013801E-4</v>
      </c>
    </row>
    <row r="247" spans="1:24">
      <c r="A247" s="4" t="s">
        <v>256</v>
      </c>
      <c r="B247" s="4">
        <v>7205</v>
      </c>
      <c r="C247" s="4" t="s">
        <v>1618</v>
      </c>
      <c r="D247" s="4" t="s">
        <v>1619</v>
      </c>
      <c r="E247" s="4" t="s">
        <v>1552</v>
      </c>
      <c r="F247" s="4" t="s">
        <v>1620</v>
      </c>
      <c r="G247" s="4" t="s">
        <v>1621</v>
      </c>
      <c r="H247" s="4" t="s">
        <v>511</v>
      </c>
      <c r="I247" s="4" t="s">
        <v>1121</v>
      </c>
      <c r="J247" s="4" t="s">
        <v>31</v>
      </c>
      <c r="K247" s="4" t="s">
        <v>31</v>
      </c>
      <c r="L247" s="2" t="s">
        <v>517</v>
      </c>
      <c r="M247" s="2" t="s">
        <v>32</v>
      </c>
      <c r="N247" s="4" t="s">
        <v>666</v>
      </c>
      <c r="O247" s="4" t="s">
        <v>312</v>
      </c>
      <c r="P247" s="4" t="s">
        <v>35</v>
      </c>
      <c r="Q247" s="150">
        <v>41195</v>
      </c>
      <c r="R247" s="150">
        <v>1</v>
      </c>
      <c r="S247" s="150">
        <v>1710</v>
      </c>
      <c r="U247" s="150">
        <v>704.43399999999997</v>
      </c>
      <c r="V247" s="166">
        <v>2.4380000000000001E-3</v>
      </c>
      <c r="W247" s="166">
        <v>2.59676438174323E-3</v>
      </c>
      <c r="X247" s="166">
        <v>3.8299610091905201E-4</v>
      </c>
    </row>
    <row r="248" spans="1:24">
      <c r="A248" s="4" t="s">
        <v>256</v>
      </c>
      <c r="B248" s="4">
        <v>7205</v>
      </c>
      <c r="C248" s="4" t="s">
        <v>1622</v>
      </c>
      <c r="D248" s="4" t="s">
        <v>1623</v>
      </c>
      <c r="E248" s="4" t="s">
        <v>1552</v>
      </c>
      <c r="F248" s="4" t="s">
        <v>1624</v>
      </c>
      <c r="G248" s="4" t="s">
        <v>1625</v>
      </c>
      <c r="H248" s="4" t="s">
        <v>511</v>
      </c>
      <c r="I248" s="4" t="s">
        <v>1121</v>
      </c>
      <c r="J248" s="4" t="s">
        <v>31</v>
      </c>
      <c r="K248" s="4" t="s">
        <v>31</v>
      </c>
      <c r="L248" s="2" t="s">
        <v>517</v>
      </c>
      <c r="M248" s="2" t="s">
        <v>32</v>
      </c>
      <c r="N248" s="4" t="s">
        <v>635</v>
      </c>
      <c r="O248" s="4" t="s">
        <v>312</v>
      </c>
      <c r="P248" s="4" t="s">
        <v>35</v>
      </c>
      <c r="Q248" s="150">
        <v>70208</v>
      </c>
      <c r="R248" s="150">
        <v>1</v>
      </c>
      <c r="S248" s="150">
        <v>1549</v>
      </c>
      <c r="U248" s="150">
        <v>1087.5219999999999</v>
      </c>
      <c r="V248" s="166">
        <v>3.3300000000000002E-4</v>
      </c>
      <c r="W248" s="166">
        <v>4.0089436082716102E-3</v>
      </c>
      <c r="X248" s="166">
        <v>5.9127804646706098E-4</v>
      </c>
    </row>
    <row r="249" spans="1:24">
      <c r="A249" s="4" t="s">
        <v>256</v>
      </c>
      <c r="B249" s="4">
        <v>7205</v>
      </c>
      <c r="C249" s="4" t="s">
        <v>1626</v>
      </c>
      <c r="D249" s="4" t="s">
        <v>1627</v>
      </c>
      <c r="E249" s="4" t="s">
        <v>1552</v>
      </c>
      <c r="F249" s="4" t="s">
        <v>1628</v>
      </c>
      <c r="G249" s="4" t="s">
        <v>1629</v>
      </c>
      <c r="H249" s="4" t="s">
        <v>511</v>
      </c>
      <c r="I249" s="4" t="s">
        <v>1121</v>
      </c>
      <c r="J249" s="4" t="s">
        <v>31</v>
      </c>
      <c r="K249" s="4" t="s">
        <v>31</v>
      </c>
      <c r="L249" s="2" t="s">
        <v>517</v>
      </c>
      <c r="M249" s="2" t="s">
        <v>32</v>
      </c>
      <c r="N249" s="4" t="s">
        <v>633</v>
      </c>
      <c r="O249" s="4" t="s">
        <v>312</v>
      </c>
      <c r="P249" s="4" t="s">
        <v>35</v>
      </c>
      <c r="Q249" s="150">
        <v>512</v>
      </c>
      <c r="R249" s="150">
        <v>1</v>
      </c>
      <c r="S249" s="150">
        <v>9863</v>
      </c>
      <c r="U249" s="150">
        <v>50.499000000000002</v>
      </c>
      <c r="V249" s="166">
        <v>3.4999999999999997E-5</v>
      </c>
      <c r="W249" s="166">
        <v>1.8615337825918999E-4</v>
      </c>
      <c r="X249" s="166">
        <v>2.74557131742224E-5</v>
      </c>
    </row>
    <row r="250" spans="1:24">
      <c r="A250" s="4" t="s">
        <v>256</v>
      </c>
      <c r="B250" s="4">
        <v>7205</v>
      </c>
      <c r="C250" s="4" t="s">
        <v>2011</v>
      </c>
      <c r="D250" s="4" t="s">
        <v>2012</v>
      </c>
      <c r="E250" s="4" t="s">
        <v>1552</v>
      </c>
      <c r="F250" s="4" t="s">
        <v>2013</v>
      </c>
      <c r="G250" s="4" t="s">
        <v>2014</v>
      </c>
      <c r="H250" s="4" t="s">
        <v>511</v>
      </c>
      <c r="I250" s="4" t="s">
        <v>1121</v>
      </c>
      <c r="J250" s="4" t="s">
        <v>31</v>
      </c>
      <c r="K250" s="4" t="s">
        <v>31</v>
      </c>
      <c r="L250" s="2" t="s">
        <v>517</v>
      </c>
      <c r="M250" s="2" t="s">
        <v>32</v>
      </c>
      <c r="N250" s="4" t="s">
        <v>662</v>
      </c>
      <c r="O250" s="4" t="s">
        <v>312</v>
      </c>
      <c r="P250" s="4" t="s">
        <v>35</v>
      </c>
      <c r="Q250" s="150">
        <v>72301</v>
      </c>
      <c r="R250" s="150">
        <v>1</v>
      </c>
      <c r="S250" s="150">
        <v>39</v>
      </c>
      <c r="U250" s="150">
        <v>28.196999999999999</v>
      </c>
      <c r="V250" s="166">
        <v>2.0330000000000001E-3</v>
      </c>
      <c r="W250" s="166">
        <v>1.03944338345329E-4</v>
      </c>
      <c r="X250" s="166">
        <v>1.53307233335305E-5</v>
      </c>
    </row>
    <row r="251" spans="1:24">
      <c r="A251" s="4" t="s">
        <v>256</v>
      </c>
      <c r="B251" s="4">
        <v>7205</v>
      </c>
      <c r="C251" s="4" t="s">
        <v>1630</v>
      </c>
      <c r="D251" s="4" t="s">
        <v>1631</v>
      </c>
      <c r="E251" s="4" t="s">
        <v>1552</v>
      </c>
      <c r="F251" s="4" t="s">
        <v>1632</v>
      </c>
      <c r="G251" s="4" t="s">
        <v>1633</v>
      </c>
      <c r="H251" s="4" t="s">
        <v>511</v>
      </c>
      <c r="I251" s="4" t="s">
        <v>1121</v>
      </c>
      <c r="J251" s="4" t="s">
        <v>31</v>
      </c>
      <c r="K251" s="4" t="s">
        <v>31</v>
      </c>
      <c r="L251" s="2" t="s">
        <v>517</v>
      </c>
      <c r="M251" s="2" t="s">
        <v>32</v>
      </c>
      <c r="N251" s="4" t="s">
        <v>650</v>
      </c>
      <c r="O251" s="4" t="s">
        <v>312</v>
      </c>
      <c r="P251" s="4" t="s">
        <v>35</v>
      </c>
      <c r="Q251" s="150">
        <v>7483.38</v>
      </c>
      <c r="R251" s="150">
        <v>1</v>
      </c>
      <c r="S251" s="150">
        <v>6381</v>
      </c>
      <c r="U251" s="150">
        <v>477.51400000000001</v>
      </c>
      <c r="V251" s="166">
        <v>6.69E-4</v>
      </c>
      <c r="W251" s="166">
        <v>1.7602666929540801E-3</v>
      </c>
      <c r="X251" s="166">
        <v>2.5962127512181398E-4</v>
      </c>
    </row>
    <row r="252" spans="1:24">
      <c r="A252" s="4" t="s">
        <v>256</v>
      </c>
      <c r="B252" s="4">
        <v>7205</v>
      </c>
      <c r="C252" s="4" t="s">
        <v>1634</v>
      </c>
      <c r="D252" s="4" t="s">
        <v>1635</v>
      </c>
      <c r="E252" s="4" t="s">
        <v>1552</v>
      </c>
      <c r="F252" s="4" t="s">
        <v>1636</v>
      </c>
      <c r="G252" s="4" t="s">
        <v>1637</v>
      </c>
      <c r="H252" s="4" t="s">
        <v>511</v>
      </c>
      <c r="I252" s="4" t="s">
        <v>1121</v>
      </c>
      <c r="J252" s="4" t="s">
        <v>31</v>
      </c>
      <c r="K252" s="4" t="s">
        <v>31</v>
      </c>
      <c r="L252" s="2" t="s">
        <v>517</v>
      </c>
      <c r="M252" s="2" t="s">
        <v>32</v>
      </c>
      <c r="N252" s="4" t="s">
        <v>651</v>
      </c>
      <c r="O252" s="4" t="s">
        <v>312</v>
      </c>
      <c r="P252" s="4" t="s">
        <v>35</v>
      </c>
      <c r="Q252" s="150">
        <v>26697</v>
      </c>
      <c r="R252" s="150">
        <v>1</v>
      </c>
      <c r="S252" s="150">
        <v>990.44799999999998</v>
      </c>
      <c r="U252" s="150">
        <v>264.42</v>
      </c>
      <c r="V252" s="166">
        <v>0</v>
      </c>
      <c r="W252" s="166">
        <v>9.7473404724918297E-4</v>
      </c>
      <c r="X252" s="166">
        <v>1.4376327022741701E-4</v>
      </c>
    </row>
    <row r="253" spans="1:24">
      <c r="A253" s="4" t="s">
        <v>256</v>
      </c>
      <c r="B253" s="4">
        <v>7205</v>
      </c>
      <c r="C253" s="4" t="s">
        <v>1638</v>
      </c>
      <c r="D253" s="4" t="s">
        <v>1639</v>
      </c>
      <c r="E253" s="4" t="s">
        <v>1552</v>
      </c>
      <c r="F253" s="4" t="s">
        <v>1640</v>
      </c>
      <c r="G253" s="4" t="s">
        <v>1641</v>
      </c>
      <c r="H253" s="4" t="s">
        <v>511</v>
      </c>
      <c r="I253" s="4" t="s">
        <v>1121</v>
      </c>
      <c r="J253" s="4" t="s">
        <v>31</v>
      </c>
      <c r="K253" s="4" t="s">
        <v>31</v>
      </c>
      <c r="L253" s="2" t="s">
        <v>517</v>
      </c>
      <c r="M253" s="2" t="s">
        <v>32</v>
      </c>
      <c r="N253" s="4" t="s">
        <v>649</v>
      </c>
      <c r="O253" s="4" t="s">
        <v>312</v>
      </c>
      <c r="P253" s="4" t="s">
        <v>35</v>
      </c>
      <c r="Q253" s="150">
        <v>2113</v>
      </c>
      <c r="R253" s="150">
        <v>1</v>
      </c>
      <c r="S253" s="150">
        <v>6972</v>
      </c>
      <c r="U253" s="150">
        <v>147.31800000000001</v>
      </c>
      <c r="V253" s="166">
        <v>1.34E-4</v>
      </c>
      <c r="W253" s="166">
        <v>5.4306123567886895E-4</v>
      </c>
      <c r="X253" s="166">
        <v>8.0095959913646005E-5</v>
      </c>
    </row>
    <row r="254" spans="1:24">
      <c r="A254" s="4" t="s">
        <v>256</v>
      </c>
      <c r="B254" s="4">
        <v>7205</v>
      </c>
      <c r="C254" s="4" t="s">
        <v>1642</v>
      </c>
      <c r="D254" s="4" t="s">
        <v>1643</v>
      </c>
      <c r="E254" s="4" t="s">
        <v>1552</v>
      </c>
      <c r="F254" s="4" t="s">
        <v>1644</v>
      </c>
      <c r="G254" s="4" t="s">
        <v>1645</v>
      </c>
      <c r="H254" s="4" t="s">
        <v>511</v>
      </c>
      <c r="I254" s="4" t="s">
        <v>1121</v>
      </c>
      <c r="J254" s="4" t="s">
        <v>31</v>
      </c>
      <c r="K254" s="4" t="s">
        <v>31</v>
      </c>
      <c r="L254" s="2" t="s">
        <v>517</v>
      </c>
      <c r="M254" s="2" t="s">
        <v>32</v>
      </c>
      <c r="N254" s="4" t="s">
        <v>634</v>
      </c>
      <c r="O254" s="4" t="s">
        <v>312</v>
      </c>
      <c r="P254" s="4" t="s">
        <v>35</v>
      </c>
      <c r="Q254" s="150">
        <v>5405</v>
      </c>
      <c r="R254" s="150">
        <v>1</v>
      </c>
      <c r="S254" s="150">
        <v>66410</v>
      </c>
      <c r="T254" s="149">
        <v>10.159000000000001</v>
      </c>
      <c r="U254" s="150">
        <v>3599.6190000000001</v>
      </c>
      <c r="V254" s="166">
        <v>1.22E-4</v>
      </c>
      <c r="W254" s="166">
        <v>1.3269314501772799E-2</v>
      </c>
      <c r="X254" s="166">
        <v>1.9570877326328499E-3</v>
      </c>
    </row>
    <row r="255" spans="1:24">
      <c r="A255" s="4" t="s">
        <v>256</v>
      </c>
      <c r="B255" s="4">
        <v>7205</v>
      </c>
      <c r="C255" s="4" t="s">
        <v>1646</v>
      </c>
      <c r="D255" s="4" t="s">
        <v>1647</v>
      </c>
      <c r="E255" s="4" t="s">
        <v>1552</v>
      </c>
      <c r="F255" s="4" t="s">
        <v>1648</v>
      </c>
      <c r="G255" s="4" t="s">
        <v>1649</v>
      </c>
      <c r="H255" s="4" t="s">
        <v>511</v>
      </c>
      <c r="I255" s="4" t="s">
        <v>1121</v>
      </c>
      <c r="J255" s="4" t="s">
        <v>31</v>
      </c>
      <c r="K255" s="4" t="s">
        <v>31</v>
      </c>
      <c r="L255" s="2" t="s">
        <v>517</v>
      </c>
      <c r="M255" s="2" t="s">
        <v>32</v>
      </c>
      <c r="N255" s="4" t="s">
        <v>629</v>
      </c>
      <c r="O255" s="4" t="s">
        <v>312</v>
      </c>
      <c r="P255" s="4" t="s">
        <v>35</v>
      </c>
      <c r="Q255" s="150">
        <v>58122</v>
      </c>
      <c r="R255" s="150">
        <v>1</v>
      </c>
      <c r="S255" s="150">
        <v>4400</v>
      </c>
      <c r="U255" s="150">
        <v>2557.3679999999999</v>
      </c>
      <c r="V255" s="166">
        <v>4.522E-3</v>
      </c>
      <c r="W255" s="166">
        <v>9.4272528296242102E-3</v>
      </c>
      <c r="X255" s="166">
        <v>1.3904230593691201E-3</v>
      </c>
    </row>
    <row r="256" spans="1:24">
      <c r="A256" s="4" t="s">
        <v>256</v>
      </c>
      <c r="B256" s="4">
        <v>7205</v>
      </c>
      <c r="C256" s="4" t="s">
        <v>1650</v>
      </c>
      <c r="D256" s="4" t="s">
        <v>1651</v>
      </c>
      <c r="E256" s="4" t="s">
        <v>1552</v>
      </c>
      <c r="F256" s="4" t="s">
        <v>1652</v>
      </c>
      <c r="G256" s="4" t="s">
        <v>1653</v>
      </c>
      <c r="H256" s="4" t="s">
        <v>511</v>
      </c>
      <c r="I256" s="4" t="s">
        <v>1121</v>
      </c>
      <c r="J256" s="4" t="s">
        <v>31</v>
      </c>
      <c r="K256" s="4" t="s">
        <v>31</v>
      </c>
      <c r="L256" s="2" t="s">
        <v>517</v>
      </c>
      <c r="M256" s="2" t="s">
        <v>32</v>
      </c>
      <c r="N256" s="4" t="s">
        <v>652</v>
      </c>
      <c r="O256" s="4" t="s">
        <v>312</v>
      </c>
      <c r="P256" s="4" t="s">
        <v>35</v>
      </c>
      <c r="Q256" s="150">
        <v>139473</v>
      </c>
      <c r="R256" s="150">
        <v>1</v>
      </c>
      <c r="S256" s="150">
        <v>2350</v>
      </c>
      <c r="U256" s="150">
        <v>3277.6149999999998</v>
      </c>
      <c r="V256" s="166">
        <v>7.76E-4</v>
      </c>
      <c r="W256" s="166">
        <v>1.2082308841275599E-2</v>
      </c>
      <c r="X256" s="166">
        <v>1.7820165775694499E-3</v>
      </c>
    </row>
    <row r="257" spans="1:24">
      <c r="A257" s="4" t="s">
        <v>256</v>
      </c>
      <c r="B257" s="4">
        <v>7205</v>
      </c>
      <c r="C257" s="4" t="s">
        <v>1654</v>
      </c>
      <c r="D257" s="4" t="s">
        <v>1655</v>
      </c>
      <c r="E257" s="4" t="s">
        <v>1552</v>
      </c>
      <c r="F257" s="4" t="s">
        <v>1656</v>
      </c>
      <c r="G257" s="4" t="s">
        <v>1657</v>
      </c>
      <c r="H257" s="4" t="s">
        <v>511</v>
      </c>
      <c r="I257" s="4" t="s">
        <v>1121</v>
      </c>
      <c r="J257" s="4" t="s">
        <v>31</v>
      </c>
      <c r="K257" s="4" t="s">
        <v>31</v>
      </c>
      <c r="L257" s="2" t="s">
        <v>517</v>
      </c>
      <c r="M257" s="2" t="s">
        <v>32</v>
      </c>
      <c r="N257" s="4" t="s">
        <v>667</v>
      </c>
      <c r="O257" s="4" t="s">
        <v>312</v>
      </c>
      <c r="P257" s="4" t="s">
        <v>35</v>
      </c>
      <c r="Q257" s="150">
        <v>123837</v>
      </c>
      <c r="R257" s="150">
        <v>1</v>
      </c>
      <c r="S257" s="150">
        <v>482.7</v>
      </c>
      <c r="U257" s="150">
        <v>597.76099999999997</v>
      </c>
      <c r="V257" s="166">
        <v>6.2699999999999995E-4</v>
      </c>
      <c r="W257" s="166">
        <v>2.2035334588969301E-3</v>
      </c>
      <c r="X257" s="166">
        <v>3.2499857474001801E-4</v>
      </c>
    </row>
    <row r="258" spans="1:24">
      <c r="A258" s="4" t="s">
        <v>256</v>
      </c>
      <c r="B258" s="4">
        <v>7205</v>
      </c>
      <c r="C258" s="4" t="s">
        <v>1658</v>
      </c>
      <c r="D258" s="4" t="s">
        <v>1659</v>
      </c>
      <c r="E258" s="4" t="s">
        <v>1552</v>
      </c>
      <c r="F258" s="4" t="s">
        <v>1660</v>
      </c>
      <c r="G258" s="4" t="s">
        <v>1661</v>
      </c>
      <c r="H258" s="4" t="s">
        <v>511</v>
      </c>
      <c r="I258" s="4" t="s">
        <v>1121</v>
      </c>
      <c r="J258" s="4" t="s">
        <v>31</v>
      </c>
      <c r="K258" s="4" t="s">
        <v>31</v>
      </c>
      <c r="L258" s="2" t="s">
        <v>517</v>
      </c>
      <c r="M258" s="2" t="s">
        <v>32</v>
      </c>
      <c r="N258" s="4" t="s">
        <v>639</v>
      </c>
      <c r="O258" s="4" t="s">
        <v>312</v>
      </c>
      <c r="P258" s="4" t="s">
        <v>35</v>
      </c>
      <c r="Q258" s="150">
        <v>20114</v>
      </c>
      <c r="R258" s="150">
        <v>1</v>
      </c>
      <c r="S258" s="150">
        <v>10000</v>
      </c>
      <c r="U258" s="150">
        <v>2011.4</v>
      </c>
      <c r="V258" s="166">
        <v>5.8100000000000003E-4</v>
      </c>
      <c r="W258" s="166">
        <v>7.41464519048731E-3</v>
      </c>
      <c r="X258" s="166">
        <v>1.0935840839546901E-3</v>
      </c>
    </row>
    <row r="259" spans="1:24">
      <c r="A259" s="4" t="s">
        <v>256</v>
      </c>
      <c r="B259" s="4">
        <v>7205</v>
      </c>
      <c r="C259" s="4" t="s">
        <v>1662</v>
      </c>
      <c r="D259" s="4" t="s">
        <v>1663</v>
      </c>
      <c r="E259" s="4" t="s">
        <v>1552</v>
      </c>
      <c r="F259" s="4" t="s">
        <v>1664</v>
      </c>
      <c r="G259" s="4" t="s">
        <v>1665</v>
      </c>
      <c r="H259" s="4" t="s">
        <v>511</v>
      </c>
      <c r="I259" s="4" t="s">
        <v>1121</v>
      </c>
      <c r="J259" s="4" t="s">
        <v>31</v>
      </c>
      <c r="K259" s="4" t="s">
        <v>31</v>
      </c>
      <c r="L259" s="2" t="s">
        <v>517</v>
      </c>
      <c r="M259" s="2" t="s">
        <v>32</v>
      </c>
      <c r="N259" s="4" t="s">
        <v>653</v>
      </c>
      <c r="O259" s="4" t="s">
        <v>312</v>
      </c>
      <c r="P259" s="4" t="s">
        <v>35</v>
      </c>
      <c r="Q259" s="150">
        <v>13495.95</v>
      </c>
      <c r="R259" s="150">
        <v>1</v>
      </c>
      <c r="S259" s="150">
        <v>3254</v>
      </c>
      <c r="U259" s="150">
        <v>439.15800000000002</v>
      </c>
      <c r="V259" s="166">
        <v>2.3900000000000001E-4</v>
      </c>
      <c r="W259" s="166">
        <v>1.61887358649868E-3</v>
      </c>
      <c r="X259" s="166">
        <v>2.38767242753696E-4</v>
      </c>
    </row>
    <row r="260" spans="1:24">
      <c r="A260" s="4" t="s">
        <v>256</v>
      </c>
      <c r="B260" s="4">
        <v>7205</v>
      </c>
      <c r="C260" s="4" t="s">
        <v>2015</v>
      </c>
      <c r="D260" s="4" t="s">
        <v>2016</v>
      </c>
      <c r="E260" s="4" t="s">
        <v>1552</v>
      </c>
      <c r="F260" s="4" t="s">
        <v>2017</v>
      </c>
      <c r="G260" s="4" t="s">
        <v>2018</v>
      </c>
      <c r="H260" s="4" t="s">
        <v>511</v>
      </c>
      <c r="I260" s="4" t="s">
        <v>1121</v>
      </c>
      <c r="J260" s="4" t="s">
        <v>31</v>
      </c>
      <c r="K260" s="4" t="s">
        <v>31</v>
      </c>
      <c r="L260" s="2" t="s">
        <v>517</v>
      </c>
      <c r="M260" s="2" t="s">
        <v>32</v>
      </c>
      <c r="N260" s="4" t="s">
        <v>628</v>
      </c>
      <c r="O260" s="4" t="s">
        <v>312</v>
      </c>
      <c r="P260" s="4" t="s">
        <v>35</v>
      </c>
      <c r="Q260" s="150">
        <v>30246</v>
      </c>
      <c r="R260" s="150">
        <v>1</v>
      </c>
      <c r="S260" s="150">
        <v>1731</v>
      </c>
      <c r="U260" s="150">
        <v>523.55799999999999</v>
      </c>
      <c r="V260" s="166">
        <v>1.8860000000000001E-3</v>
      </c>
      <c r="W260" s="166">
        <v>1.9299983764785201E-3</v>
      </c>
      <c r="X260" s="166">
        <v>2.846549568256E-4</v>
      </c>
    </row>
    <row r="261" spans="1:24">
      <c r="A261" s="4" t="s">
        <v>256</v>
      </c>
      <c r="B261" s="4">
        <v>7205</v>
      </c>
      <c r="C261" s="4" t="s">
        <v>1666</v>
      </c>
      <c r="D261" s="4" t="s">
        <v>1667</v>
      </c>
      <c r="E261" s="4" t="s">
        <v>1552</v>
      </c>
      <c r="F261" s="4" t="s">
        <v>1668</v>
      </c>
      <c r="G261" s="4" t="s">
        <v>1669</v>
      </c>
      <c r="H261" s="4" t="s">
        <v>511</v>
      </c>
      <c r="I261" s="4" t="s">
        <v>1121</v>
      </c>
      <c r="J261" s="4" t="s">
        <v>31</v>
      </c>
      <c r="K261" s="4" t="s">
        <v>31</v>
      </c>
      <c r="L261" s="2" t="s">
        <v>517</v>
      </c>
      <c r="M261" s="2" t="s">
        <v>32</v>
      </c>
      <c r="N261" s="4" t="s">
        <v>664</v>
      </c>
      <c r="O261" s="4" t="s">
        <v>312</v>
      </c>
      <c r="P261" s="4" t="s">
        <v>35</v>
      </c>
      <c r="Q261" s="150">
        <v>3850</v>
      </c>
      <c r="R261" s="150">
        <v>1</v>
      </c>
      <c r="S261" s="150">
        <v>7427</v>
      </c>
      <c r="U261" s="150">
        <v>285.94</v>
      </c>
      <c r="V261" s="166">
        <v>1.7799999999999999E-4</v>
      </c>
      <c r="W261" s="166">
        <v>1.0540618168665299E-3</v>
      </c>
      <c r="X261" s="166">
        <v>1.5546330226407599E-4</v>
      </c>
    </row>
    <row r="262" spans="1:24">
      <c r="A262" s="4" t="s">
        <v>256</v>
      </c>
      <c r="B262" s="4">
        <v>7205</v>
      </c>
      <c r="C262" s="4" t="s">
        <v>1670</v>
      </c>
      <c r="D262" s="4" t="s">
        <v>1671</v>
      </c>
      <c r="E262" s="4" t="s">
        <v>1552</v>
      </c>
      <c r="F262" s="4" t="s">
        <v>1672</v>
      </c>
      <c r="G262" s="4" t="s">
        <v>1673</v>
      </c>
      <c r="H262" s="4" t="s">
        <v>511</v>
      </c>
      <c r="I262" s="4" t="s">
        <v>1121</v>
      </c>
      <c r="J262" s="4" t="s">
        <v>31</v>
      </c>
      <c r="K262" s="4" t="s">
        <v>31</v>
      </c>
      <c r="L262" s="2" t="s">
        <v>517</v>
      </c>
      <c r="M262" s="2" t="s">
        <v>32</v>
      </c>
      <c r="N262" s="4" t="s">
        <v>652</v>
      </c>
      <c r="O262" s="4" t="s">
        <v>312</v>
      </c>
      <c r="P262" s="4" t="s">
        <v>35</v>
      </c>
      <c r="Q262" s="150">
        <v>104850</v>
      </c>
      <c r="R262" s="150">
        <v>1</v>
      </c>
      <c r="S262" s="150">
        <v>1510</v>
      </c>
      <c r="U262" s="150">
        <v>1583.2349999999999</v>
      </c>
      <c r="V262" s="166">
        <v>2.23E-4</v>
      </c>
      <c r="W262" s="166">
        <v>5.8362960018699299E-3</v>
      </c>
      <c r="X262" s="166">
        <v>8.60793774067817E-4</v>
      </c>
    </row>
    <row r="263" spans="1:24">
      <c r="A263" s="4" t="s">
        <v>256</v>
      </c>
      <c r="B263" s="4">
        <v>7205</v>
      </c>
      <c r="C263" s="4" t="s">
        <v>1674</v>
      </c>
      <c r="D263" s="4" t="s">
        <v>1675</v>
      </c>
      <c r="E263" s="4" t="s">
        <v>1552</v>
      </c>
      <c r="F263" s="4" t="s">
        <v>1676</v>
      </c>
      <c r="G263" s="4" t="s">
        <v>1677</v>
      </c>
      <c r="H263" s="4" t="s">
        <v>511</v>
      </c>
      <c r="I263" s="4" t="s">
        <v>1121</v>
      </c>
      <c r="J263" s="4" t="s">
        <v>31</v>
      </c>
      <c r="K263" s="4" t="s">
        <v>155</v>
      </c>
      <c r="L263" s="2" t="s">
        <v>517</v>
      </c>
      <c r="M263" s="2" t="s">
        <v>32</v>
      </c>
      <c r="N263" s="4" t="s">
        <v>629</v>
      </c>
      <c r="O263" s="4" t="s">
        <v>312</v>
      </c>
      <c r="P263" s="4" t="s">
        <v>35</v>
      </c>
      <c r="Q263" s="150">
        <v>201548.4</v>
      </c>
      <c r="R263" s="150">
        <v>1</v>
      </c>
      <c r="S263" s="150">
        <v>5985</v>
      </c>
      <c r="U263" s="150">
        <v>12062.672</v>
      </c>
      <c r="V263" s="166">
        <v>1.709E-3</v>
      </c>
      <c r="W263" s="166">
        <v>4.4466754997224897E-2</v>
      </c>
      <c r="X263" s="166">
        <v>6.5583900889102402E-3</v>
      </c>
    </row>
    <row r="264" spans="1:24">
      <c r="A264" s="4" t="s">
        <v>256</v>
      </c>
      <c r="B264" s="4">
        <v>7205</v>
      </c>
      <c r="C264" s="4" t="s">
        <v>1678</v>
      </c>
      <c r="D264" s="4" t="s">
        <v>1679</v>
      </c>
      <c r="E264" s="4" t="s">
        <v>505</v>
      </c>
      <c r="F264" s="4" t="s">
        <v>1680</v>
      </c>
      <c r="G264" s="4" t="s">
        <v>1681</v>
      </c>
      <c r="H264" s="4" t="s">
        <v>511</v>
      </c>
      <c r="I264" s="4" t="s">
        <v>1121</v>
      </c>
      <c r="J264" s="4" t="s">
        <v>154</v>
      </c>
      <c r="K264" s="4" t="s">
        <v>426</v>
      </c>
      <c r="L264" s="2" t="s">
        <v>517</v>
      </c>
      <c r="M264" s="2" t="s">
        <v>32</v>
      </c>
      <c r="N264" s="4" t="s">
        <v>642</v>
      </c>
      <c r="O264" s="4" t="s">
        <v>312</v>
      </c>
      <c r="P264" s="4" t="s">
        <v>35</v>
      </c>
      <c r="Q264" s="150">
        <v>9034</v>
      </c>
      <c r="R264" s="150">
        <v>1</v>
      </c>
      <c r="S264" s="150">
        <v>4611</v>
      </c>
      <c r="T264" s="149">
        <v>10.188000000000001</v>
      </c>
      <c r="U264" s="150">
        <v>426.745</v>
      </c>
      <c r="V264" s="166">
        <v>5.1E-5</v>
      </c>
      <c r="W264" s="166">
        <v>1.5731160349637301E-3</v>
      </c>
      <c r="X264" s="166">
        <v>2.3201847342032799E-4</v>
      </c>
    </row>
    <row r="265" spans="1:24">
      <c r="A265" s="4" t="s">
        <v>256</v>
      </c>
      <c r="B265" s="4">
        <v>7205</v>
      </c>
      <c r="C265" s="4" t="s">
        <v>1682</v>
      </c>
      <c r="D265" s="4" t="s">
        <v>1683</v>
      </c>
      <c r="E265" s="4" t="s">
        <v>1552</v>
      </c>
      <c r="F265" s="4" t="s">
        <v>1684</v>
      </c>
      <c r="G265" s="4" t="s">
        <v>1685</v>
      </c>
      <c r="H265" s="4" t="s">
        <v>511</v>
      </c>
      <c r="I265" s="4" t="s">
        <v>1121</v>
      </c>
      <c r="J265" s="4" t="s">
        <v>31</v>
      </c>
      <c r="K265" s="4" t="s">
        <v>31</v>
      </c>
      <c r="L265" s="2" t="s">
        <v>517</v>
      </c>
      <c r="M265" s="2" t="s">
        <v>32</v>
      </c>
      <c r="N265" s="4" t="s">
        <v>639</v>
      </c>
      <c r="O265" s="4" t="s">
        <v>312</v>
      </c>
      <c r="P265" s="4" t="s">
        <v>35</v>
      </c>
      <c r="Q265" s="150">
        <v>7922.59</v>
      </c>
      <c r="R265" s="150">
        <v>1</v>
      </c>
      <c r="S265" s="150">
        <v>10800</v>
      </c>
      <c r="U265" s="150">
        <v>855.64</v>
      </c>
      <c r="V265" s="166">
        <v>2.1800000000000001E-4</v>
      </c>
      <c r="W265" s="166">
        <v>3.1541537907367502E-3</v>
      </c>
      <c r="X265" s="166">
        <v>4.6520531937528501E-4</v>
      </c>
    </row>
    <row r="266" spans="1:24">
      <c r="A266" s="4" t="s">
        <v>256</v>
      </c>
      <c r="B266" s="4">
        <v>7205</v>
      </c>
      <c r="C266" s="4" t="s">
        <v>1686</v>
      </c>
      <c r="D266" s="4" t="s">
        <v>1687</v>
      </c>
      <c r="E266" s="4" t="s">
        <v>1552</v>
      </c>
      <c r="F266" s="4" t="s">
        <v>1688</v>
      </c>
      <c r="G266" s="4" t="s">
        <v>1689</v>
      </c>
      <c r="H266" s="4" t="s">
        <v>511</v>
      </c>
      <c r="I266" s="4" t="s">
        <v>1121</v>
      </c>
      <c r="J266" s="4" t="s">
        <v>31</v>
      </c>
      <c r="K266" s="4" t="s">
        <v>31</v>
      </c>
      <c r="L266" s="2" t="s">
        <v>517</v>
      </c>
      <c r="M266" s="2" t="s">
        <v>32</v>
      </c>
      <c r="N266" s="4" t="s">
        <v>629</v>
      </c>
      <c r="O266" s="4" t="s">
        <v>312</v>
      </c>
      <c r="P266" s="4" t="s">
        <v>35</v>
      </c>
      <c r="Q266" s="150">
        <v>13215</v>
      </c>
      <c r="R266" s="150">
        <v>1</v>
      </c>
      <c r="S266" s="150">
        <v>1526</v>
      </c>
      <c r="U266" s="150">
        <v>201.661</v>
      </c>
      <c r="V266" s="166">
        <v>2.9E-4</v>
      </c>
      <c r="W266" s="166">
        <v>7.4338471825312802E-4</v>
      </c>
      <c r="X266" s="166">
        <v>1.09641618074962E-4</v>
      </c>
    </row>
    <row r="267" spans="1:24">
      <c r="A267" s="4" t="s">
        <v>256</v>
      </c>
      <c r="B267" s="4">
        <v>7205</v>
      </c>
      <c r="C267" s="4" t="s">
        <v>1690</v>
      </c>
      <c r="D267" s="4" t="s">
        <v>1691</v>
      </c>
      <c r="E267" s="4" t="s">
        <v>1552</v>
      </c>
      <c r="F267" s="4" t="s">
        <v>1692</v>
      </c>
      <c r="G267" s="4" t="s">
        <v>1693</v>
      </c>
      <c r="H267" s="4" t="s">
        <v>511</v>
      </c>
      <c r="I267" s="4" t="s">
        <v>1121</v>
      </c>
      <c r="J267" s="4" t="s">
        <v>31</v>
      </c>
      <c r="K267" s="4" t="s">
        <v>489</v>
      </c>
      <c r="L267" s="2" t="s">
        <v>517</v>
      </c>
      <c r="M267" s="2" t="s">
        <v>32</v>
      </c>
      <c r="N267" s="4" t="s">
        <v>627</v>
      </c>
      <c r="O267" s="4" t="s">
        <v>312</v>
      </c>
      <c r="P267" s="4" t="s">
        <v>35</v>
      </c>
      <c r="Q267" s="150">
        <v>59987</v>
      </c>
      <c r="R267" s="150">
        <v>1</v>
      </c>
      <c r="S267" s="150">
        <v>4596</v>
      </c>
      <c r="U267" s="150">
        <v>2757.0030000000002</v>
      </c>
      <c r="V267" s="166">
        <v>2.4260000000000002E-3</v>
      </c>
      <c r="W267" s="166">
        <v>1.0163167681753699E-2</v>
      </c>
      <c r="X267" s="166">
        <v>1.4989629488391101E-3</v>
      </c>
    </row>
    <row r="268" spans="1:24">
      <c r="A268" s="4" t="s">
        <v>256</v>
      </c>
      <c r="B268" s="4">
        <v>7205</v>
      </c>
      <c r="C268" s="4" t="s">
        <v>1694</v>
      </c>
      <c r="D268" s="4" t="s">
        <v>1695</v>
      </c>
      <c r="E268" s="4" t="s">
        <v>1552</v>
      </c>
      <c r="F268" s="4" t="s">
        <v>1696</v>
      </c>
      <c r="G268" s="4" t="s">
        <v>1697</v>
      </c>
      <c r="H268" s="4" t="s">
        <v>511</v>
      </c>
      <c r="I268" s="4" t="s">
        <v>1121</v>
      </c>
      <c r="J268" s="4" t="s">
        <v>31</v>
      </c>
      <c r="K268" s="4" t="s">
        <v>31</v>
      </c>
      <c r="L268" s="2" t="s">
        <v>517</v>
      </c>
      <c r="M268" s="2" t="s">
        <v>32</v>
      </c>
      <c r="N268" s="4" t="s">
        <v>652</v>
      </c>
      <c r="O268" s="4" t="s">
        <v>312</v>
      </c>
      <c r="P268" s="4" t="s">
        <v>35</v>
      </c>
      <c r="Q268" s="150">
        <v>95350</v>
      </c>
      <c r="R268" s="150">
        <v>1</v>
      </c>
      <c r="S268" s="150">
        <v>210.4</v>
      </c>
      <c r="U268" s="150">
        <v>200.61600000000001</v>
      </c>
      <c r="V268" s="166">
        <v>3.0800000000000001E-4</v>
      </c>
      <c r="W268" s="166">
        <v>7.3953436680564697E-4</v>
      </c>
      <c r="X268" s="166">
        <v>1.09073730744898E-4</v>
      </c>
    </row>
    <row r="269" spans="1:24">
      <c r="A269" s="4" t="s">
        <v>256</v>
      </c>
      <c r="B269" s="4">
        <v>7205</v>
      </c>
      <c r="C269" s="4" t="s">
        <v>2019</v>
      </c>
      <c r="D269" s="4" t="s">
        <v>2020</v>
      </c>
      <c r="E269" s="4" t="s">
        <v>1552</v>
      </c>
      <c r="F269" s="4" t="s">
        <v>2021</v>
      </c>
      <c r="G269" s="4" t="s">
        <v>2022</v>
      </c>
      <c r="H269" s="4" t="s">
        <v>511</v>
      </c>
      <c r="I269" s="4" t="s">
        <v>1121</v>
      </c>
      <c r="J269" s="4" t="s">
        <v>31</v>
      </c>
      <c r="K269" s="4" t="s">
        <v>31</v>
      </c>
      <c r="L269" s="2" t="s">
        <v>517</v>
      </c>
      <c r="M269" s="2" t="s">
        <v>32</v>
      </c>
      <c r="N269" s="4" t="s">
        <v>666</v>
      </c>
      <c r="O269" s="4" t="s">
        <v>312</v>
      </c>
      <c r="P269" s="4" t="s">
        <v>35</v>
      </c>
      <c r="Q269" s="150">
        <v>23090</v>
      </c>
      <c r="R269" s="150">
        <v>1</v>
      </c>
      <c r="S269" s="150">
        <v>1977</v>
      </c>
      <c r="U269" s="150">
        <v>456.48899999999998</v>
      </c>
      <c r="V269" s="166">
        <v>4.7260000000000002E-3</v>
      </c>
      <c r="W269" s="166">
        <v>1.68276135664409E-3</v>
      </c>
      <c r="X269" s="166">
        <v>2.4819003329801102E-4</v>
      </c>
    </row>
    <row r="270" spans="1:24">
      <c r="A270" s="4" t="s">
        <v>256</v>
      </c>
      <c r="B270" s="4">
        <v>7205</v>
      </c>
      <c r="C270" s="4" t="s">
        <v>1698</v>
      </c>
      <c r="D270" s="4" t="s">
        <v>1699</v>
      </c>
      <c r="E270" s="4" t="s">
        <v>1552</v>
      </c>
      <c r="F270" s="4" t="s">
        <v>1700</v>
      </c>
      <c r="G270" s="4" t="s">
        <v>1701</v>
      </c>
      <c r="H270" s="4" t="s">
        <v>511</v>
      </c>
      <c r="I270" s="4" t="s">
        <v>1121</v>
      </c>
      <c r="J270" s="4" t="s">
        <v>31</v>
      </c>
      <c r="K270" s="4" t="s">
        <v>31</v>
      </c>
      <c r="L270" s="2" t="s">
        <v>517</v>
      </c>
      <c r="M270" s="2" t="s">
        <v>32</v>
      </c>
      <c r="N270" s="4" t="s">
        <v>628</v>
      </c>
      <c r="O270" s="4" t="s">
        <v>312</v>
      </c>
      <c r="P270" s="4" t="s">
        <v>35</v>
      </c>
      <c r="Q270" s="150">
        <v>819596</v>
      </c>
      <c r="R270" s="150">
        <v>1</v>
      </c>
      <c r="S270" s="150">
        <v>86.7</v>
      </c>
      <c r="U270" s="150">
        <v>710.59</v>
      </c>
      <c r="V270" s="166">
        <v>2.5700000000000001E-4</v>
      </c>
      <c r="W270" s="166">
        <v>2.6194544788622201E-3</v>
      </c>
      <c r="X270" s="166">
        <v>3.8634265742111502E-4</v>
      </c>
    </row>
    <row r="271" spans="1:24">
      <c r="A271" s="4" t="s">
        <v>256</v>
      </c>
      <c r="B271" s="4">
        <v>7205</v>
      </c>
      <c r="C271" s="4" t="s">
        <v>1702</v>
      </c>
      <c r="D271" s="4" t="s">
        <v>1703</v>
      </c>
      <c r="E271" s="4" t="s">
        <v>1552</v>
      </c>
      <c r="F271" s="4" t="s">
        <v>1704</v>
      </c>
      <c r="G271" s="4" t="s">
        <v>1705</v>
      </c>
      <c r="H271" s="4" t="s">
        <v>511</v>
      </c>
      <c r="I271" s="4" t="s">
        <v>1121</v>
      </c>
      <c r="J271" s="4" t="s">
        <v>31</v>
      </c>
      <c r="K271" s="4" t="s">
        <v>31</v>
      </c>
      <c r="L271" s="2" t="s">
        <v>517</v>
      </c>
      <c r="M271" s="2" t="s">
        <v>32</v>
      </c>
      <c r="N271" s="4" t="s">
        <v>673</v>
      </c>
      <c r="O271" s="4" t="s">
        <v>312</v>
      </c>
      <c r="P271" s="4" t="s">
        <v>35</v>
      </c>
      <c r="Q271" s="150">
        <v>1398372</v>
      </c>
      <c r="R271" s="150">
        <v>1</v>
      </c>
      <c r="S271" s="150">
        <v>423.6</v>
      </c>
      <c r="U271" s="150">
        <v>5923.5039999999999</v>
      </c>
      <c r="V271" s="166">
        <v>5.0500000000000002E-4</v>
      </c>
      <c r="W271" s="166">
        <v>2.18358749637994E-2</v>
      </c>
      <c r="X271" s="166">
        <v>3.2205674993419798E-3</v>
      </c>
    </row>
    <row r="272" spans="1:24">
      <c r="A272" s="4" t="s">
        <v>256</v>
      </c>
      <c r="B272" s="4">
        <v>7205</v>
      </c>
      <c r="C272" s="4" t="s">
        <v>1706</v>
      </c>
      <c r="D272" s="4" t="s">
        <v>1707</v>
      </c>
      <c r="E272" s="4" t="s">
        <v>1552</v>
      </c>
      <c r="F272" s="4" t="s">
        <v>1708</v>
      </c>
      <c r="G272" s="4" t="s">
        <v>1709</v>
      </c>
      <c r="H272" s="4" t="s">
        <v>511</v>
      </c>
      <c r="I272" s="4" t="s">
        <v>1121</v>
      </c>
      <c r="J272" s="4" t="s">
        <v>31</v>
      </c>
      <c r="K272" s="4" t="s">
        <v>31</v>
      </c>
      <c r="L272" s="2" t="s">
        <v>517</v>
      </c>
      <c r="M272" s="2" t="s">
        <v>32</v>
      </c>
      <c r="N272" s="4" t="s">
        <v>652</v>
      </c>
      <c r="O272" s="4" t="s">
        <v>312</v>
      </c>
      <c r="P272" s="4" t="s">
        <v>35</v>
      </c>
      <c r="Q272" s="150">
        <v>10165.08</v>
      </c>
      <c r="R272" s="150">
        <v>1</v>
      </c>
      <c r="S272" s="150">
        <v>35740</v>
      </c>
      <c r="U272" s="150">
        <v>3633</v>
      </c>
      <c r="V272" s="166">
        <v>4.1399999999999998E-4</v>
      </c>
      <c r="W272" s="166">
        <v>1.3392364995458501E-2</v>
      </c>
      <c r="X272" s="166">
        <v>1.9752364178309101E-3</v>
      </c>
    </row>
    <row r="273" spans="1:24">
      <c r="A273" s="4" t="s">
        <v>256</v>
      </c>
      <c r="B273" s="4">
        <v>7205</v>
      </c>
      <c r="C273" s="4" t="s">
        <v>2023</v>
      </c>
      <c r="D273" s="4" t="s">
        <v>2024</v>
      </c>
      <c r="E273" s="4" t="s">
        <v>1552</v>
      </c>
      <c r="F273" s="4" t="s">
        <v>2025</v>
      </c>
      <c r="G273" s="4" t="s">
        <v>2026</v>
      </c>
      <c r="H273" s="4" t="s">
        <v>511</v>
      </c>
      <c r="I273" s="4" t="s">
        <v>1121</v>
      </c>
      <c r="J273" s="4" t="s">
        <v>31</v>
      </c>
      <c r="K273" s="4" t="s">
        <v>31</v>
      </c>
      <c r="L273" s="2" t="s">
        <v>517</v>
      </c>
      <c r="M273" s="2" t="s">
        <v>32</v>
      </c>
      <c r="N273" s="4" t="s">
        <v>651</v>
      </c>
      <c r="O273" s="4" t="s">
        <v>312</v>
      </c>
      <c r="P273" s="4" t="s">
        <v>35</v>
      </c>
      <c r="Q273" s="150">
        <v>4202</v>
      </c>
      <c r="R273" s="150">
        <v>1</v>
      </c>
      <c r="S273" s="150">
        <v>21460</v>
      </c>
      <c r="U273" s="150">
        <v>901.74900000000002</v>
      </c>
      <c r="V273" s="166">
        <v>4.75E-4</v>
      </c>
      <c r="W273" s="166">
        <v>3.3241276567593601E-3</v>
      </c>
      <c r="X273" s="166">
        <v>4.9027472051251702E-4</v>
      </c>
    </row>
    <row r="274" spans="1:24">
      <c r="A274" s="4" t="s">
        <v>256</v>
      </c>
      <c r="B274" s="4">
        <v>7205</v>
      </c>
      <c r="C274" s="4" t="s">
        <v>1710</v>
      </c>
      <c r="D274" s="4" t="s">
        <v>1711</v>
      </c>
      <c r="E274" s="4" t="s">
        <v>1552</v>
      </c>
      <c r="F274" s="4" t="s">
        <v>1712</v>
      </c>
      <c r="G274" s="4" t="s">
        <v>1713</v>
      </c>
      <c r="H274" s="4" t="s">
        <v>511</v>
      </c>
      <c r="I274" s="4" t="s">
        <v>1121</v>
      </c>
      <c r="J274" s="4" t="s">
        <v>31</v>
      </c>
      <c r="K274" s="4" t="s">
        <v>31</v>
      </c>
      <c r="L274" s="2" t="s">
        <v>517</v>
      </c>
      <c r="M274" s="2" t="s">
        <v>32</v>
      </c>
      <c r="N274" s="4" t="s">
        <v>644</v>
      </c>
      <c r="O274" s="4" t="s">
        <v>312</v>
      </c>
      <c r="P274" s="4" t="s">
        <v>35</v>
      </c>
      <c r="Q274" s="150">
        <v>4206</v>
      </c>
      <c r="R274" s="150">
        <v>1</v>
      </c>
      <c r="S274" s="150">
        <v>835.6</v>
      </c>
      <c r="U274" s="150">
        <v>35.145000000000003</v>
      </c>
      <c r="V274" s="166">
        <v>1.2300000000000001E-4</v>
      </c>
      <c r="W274" s="166">
        <v>1.2955662550485301E-4</v>
      </c>
      <c r="X274" s="166">
        <v>1.91082728819926E-5</v>
      </c>
    </row>
    <row r="275" spans="1:24">
      <c r="A275" s="4" t="s">
        <v>256</v>
      </c>
      <c r="B275" s="4">
        <v>7205</v>
      </c>
      <c r="C275" s="4" t="s">
        <v>1714</v>
      </c>
      <c r="D275" s="4" t="s">
        <v>1715</v>
      </c>
      <c r="E275" s="4" t="s">
        <v>1552</v>
      </c>
      <c r="F275" s="4" t="s">
        <v>1716</v>
      </c>
      <c r="G275" s="4" t="s">
        <v>1717</v>
      </c>
      <c r="H275" s="4" t="s">
        <v>511</v>
      </c>
      <c r="I275" s="4" t="s">
        <v>1121</v>
      </c>
      <c r="J275" s="4" t="s">
        <v>31</v>
      </c>
      <c r="K275" s="4" t="s">
        <v>489</v>
      </c>
      <c r="L275" s="2" t="s">
        <v>517</v>
      </c>
      <c r="M275" s="2" t="s">
        <v>32</v>
      </c>
      <c r="N275" s="4" t="s">
        <v>653</v>
      </c>
      <c r="O275" s="4" t="s">
        <v>312</v>
      </c>
      <c r="P275" s="4" t="s">
        <v>35</v>
      </c>
      <c r="Q275" s="150">
        <v>59298.97</v>
      </c>
      <c r="R275" s="150">
        <v>1</v>
      </c>
      <c r="S275" s="150">
        <v>881.8</v>
      </c>
      <c r="U275" s="150">
        <v>522.89800000000002</v>
      </c>
      <c r="V275" s="166">
        <v>3.3199999999999999E-4</v>
      </c>
      <c r="W275" s="166">
        <v>1.9275656232816401E-3</v>
      </c>
      <c r="X275" s="166">
        <v>2.8429615069153002E-4</v>
      </c>
    </row>
    <row r="276" spans="1:24">
      <c r="A276" s="4" t="s">
        <v>256</v>
      </c>
      <c r="B276" s="4">
        <v>7205</v>
      </c>
      <c r="C276" s="4" t="s">
        <v>1718</v>
      </c>
      <c r="D276" s="4" t="s">
        <v>1719</v>
      </c>
      <c r="E276" s="4" t="s">
        <v>1552</v>
      </c>
      <c r="F276" s="4" t="s">
        <v>1720</v>
      </c>
      <c r="G276" s="4" t="s">
        <v>1721</v>
      </c>
      <c r="H276" s="4" t="s">
        <v>511</v>
      </c>
      <c r="I276" s="4" t="s">
        <v>1121</v>
      </c>
      <c r="J276" s="4" t="s">
        <v>31</v>
      </c>
      <c r="K276" s="4" t="s">
        <v>155</v>
      </c>
      <c r="L276" s="2" t="s">
        <v>517</v>
      </c>
      <c r="M276" s="2" t="s">
        <v>32</v>
      </c>
      <c r="N276" s="4" t="s">
        <v>657</v>
      </c>
      <c r="O276" s="4" t="s">
        <v>312</v>
      </c>
      <c r="P276" s="4" t="s">
        <v>35</v>
      </c>
      <c r="Q276" s="150">
        <v>19968</v>
      </c>
      <c r="R276" s="150">
        <v>1</v>
      </c>
      <c r="S276" s="150">
        <v>1681</v>
      </c>
      <c r="U276" s="150">
        <v>335.66199999999998</v>
      </c>
      <c r="V276" s="166">
        <v>3.5300000000000002E-4</v>
      </c>
      <c r="W276" s="166">
        <v>1.2373546918071801E-3</v>
      </c>
      <c r="X276" s="166">
        <v>1.82497120550426E-4</v>
      </c>
    </row>
    <row r="277" spans="1:24">
      <c r="A277" s="4" t="s">
        <v>256</v>
      </c>
      <c r="B277" s="4">
        <v>7205</v>
      </c>
      <c r="C277" s="4" t="s">
        <v>1722</v>
      </c>
      <c r="D277" s="4" t="s">
        <v>1723</v>
      </c>
      <c r="E277" s="4" t="s">
        <v>1552</v>
      </c>
      <c r="F277" s="4" t="s">
        <v>1724</v>
      </c>
      <c r="G277" s="4" t="s">
        <v>1725</v>
      </c>
      <c r="H277" s="4" t="s">
        <v>511</v>
      </c>
      <c r="I277" s="4" t="s">
        <v>1121</v>
      </c>
      <c r="J277" s="4" t="s">
        <v>31</v>
      </c>
      <c r="K277" s="4" t="s">
        <v>31</v>
      </c>
      <c r="L277" s="2" t="s">
        <v>517</v>
      </c>
      <c r="M277" s="2" t="s">
        <v>32</v>
      </c>
      <c r="N277" s="4" t="s">
        <v>669</v>
      </c>
      <c r="O277" s="4" t="s">
        <v>312</v>
      </c>
      <c r="P277" s="4" t="s">
        <v>35</v>
      </c>
      <c r="Q277" s="150">
        <v>8824</v>
      </c>
      <c r="R277" s="150">
        <v>1</v>
      </c>
      <c r="S277" s="150">
        <v>3905</v>
      </c>
      <c r="U277" s="150">
        <v>344.577</v>
      </c>
      <c r="V277" s="166">
        <v>7.4600000000000003E-4</v>
      </c>
      <c r="W277" s="166">
        <v>1.2702185933835099E-3</v>
      </c>
      <c r="X277" s="166">
        <v>1.8734420881658199E-4</v>
      </c>
    </row>
    <row r="278" spans="1:24">
      <c r="A278" s="4" t="s">
        <v>256</v>
      </c>
      <c r="B278" s="4">
        <v>7205</v>
      </c>
      <c r="C278" s="4" t="s">
        <v>1726</v>
      </c>
      <c r="D278" s="4" t="s">
        <v>1727</v>
      </c>
      <c r="E278" s="4" t="s">
        <v>1552</v>
      </c>
      <c r="F278" s="4" t="s">
        <v>1728</v>
      </c>
      <c r="G278" s="4" t="s">
        <v>1729</v>
      </c>
      <c r="H278" s="4" t="s">
        <v>511</v>
      </c>
      <c r="I278" s="4" t="s">
        <v>1121</v>
      </c>
      <c r="J278" s="4" t="s">
        <v>31</v>
      </c>
      <c r="K278" s="4" t="s">
        <v>31</v>
      </c>
      <c r="L278" s="2" t="s">
        <v>517</v>
      </c>
      <c r="M278" s="2" t="s">
        <v>32</v>
      </c>
      <c r="N278" s="4" t="s">
        <v>650</v>
      </c>
      <c r="O278" s="4" t="s">
        <v>312</v>
      </c>
      <c r="P278" s="4" t="s">
        <v>35</v>
      </c>
      <c r="Q278" s="150">
        <v>1173.8900000000001</v>
      </c>
      <c r="R278" s="150">
        <v>1</v>
      </c>
      <c r="S278" s="150">
        <v>39460</v>
      </c>
      <c r="U278" s="150">
        <v>463.21699999999998</v>
      </c>
      <c r="V278" s="166">
        <v>9.5500000000000001E-4</v>
      </c>
      <c r="W278" s="166">
        <v>1.7075617265159E-3</v>
      </c>
      <c r="X278" s="166">
        <v>2.5184783337761602E-4</v>
      </c>
    </row>
    <row r="279" spans="1:24">
      <c r="A279" s="4" t="s">
        <v>256</v>
      </c>
      <c r="B279" s="4">
        <v>7205</v>
      </c>
      <c r="C279" s="4" t="s">
        <v>1730</v>
      </c>
      <c r="D279" s="4" t="s">
        <v>1731</v>
      </c>
      <c r="E279" s="4" t="s">
        <v>1552</v>
      </c>
      <c r="F279" s="4" t="s">
        <v>1732</v>
      </c>
      <c r="G279" s="4" t="s">
        <v>1733</v>
      </c>
      <c r="H279" s="4" t="s">
        <v>511</v>
      </c>
      <c r="I279" s="4" t="s">
        <v>1121</v>
      </c>
      <c r="J279" s="4" t="s">
        <v>31</v>
      </c>
      <c r="K279" s="4" t="s">
        <v>31</v>
      </c>
      <c r="L279" s="2" t="s">
        <v>517</v>
      </c>
      <c r="M279" s="2" t="s">
        <v>32</v>
      </c>
      <c r="N279" s="4" t="s">
        <v>644</v>
      </c>
      <c r="O279" s="4" t="s">
        <v>312</v>
      </c>
      <c r="P279" s="4" t="s">
        <v>35</v>
      </c>
      <c r="Q279" s="150">
        <v>50649</v>
      </c>
      <c r="R279" s="150">
        <v>1</v>
      </c>
      <c r="S279" s="150">
        <v>947.8</v>
      </c>
      <c r="U279" s="150">
        <v>480.05099999999999</v>
      </c>
      <c r="V279" s="166">
        <v>3.3370000000000001E-3</v>
      </c>
      <c r="W279" s="166">
        <v>1.7696179200506401E-3</v>
      </c>
      <c r="X279" s="166">
        <v>2.6100048516565602E-4</v>
      </c>
    </row>
    <row r="280" spans="1:24">
      <c r="A280" s="4" t="s">
        <v>256</v>
      </c>
      <c r="B280" s="4">
        <v>7205</v>
      </c>
      <c r="C280" s="4" t="s">
        <v>1734</v>
      </c>
      <c r="D280" s="4" t="s">
        <v>1735</v>
      </c>
      <c r="E280" s="4" t="s">
        <v>1552</v>
      </c>
      <c r="F280" s="4" t="s">
        <v>1736</v>
      </c>
      <c r="G280" s="4" t="s">
        <v>1737</v>
      </c>
      <c r="H280" s="4" t="s">
        <v>511</v>
      </c>
      <c r="I280" s="4" t="s">
        <v>1121</v>
      </c>
      <c r="J280" s="4" t="s">
        <v>31</v>
      </c>
      <c r="K280" s="4" t="s">
        <v>31</v>
      </c>
      <c r="L280" s="2" t="s">
        <v>517</v>
      </c>
      <c r="M280" s="2" t="s">
        <v>32</v>
      </c>
      <c r="N280" s="4" t="s">
        <v>659</v>
      </c>
      <c r="O280" s="4" t="s">
        <v>312</v>
      </c>
      <c r="P280" s="4" t="s">
        <v>35</v>
      </c>
      <c r="Q280" s="150">
        <v>112910</v>
      </c>
      <c r="R280" s="150">
        <v>1</v>
      </c>
      <c r="S280" s="150">
        <v>72.900000000000006</v>
      </c>
      <c r="U280" s="150">
        <v>82.311000000000007</v>
      </c>
      <c r="V280" s="166">
        <v>1.044E-3</v>
      </c>
      <c r="W280" s="166">
        <v>3.0342535148942298E-4</v>
      </c>
      <c r="X280" s="166">
        <v>4.4752125898472401E-5</v>
      </c>
    </row>
    <row r="281" spans="1:24">
      <c r="A281" s="4" t="s">
        <v>256</v>
      </c>
      <c r="B281" s="4">
        <v>7205</v>
      </c>
      <c r="C281" s="4" t="s">
        <v>1738</v>
      </c>
      <c r="D281" s="4" t="s">
        <v>1739</v>
      </c>
      <c r="E281" s="4" t="s">
        <v>1552</v>
      </c>
      <c r="F281" s="4" t="s">
        <v>1740</v>
      </c>
      <c r="G281" s="4" t="s">
        <v>1741</v>
      </c>
      <c r="H281" s="4" t="s">
        <v>511</v>
      </c>
      <c r="I281" s="4" t="s">
        <v>1121</v>
      </c>
      <c r="J281" s="4" t="s">
        <v>31</v>
      </c>
      <c r="K281" s="4" t="s">
        <v>31</v>
      </c>
      <c r="L281" s="2" t="s">
        <v>517</v>
      </c>
      <c r="M281" s="2" t="s">
        <v>32</v>
      </c>
      <c r="N281" s="4" t="s">
        <v>629</v>
      </c>
      <c r="O281" s="4" t="s">
        <v>312</v>
      </c>
      <c r="P281" s="4" t="s">
        <v>35</v>
      </c>
      <c r="Q281" s="150">
        <v>39698</v>
      </c>
      <c r="R281" s="150">
        <v>1</v>
      </c>
      <c r="S281" s="150">
        <v>995.7</v>
      </c>
      <c r="U281" s="150">
        <v>395.27300000000002</v>
      </c>
      <c r="V281" s="166">
        <v>2.23E-4</v>
      </c>
      <c r="W281" s="166">
        <v>1.4570990079419599E-3</v>
      </c>
      <c r="X281" s="166">
        <v>2.1490715238482901E-4</v>
      </c>
    </row>
    <row r="282" spans="1:24">
      <c r="A282" s="4" t="s">
        <v>256</v>
      </c>
      <c r="B282" s="4">
        <v>7205</v>
      </c>
      <c r="C282" s="4" t="s">
        <v>1742</v>
      </c>
      <c r="D282" s="4" t="s">
        <v>1743</v>
      </c>
      <c r="E282" s="4" t="s">
        <v>1552</v>
      </c>
      <c r="F282" s="4" t="s">
        <v>1744</v>
      </c>
      <c r="G282" s="4" t="s">
        <v>1745</v>
      </c>
      <c r="H282" s="4" t="s">
        <v>511</v>
      </c>
      <c r="I282" s="4" t="s">
        <v>1121</v>
      </c>
      <c r="J282" s="4" t="s">
        <v>31</v>
      </c>
      <c r="K282" s="4" t="s">
        <v>31</v>
      </c>
      <c r="L282" s="2" t="s">
        <v>517</v>
      </c>
      <c r="M282" s="2" t="s">
        <v>32</v>
      </c>
      <c r="N282" s="4" t="s">
        <v>636</v>
      </c>
      <c r="O282" s="4" t="s">
        <v>312</v>
      </c>
      <c r="P282" s="4" t="s">
        <v>35</v>
      </c>
      <c r="Q282" s="150">
        <v>437758</v>
      </c>
      <c r="R282" s="150">
        <v>1</v>
      </c>
      <c r="S282" s="150">
        <v>1909</v>
      </c>
      <c r="U282" s="150">
        <v>8356.7999999999993</v>
      </c>
      <c r="V282" s="166">
        <v>3.5399999999999999E-4</v>
      </c>
      <c r="W282" s="166">
        <v>3.08057614393389E-2</v>
      </c>
      <c r="X282" s="166">
        <v>4.5435337145177798E-3</v>
      </c>
    </row>
    <row r="283" spans="1:24">
      <c r="A283" s="4" t="s">
        <v>256</v>
      </c>
      <c r="B283" s="4">
        <v>7205</v>
      </c>
      <c r="C283" s="4" t="s">
        <v>1746</v>
      </c>
      <c r="D283" s="4" t="s">
        <v>1747</v>
      </c>
      <c r="E283" s="4" t="s">
        <v>1552</v>
      </c>
      <c r="F283" s="4" t="s">
        <v>1748</v>
      </c>
      <c r="G283" s="4" t="s">
        <v>1749</v>
      </c>
      <c r="H283" s="4" t="s">
        <v>511</v>
      </c>
      <c r="I283" s="4" t="s">
        <v>1121</v>
      </c>
      <c r="J283" s="4" t="s">
        <v>31</v>
      </c>
      <c r="K283" s="4" t="s">
        <v>31</v>
      </c>
      <c r="L283" s="2" t="s">
        <v>517</v>
      </c>
      <c r="M283" s="2" t="s">
        <v>32</v>
      </c>
      <c r="N283" s="4" t="s">
        <v>650</v>
      </c>
      <c r="O283" s="4" t="s">
        <v>312</v>
      </c>
      <c r="P283" s="4" t="s">
        <v>35</v>
      </c>
      <c r="Q283" s="150">
        <v>37804</v>
      </c>
      <c r="R283" s="150">
        <v>1</v>
      </c>
      <c r="S283" s="150">
        <v>3081</v>
      </c>
      <c r="U283" s="150">
        <v>1164.741</v>
      </c>
      <c r="V283" s="166">
        <v>1.3810000000000001E-3</v>
      </c>
      <c r="W283" s="166">
        <v>4.2935980080184098E-3</v>
      </c>
      <c r="X283" s="166">
        <v>6.3326164959215099E-4</v>
      </c>
    </row>
    <row r="284" spans="1:24">
      <c r="A284" s="4" t="s">
        <v>256</v>
      </c>
      <c r="B284" s="4">
        <v>7205</v>
      </c>
      <c r="C284" s="4" t="s">
        <v>1750</v>
      </c>
      <c r="D284" s="4" t="s">
        <v>1751</v>
      </c>
      <c r="E284" s="4" t="s">
        <v>1552</v>
      </c>
      <c r="F284" s="4" t="s">
        <v>1752</v>
      </c>
      <c r="G284" s="4" t="s">
        <v>1753</v>
      </c>
      <c r="H284" s="4" t="s">
        <v>511</v>
      </c>
      <c r="I284" s="4" t="s">
        <v>1121</v>
      </c>
      <c r="J284" s="4" t="s">
        <v>31</v>
      </c>
      <c r="K284" s="4" t="s">
        <v>31</v>
      </c>
      <c r="L284" s="2" t="s">
        <v>517</v>
      </c>
      <c r="M284" s="2" t="s">
        <v>32</v>
      </c>
      <c r="N284" s="4" t="s">
        <v>650</v>
      </c>
      <c r="O284" s="4" t="s">
        <v>312</v>
      </c>
      <c r="P284" s="4" t="s">
        <v>35</v>
      </c>
      <c r="Q284" s="150">
        <v>25246</v>
      </c>
      <c r="R284" s="150">
        <v>1</v>
      </c>
      <c r="S284" s="150">
        <v>1897</v>
      </c>
      <c r="U284" s="150">
        <v>478.91699999999997</v>
      </c>
      <c r="V284" s="166">
        <v>2.5999999999999998E-4</v>
      </c>
      <c r="W284" s="166">
        <v>1.7654354246432499E-3</v>
      </c>
      <c r="X284" s="166">
        <v>2.60383610009634E-4</v>
      </c>
    </row>
    <row r="285" spans="1:24">
      <c r="A285" s="4" t="s">
        <v>256</v>
      </c>
      <c r="B285" s="4">
        <v>7205</v>
      </c>
      <c r="C285" s="4" t="s">
        <v>1754</v>
      </c>
      <c r="D285" s="4" t="s">
        <v>1755</v>
      </c>
      <c r="E285" s="4" t="s">
        <v>1552</v>
      </c>
      <c r="F285" s="4" t="s">
        <v>1756</v>
      </c>
      <c r="G285" s="4" t="s">
        <v>1757</v>
      </c>
      <c r="H285" s="4" t="s">
        <v>511</v>
      </c>
      <c r="I285" s="4" t="s">
        <v>1121</v>
      </c>
      <c r="J285" s="4" t="s">
        <v>31</v>
      </c>
      <c r="K285" s="4" t="s">
        <v>31</v>
      </c>
      <c r="L285" s="2" t="s">
        <v>517</v>
      </c>
      <c r="M285" s="2" t="s">
        <v>32</v>
      </c>
      <c r="N285" s="4" t="s">
        <v>635</v>
      </c>
      <c r="O285" s="4" t="s">
        <v>312</v>
      </c>
      <c r="P285" s="4" t="s">
        <v>35</v>
      </c>
      <c r="Q285" s="150">
        <v>6963</v>
      </c>
      <c r="R285" s="150">
        <v>1</v>
      </c>
      <c r="S285" s="150">
        <v>27830</v>
      </c>
      <c r="U285" s="150">
        <v>1937.8030000000001</v>
      </c>
      <c r="V285" s="166">
        <v>3.7199999999999999E-4</v>
      </c>
      <c r="W285" s="166">
        <v>7.1433434188114498E-3</v>
      </c>
      <c r="X285" s="166">
        <v>1.05356985645881E-3</v>
      </c>
    </row>
    <row r="286" spans="1:24">
      <c r="A286" s="4" t="s">
        <v>256</v>
      </c>
      <c r="B286" s="4">
        <v>7205</v>
      </c>
      <c r="C286" s="4" t="s">
        <v>1758</v>
      </c>
      <c r="D286" s="4" t="s">
        <v>1759</v>
      </c>
      <c r="E286" s="4" t="s">
        <v>1552</v>
      </c>
      <c r="F286" s="4" t="s">
        <v>1760</v>
      </c>
      <c r="G286" s="4" t="s">
        <v>1761</v>
      </c>
      <c r="H286" s="4" t="s">
        <v>511</v>
      </c>
      <c r="I286" s="4" t="s">
        <v>1121</v>
      </c>
      <c r="J286" s="4" t="s">
        <v>31</v>
      </c>
      <c r="K286" s="4" t="s">
        <v>31</v>
      </c>
      <c r="L286" s="2" t="s">
        <v>517</v>
      </c>
      <c r="M286" s="2" t="s">
        <v>32</v>
      </c>
      <c r="N286" s="4" t="s">
        <v>666</v>
      </c>
      <c r="O286" s="4" t="s">
        <v>312</v>
      </c>
      <c r="P286" s="4" t="s">
        <v>35</v>
      </c>
      <c r="Q286" s="150">
        <v>3022</v>
      </c>
      <c r="R286" s="150">
        <v>1</v>
      </c>
      <c r="S286" s="150">
        <v>30090</v>
      </c>
      <c r="U286" s="150">
        <v>909.32</v>
      </c>
      <c r="V286" s="166">
        <v>5.1999999999999995E-4</v>
      </c>
      <c r="W286" s="166">
        <v>3.3520352399745799E-3</v>
      </c>
      <c r="X286" s="166">
        <v>4.9439080267717195E-4</v>
      </c>
    </row>
    <row r="287" spans="1:24">
      <c r="A287" s="4" t="s">
        <v>256</v>
      </c>
      <c r="B287" s="4">
        <v>7205</v>
      </c>
      <c r="C287" s="4" t="s">
        <v>2027</v>
      </c>
      <c r="D287" s="4" t="s">
        <v>2028</v>
      </c>
      <c r="E287" s="4" t="s">
        <v>1552</v>
      </c>
      <c r="F287" s="4" t="s">
        <v>2029</v>
      </c>
      <c r="G287" s="4" t="s">
        <v>2030</v>
      </c>
      <c r="H287" s="4" t="s">
        <v>511</v>
      </c>
      <c r="I287" s="4" t="s">
        <v>1121</v>
      </c>
      <c r="J287" s="4" t="s">
        <v>31</v>
      </c>
      <c r="K287" s="4" t="s">
        <v>31</v>
      </c>
      <c r="L287" s="2" t="s">
        <v>517</v>
      </c>
      <c r="M287" s="2" t="s">
        <v>32</v>
      </c>
      <c r="N287" s="4" t="s">
        <v>662</v>
      </c>
      <c r="O287" s="4" t="s">
        <v>312</v>
      </c>
      <c r="P287" s="4" t="s">
        <v>35</v>
      </c>
      <c r="Q287" s="150">
        <v>23497.599999999999</v>
      </c>
      <c r="R287" s="150">
        <v>1</v>
      </c>
      <c r="S287" s="150">
        <v>120.4</v>
      </c>
      <c r="U287" s="150">
        <v>28.291</v>
      </c>
      <c r="V287" s="166">
        <v>1.274E-3</v>
      </c>
      <c r="W287" s="166">
        <v>1.04289820851599E-4</v>
      </c>
      <c r="X287" s="166">
        <v>1.5381678458210701E-5</v>
      </c>
    </row>
    <row r="288" spans="1:24">
      <c r="A288" s="4" t="s">
        <v>256</v>
      </c>
      <c r="B288" s="4">
        <v>7205</v>
      </c>
      <c r="C288" s="4" t="s">
        <v>1762</v>
      </c>
      <c r="D288" s="4" t="s">
        <v>1763</v>
      </c>
      <c r="E288" s="4" t="s">
        <v>1552</v>
      </c>
      <c r="F288" s="4" t="s">
        <v>1764</v>
      </c>
      <c r="G288" s="4" t="s">
        <v>1765</v>
      </c>
      <c r="H288" s="4" t="s">
        <v>511</v>
      </c>
      <c r="I288" s="4" t="s">
        <v>1121</v>
      </c>
      <c r="J288" s="4" t="s">
        <v>31</v>
      </c>
      <c r="K288" s="4" t="s">
        <v>31</v>
      </c>
      <c r="L288" s="2" t="s">
        <v>517</v>
      </c>
      <c r="M288" s="2" t="s">
        <v>32</v>
      </c>
      <c r="N288" s="4" t="s">
        <v>633</v>
      </c>
      <c r="O288" s="4" t="s">
        <v>312</v>
      </c>
      <c r="P288" s="4" t="s">
        <v>35</v>
      </c>
      <c r="Q288" s="150">
        <v>85660.63</v>
      </c>
      <c r="R288" s="150">
        <v>1</v>
      </c>
      <c r="S288" s="150">
        <v>3419</v>
      </c>
      <c r="U288" s="150">
        <v>2928.7370000000001</v>
      </c>
      <c r="V288" s="166">
        <v>3.3E-4</v>
      </c>
      <c r="W288" s="166">
        <v>1.07962340977176E-2</v>
      </c>
      <c r="X288" s="166">
        <v>1.59233374930202E-3</v>
      </c>
    </row>
    <row r="289" spans="1:24">
      <c r="A289" s="4" t="s">
        <v>256</v>
      </c>
      <c r="B289" s="4">
        <v>7205</v>
      </c>
      <c r="C289" s="4" t="s">
        <v>1766</v>
      </c>
      <c r="D289" s="4" t="s">
        <v>1767</v>
      </c>
      <c r="E289" s="4" t="s">
        <v>1552</v>
      </c>
      <c r="F289" s="4" t="s">
        <v>1768</v>
      </c>
      <c r="G289" s="4" t="s">
        <v>1769</v>
      </c>
      <c r="H289" s="4" t="s">
        <v>511</v>
      </c>
      <c r="I289" s="4" t="s">
        <v>1121</v>
      </c>
      <c r="J289" s="4" t="s">
        <v>31</v>
      </c>
      <c r="K289" s="4" t="s">
        <v>31</v>
      </c>
      <c r="L289" s="2" t="s">
        <v>517</v>
      </c>
      <c r="M289" s="2" t="s">
        <v>32</v>
      </c>
      <c r="N289" s="4" t="s">
        <v>633</v>
      </c>
      <c r="O289" s="4" t="s">
        <v>312</v>
      </c>
      <c r="P289" s="4" t="s">
        <v>35</v>
      </c>
      <c r="Q289" s="150">
        <v>118496</v>
      </c>
      <c r="R289" s="150">
        <v>1</v>
      </c>
      <c r="S289" s="150">
        <v>2997</v>
      </c>
      <c r="U289" s="150">
        <v>3551.3249999999998</v>
      </c>
      <c r="V289" s="166">
        <v>5.6800000000000004E-4</v>
      </c>
      <c r="W289" s="166">
        <v>1.3091287521559501E-2</v>
      </c>
      <c r="X289" s="166">
        <v>1.93083057978547E-3</v>
      </c>
    </row>
    <row r="290" spans="1:24">
      <c r="A290" s="4" t="s">
        <v>256</v>
      </c>
      <c r="B290" s="4">
        <v>7205</v>
      </c>
      <c r="C290" s="4" t="s">
        <v>1770</v>
      </c>
      <c r="D290" s="4" t="s">
        <v>1771</v>
      </c>
      <c r="E290" s="4" t="s">
        <v>1552</v>
      </c>
      <c r="F290" s="4" t="s">
        <v>1772</v>
      </c>
      <c r="G290" s="4" t="s">
        <v>1773</v>
      </c>
      <c r="H290" s="4" t="s">
        <v>511</v>
      </c>
      <c r="I290" s="4" t="s">
        <v>1121</v>
      </c>
      <c r="J290" s="4" t="s">
        <v>31</v>
      </c>
      <c r="K290" s="4" t="s">
        <v>31</v>
      </c>
      <c r="L290" s="2" t="s">
        <v>517</v>
      </c>
      <c r="M290" s="2" t="s">
        <v>32</v>
      </c>
      <c r="N290" s="4" t="s">
        <v>665</v>
      </c>
      <c r="O290" s="4" t="s">
        <v>312</v>
      </c>
      <c r="P290" s="4" t="s">
        <v>35</v>
      </c>
      <c r="Q290" s="150">
        <v>41483</v>
      </c>
      <c r="R290" s="150">
        <v>1</v>
      </c>
      <c r="S290" s="150">
        <v>4545</v>
      </c>
      <c r="U290" s="150">
        <v>1885.402</v>
      </c>
      <c r="V290" s="166">
        <v>5.8E-4</v>
      </c>
      <c r="W290" s="166">
        <v>6.9501787146072202E-3</v>
      </c>
      <c r="X290" s="166">
        <v>1.02508004465088E-3</v>
      </c>
    </row>
    <row r="291" spans="1:24">
      <c r="A291" s="4" t="s">
        <v>256</v>
      </c>
      <c r="B291" s="4">
        <v>7205</v>
      </c>
      <c r="C291" s="4" t="s">
        <v>2031</v>
      </c>
      <c r="D291" s="4" t="s">
        <v>2032</v>
      </c>
      <c r="E291" s="4" t="s">
        <v>1552</v>
      </c>
      <c r="F291" s="4" t="s">
        <v>2033</v>
      </c>
      <c r="G291" s="4" t="s">
        <v>2034</v>
      </c>
      <c r="H291" s="4" t="s">
        <v>511</v>
      </c>
      <c r="I291" s="4" t="s">
        <v>1121</v>
      </c>
      <c r="J291" s="4" t="s">
        <v>31</v>
      </c>
      <c r="K291" s="4" t="s">
        <v>31</v>
      </c>
      <c r="L291" s="2" t="s">
        <v>517</v>
      </c>
      <c r="M291" s="2" t="s">
        <v>32</v>
      </c>
      <c r="N291" s="4" t="s">
        <v>652</v>
      </c>
      <c r="O291" s="4" t="s">
        <v>312</v>
      </c>
      <c r="P291" s="4" t="s">
        <v>35</v>
      </c>
      <c r="Q291" s="150">
        <v>6901</v>
      </c>
      <c r="R291" s="150">
        <v>1</v>
      </c>
      <c r="S291" s="150">
        <v>13690</v>
      </c>
      <c r="U291" s="150">
        <v>944.74699999999996</v>
      </c>
      <c r="V291" s="166">
        <v>3.8900000000000002E-4</v>
      </c>
      <c r="W291" s="166">
        <v>3.48263053510629E-3</v>
      </c>
      <c r="X291" s="166">
        <v>5.13652268671341E-4</v>
      </c>
    </row>
    <row r="292" spans="1:24">
      <c r="A292" s="4" t="s">
        <v>256</v>
      </c>
      <c r="B292" s="4">
        <v>7205</v>
      </c>
      <c r="C292" s="4" t="s">
        <v>1774</v>
      </c>
      <c r="D292" s="4" t="s">
        <v>1775</v>
      </c>
      <c r="E292" s="4" t="s">
        <v>1552</v>
      </c>
      <c r="F292" s="4" t="s">
        <v>1776</v>
      </c>
      <c r="G292" s="4" t="s">
        <v>1777</v>
      </c>
      <c r="H292" s="4" t="s">
        <v>511</v>
      </c>
      <c r="I292" s="4" t="s">
        <v>1121</v>
      </c>
      <c r="J292" s="4" t="s">
        <v>31</v>
      </c>
      <c r="K292" s="4" t="s">
        <v>31</v>
      </c>
      <c r="L292" s="2" t="s">
        <v>517</v>
      </c>
      <c r="M292" s="2" t="s">
        <v>32</v>
      </c>
      <c r="N292" s="4" t="s">
        <v>664</v>
      </c>
      <c r="O292" s="4" t="s">
        <v>312</v>
      </c>
      <c r="P292" s="4" t="s">
        <v>35</v>
      </c>
      <c r="Q292" s="150">
        <v>9877</v>
      </c>
      <c r="R292" s="150">
        <v>1</v>
      </c>
      <c r="S292" s="150">
        <v>3744</v>
      </c>
      <c r="U292" s="150">
        <v>369.79500000000002</v>
      </c>
      <c r="V292" s="166">
        <v>6.8099999999999996E-4</v>
      </c>
      <c r="W292" s="166">
        <v>1.36317879509736E-3</v>
      </c>
      <c r="X292" s="166">
        <v>2.01054884705148E-4</v>
      </c>
    </row>
    <row r="293" spans="1:24">
      <c r="A293" s="4" t="s">
        <v>256</v>
      </c>
      <c r="B293" s="4">
        <v>7205</v>
      </c>
      <c r="C293" s="4" t="s">
        <v>1778</v>
      </c>
      <c r="D293" s="4" t="s">
        <v>1779</v>
      </c>
      <c r="E293" s="4" t="s">
        <v>1552</v>
      </c>
      <c r="F293" s="4" t="s">
        <v>1780</v>
      </c>
      <c r="G293" s="4" t="s">
        <v>1781</v>
      </c>
      <c r="H293" s="4" t="s">
        <v>511</v>
      </c>
      <c r="I293" s="4" t="s">
        <v>1121</v>
      </c>
      <c r="J293" s="4" t="s">
        <v>31</v>
      </c>
      <c r="K293" s="4" t="s">
        <v>31</v>
      </c>
      <c r="L293" s="2" t="s">
        <v>517</v>
      </c>
      <c r="M293" s="2" t="s">
        <v>32</v>
      </c>
      <c r="N293" s="4" t="s">
        <v>639</v>
      </c>
      <c r="O293" s="4" t="s">
        <v>312</v>
      </c>
      <c r="P293" s="4" t="s">
        <v>35</v>
      </c>
      <c r="Q293" s="150">
        <v>8150</v>
      </c>
      <c r="R293" s="150">
        <v>1</v>
      </c>
      <c r="S293" s="150">
        <v>83740</v>
      </c>
      <c r="U293" s="150">
        <v>6824.81</v>
      </c>
      <c r="V293" s="166">
        <v>1.065E-3</v>
      </c>
      <c r="W293" s="166">
        <v>2.51583696144425E-2</v>
      </c>
      <c r="X293" s="166">
        <v>3.7106013682086198E-3</v>
      </c>
    </row>
    <row r="294" spans="1:24">
      <c r="A294" s="4" t="s">
        <v>256</v>
      </c>
      <c r="B294" s="4">
        <v>7205</v>
      </c>
      <c r="C294" s="4" t="s">
        <v>1782</v>
      </c>
      <c r="D294" s="4" t="s">
        <v>1783</v>
      </c>
      <c r="E294" s="4" t="s">
        <v>1552</v>
      </c>
      <c r="F294" s="4" t="s">
        <v>1784</v>
      </c>
      <c r="G294" s="4" t="s">
        <v>1785</v>
      </c>
      <c r="H294" s="4" t="s">
        <v>511</v>
      </c>
      <c r="I294" s="4" t="s">
        <v>1121</v>
      </c>
      <c r="J294" s="4" t="s">
        <v>31</v>
      </c>
      <c r="K294" s="4" t="s">
        <v>489</v>
      </c>
      <c r="L294" s="2" t="s">
        <v>517</v>
      </c>
      <c r="M294" s="2" t="s">
        <v>32</v>
      </c>
      <c r="N294" s="4" t="s">
        <v>646</v>
      </c>
      <c r="O294" s="4" t="s">
        <v>312</v>
      </c>
      <c r="P294" s="4" t="s">
        <v>35</v>
      </c>
      <c r="Q294" s="150">
        <v>28799</v>
      </c>
      <c r="R294" s="150">
        <v>1</v>
      </c>
      <c r="S294" s="150">
        <v>14820</v>
      </c>
      <c r="U294" s="150">
        <v>4268.0119999999997</v>
      </c>
      <c r="V294" s="166">
        <v>2.6200000000000003E-4</v>
      </c>
      <c r="W294" s="166">
        <v>1.5733217244612199E-2</v>
      </c>
      <c r="X294" s="166">
        <v>2.3204881051062999E-3</v>
      </c>
    </row>
    <row r="295" spans="1:24">
      <c r="A295" s="4" t="s">
        <v>256</v>
      </c>
      <c r="B295" s="4">
        <v>7205</v>
      </c>
      <c r="C295" s="4" t="s">
        <v>1786</v>
      </c>
      <c r="D295" s="4" t="s">
        <v>1787</v>
      </c>
      <c r="E295" s="4" t="s">
        <v>1552</v>
      </c>
      <c r="F295" s="4" t="s">
        <v>1788</v>
      </c>
      <c r="G295" s="4" t="s">
        <v>1789</v>
      </c>
      <c r="H295" s="4" t="s">
        <v>511</v>
      </c>
      <c r="I295" s="4" t="s">
        <v>1121</v>
      </c>
      <c r="J295" s="4" t="s">
        <v>31</v>
      </c>
      <c r="K295" s="4" t="s">
        <v>155</v>
      </c>
      <c r="L295" s="2" t="s">
        <v>517</v>
      </c>
      <c r="M295" s="2" t="s">
        <v>32</v>
      </c>
      <c r="N295" s="4" t="s">
        <v>655</v>
      </c>
      <c r="O295" s="4" t="s">
        <v>312</v>
      </c>
      <c r="P295" s="4" t="s">
        <v>35</v>
      </c>
      <c r="Q295" s="150">
        <v>76866</v>
      </c>
      <c r="R295" s="150">
        <v>1</v>
      </c>
      <c r="S295" s="150">
        <v>6120</v>
      </c>
      <c r="U295" s="150">
        <v>4704.1989999999996</v>
      </c>
      <c r="V295" s="166">
        <v>6.8999999999999997E-5</v>
      </c>
      <c r="W295" s="166">
        <v>1.7341139491585101E-2</v>
      </c>
      <c r="X295" s="166">
        <v>2.5576401376515802E-3</v>
      </c>
    </row>
    <row r="296" spans="1:24">
      <c r="A296" s="4" t="s">
        <v>256</v>
      </c>
      <c r="B296" s="4">
        <v>7205</v>
      </c>
      <c r="C296" s="4" t="s">
        <v>1790</v>
      </c>
      <c r="D296" s="4" t="s">
        <v>1791</v>
      </c>
      <c r="E296" s="4" t="s">
        <v>1552</v>
      </c>
      <c r="F296" s="4" t="s">
        <v>1792</v>
      </c>
      <c r="G296" s="4" t="s">
        <v>1793</v>
      </c>
      <c r="H296" s="4" t="s">
        <v>511</v>
      </c>
      <c r="I296" s="4" t="s">
        <v>1121</v>
      </c>
      <c r="J296" s="4" t="s">
        <v>31</v>
      </c>
      <c r="K296" s="4" t="s">
        <v>31</v>
      </c>
      <c r="L296" s="2" t="s">
        <v>517</v>
      </c>
      <c r="M296" s="2" t="s">
        <v>32</v>
      </c>
      <c r="N296" s="4" t="s">
        <v>667</v>
      </c>
      <c r="O296" s="4" t="s">
        <v>312</v>
      </c>
      <c r="P296" s="4" t="s">
        <v>35</v>
      </c>
      <c r="Q296" s="150">
        <v>255293</v>
      </c>
      <c r="R296" s="150">
        <v>1</v>
      </c>
      <c r="S296" s="150">
        <v>1257</v>
      </c>
      <c r="U296" s="150">
        <v>3209.0329999999999</v>
      </c>
      <c r="V296" s="166">
        <v>1.2750000000000001E-3</v>
      </c>
      <c r="W296" s="166">
        <v>1.18294924797213E-2</v>
      </c>
      <c r="X296" s="166">
        <v>1.7447287583877999E-3</v>
      </c>
    </row>
    <row r="297" spans="1:24">
      <c r="A297" s="4" t="s">
        <v>256</v>
      </c>
      <c r="B297" s="4">
        <v>7205</v>
      </c>
      <c r="C297" s="4" t="s">
        <v>1794</v>
      </c>
      <c r="D297" s="4" t="s">
        <v>1795</v>
      </c>
      <c r="E297" s="4" t="s">
        <v>1552</v>
      </c>
      <c r="F297" s="4" t="s">
        <v>1796</v>
      </c>
      <c r="G297" s="4" t="s">
        <v>1797</v>
      </c>
      <c r="H297" s="4" t="s">
        <v>511</v>
      </c>
      <c r="I297" s="4" t="s">
        <v>1121</v>
      </c>
      <c r="J297" s="4" t="s">
        <v>31</v>
      </c>
      <c r="K297" s="4" t="s">
        <v>31</v>
      </c>
      <c r="L297" s="2" t="s">
        <v>517</v>
      </c>
      <c r="M297" s="2" t="s">
        <v>32</v>
      </c>
      <c r="N297" s="4" t="s">
        <v>642</v>
      </c>
      <c r="O297" s="4" t="s">
        <v>312</v>
      </c>
      <c r="P297" s="4" t="s">
        <v>35</v>
      </c>
      <c r="Q297" s="150">
        <v>1400007.97</v>
      </c>
      <c r="R297" s="150">
        <v>1</v>
      </c>
      <c r="S297" s="150">
        <v>147.19999999999999</v>
      </c>
      <c r="U297" s="150">
        <v>2060.8119999999999</v>
      </c>
      <c r="V297" s="166">
        <v>5.4000000000000001E-4</v>
      </c>
      <c r="W297" s="166">
        <v>7.5967921825530801E-3</v>
      </c>
      <c r="X297" s="166">
        <v>1.1204488962749E-3</v>
      </c>
    </row>
    <row r="298" spans="1:24">
      <c r="A298" s="4" t="s">
        <v>256</v>
      </c>
      <c r="B298" s="4">
        <v>7205</v>
      </c>
      <c r="C298" s="4" t="s">
        <v>2035</v>
      </c>
      <c r="D298" s="4" t="s">
        <v>2036</v>
      </c>
      <c r="E298" s="4" t="s">
        <v>1552</v>
      </c>
      <c r="F298" s="4" t="s">
        <v>2037</v>
      </c>
      <c r="G298" s="4" t="s">
        <v>2038</v>
      </c>
      <c r="H298" s="4" t="s">
        <v>511</v>
      </c>
      <c r="I298" s="4" t="s">
        <v>1121</v>
      </c>
      <c r="J298" s="4" t="s">
        <v>31</v>
      </c>
      <c r="K298" s="4" t="s">
        <v>31</v>
      </c>
      <c r="L298" s="2" t="s">
        <v>517</v>
      </c>
      <c r="M298" s="2" t="s">
        <v>32</v>
      </c>
      <c r="N298" s="4" t="s">
        <v>649</v>
      </c>
      <c r="O298" s="4" t="s">
        <v>312</v>
      </c>
      <c r="P298" s="4" t="s">
        <v>35</v>
      </c>
      <c r="Q298" s="150">
        <v>2819</v>
      </c>
      <c r="R298" s="150">
        <v>1</v>
      </c>
      <c r="S298" s="150">
        <v>8151</v>
      </c>
      <c r="U298" s="150">
        <v>229.77699999999999</v>
      </c>
      <c r="V298" s="166">
        <v>4.8000000000000001E-5</v>
      </c>
      <c r="W298" s="166">
        <v>8.4702825365148295E-4</v>
      </c>
      <c r="X298" s="166">
        <v>1.24927976060352E-4</v>
      </c>
    </row>
    <row r="299" spans="1:24">
      <c r="A299" s="4" t="s">
        <v>256</v>
      </c>
      <c r="B299" s="4">
        <v>7205</v>
      </c>
      <c r="C299" s="4" t="s">
        <v>2039</v>
      </c>
      <c r="D299" s="4" t="s">
        <v>2040</v>
      </c>
      <c r="E299" s="4" t="s">
        <v>1552</v>
      </c>
      <c r="F299" s="4" t="s">
        <v>2041</v>
      </c>
      <c r="G299" s="4" t="s">
        <v>2042</v>
      </c>
      <c r="H299" s="4" t="s">
        <v>511</v>
      </c>
      <c r="I299" s="4" t="s">
        <v>1121</v>
      </c>
      <c r="J299" s="4" t="s">
        <v>31</v>
      </c>
      <c r="K299" s="4" t="s">
        <v>31</v>
      </c>
      <c r="L299" s="2" t="s">
        <v>517</v>
      </c>
      <c r="M299" s="2" t="s">
        <v>32</v>
      </c>
      <c r="N299" s="4" t="s">
        <v>652</v>
      </c>
      <c r="O299" s="4" t="s">
        <v>312</v>
      </c>
      <c r="P299" s="4" t="s">
        <v>35</v>
      </c>
      <c r="Q299" s="150">
        <v>1675</v>
      </c>
      <c r="R299" s="150">
        <v>1</v>
      </c>
      <c r="S299" s="150">
        <v>28570</v>
      </c>
      <c r="U299" s="150">
        <v>478.548</v>
      </c>
      <c r="V299" s="166">
        <v>0</v>
      </c>
      <c r="W299" s="166">
        <v>1.76407473366547E-3</v>
      </c>
      <c r="X299" s="166">
        <v>2.6018292205245497E-4</v>
      </c>
    </row>
    <row r="300" spans="1:24">
      <c r="A300" s="4" t="s">
        <v>256</v>
      </c>
      <c r="B300" s="4">
        <v>7205</v>
      </c>
      <c r="C300" s="4" t="s">
        <v>1798</v>
      </c>
      <c r="D300" s="4" t="s">
        <v>1799</v>
      </c>
      <c r="E300" s="4" t="s">
        <v>1552</v>
      </c>
      <c r="F300" s="4" t="s">
        <v>1800</v>
      </c>
      <c r="G300" s="4" t="s">
        <v>1801</v>
      </c>
      <c r="H300" s="4" t="s">
        <v>511</v>
      </c>
      <c r="I300" s="4" t="s">
        <v>1121</v>
      </c>
      <c r="J300" s="4" t="s">
        <v>31</v>
      </c>
      <c r="K300" s="4" t="s">
        <v>31</v>
      </c>
      <c r="L300" s="2" t="s">
        <v>517</v>
      </c>
      <c r="M300" s="2" t="s">
        <v>32</v>
      </c>
      <c r="N300" s="4" t="s">
        <v>633</v>
      </c>
      <c r="O300" s="4" t="s">
        <v>312</v>
      </c>
      <c r="P300" s="4" t="s">
        <v>35</v>
      </c>
      <c r="Q300" s="150">
        <v>45670</v>
      </c>
      <c r="R300" s="150">
        <v>1</v>
      </c>
      <c r="S300" s="150">
        <v>5291</v>
      </c>
      <c r="U300" s="150">
        <v>2416.4</v>
      </c>
      <c r="V300" s="166">
        <v>5.7799999999999995E-4</v>
      </c>
      <c r="W300" s="166">
        <v>8.9075998875907201E-3</v>
      </c>
      <c r="X300" s="166">
        <v>1.3137795825757599E-3</v>
      </c>
    </row>
    <row r="301" spans="1:24">
      <c r="A301" s="4" t="s">
        <v>256</v>
      </c>
      <c r="B301" s="4">
        <v>7205</v>
      </c>
      <c r="C301" s="4" t="s">
        <v>2043</v>
      </c>
      <c r="D301" s="4" t="s">
        <v>2044</v>
      </c>
      <c r="E301" s="4" t="s">
        <v>1552</v>
      </c>
      <c r="F301" s="4" t="s">
        <v>2045</v>
      </c>
      <c r="G301" s="4" t="s">
        <v>2046</v>
      </c>
      <c r="H301" s="4" t="s">
        <v>511</v>
      </c>
      <c r="I301" s="4" t="s">
        <v>1121</v>
      </c>
      <c r="J301" s="4" t="s">
        <v>31</v>
      </c>
      <c r="K301" s="4" t="s">
        <v>31</v>
      </c>
      <c r="L301" s="2" t="s">
        <v>517</v>
      </c>
      <c r="M301" s="2" t="s">
        <v>32</v>
      </c>
      <c r="N301" s="4" t="s">
        <v>644</v>
      </c>
      <c r="O301" s="4" t="s">
        <v>312</v>
      </c>
      <c r="P301" s="4" t="s">
        <v>35</v>
      </c>
      <c r="Q301" s="150">
        <v>5128</v>
      </c>
      <c r="R301" s="150">
        <v>1</v>
      </c>
      <c r="S301" s="150">
        <v>1940</v>
      </c>
      <c r="U301" s="150">
        <v>99.483000000000004</v>
      </c>
      <c r="V301" s="166">
        <v>2.1499999999999999E-4</v>
      </c>
      <c r="W301" s="166">
        <v>3.6672597713746001E-4</v>
      </c>
      <c r="X301" s="166">
        <v>5.4088318654112301E-5</v>
      </c>
    </row>
    <row r="302" spans="1:24">
      <c r="A302" s="4" t="s">
        <v>256</v>
      </c>
      <c r="B302" s="4">
        <v>7205</v>
      </c>
      <c r="C302" s="4" t="s">
        <v>362</v>
      </c>
      <c r="D302" s="4" t="s">
        <v>1802</v>
      </c>
      <c r="E302" s="4" t="s">
        <v>1552</v>
      </c>
      <c r="F302" s="4" t="s">
        <v>1486</v>
      </c>
      <c r="G302" s="4" t="s">
        <v>1803</v>
      </c>
      <c r="H302" s="4" t="s">
        <v>511</v>
      </c>
      <c r="I302" s="4" t="s">
        <v>1121</v>
      </c>
      <c r="J302" s="4" t="s">
        <v>31</v>
      </c>
      <c r="K302" s="4" t="s">
        <v>31</v>
      </c>
      <c r="L302" s="2" t="s">
        <v>517</v>
      </c>
      <c r="M302" s="2" t="s">
        <v>32</v>
      </c>
      <c r="N302" s="4" t="s">
        <v>636</v>
      </c>
      <c r="O302" s="4" t="s">
        <v>312</v>
      </c>
      <c r="P302" s="4" t="s">
        <v>35</v>
      </c>
      <c r="Q302" s="150">
        <v>532032</v>
      </c>
      <c r="R302" s="150">
        <v>1</v>
      </c>
      <c r="S302" s="150">
        <v>3110</v>
      </c>
      <c r="U302" s="150">
        <v>16546.195</v>
      </c>
      <c r="V302" s="166">
        <v>3.2899999999999997E-4</v>
      </c>
      <c r="W302" s="166">
        <v>6.0994415163838203E-2</v>
      </c>
      <c r="X302" s="166">
        <v>8.9960503732363101E-3</v>
      </c>
    </row>
    <row r="303" spans="1:24">
      <c r="A303" s="4" t="s">
        <v>256</v>
      </c>
      <c r="B303" s="4">
        <v>7205</v>
      </c>
      <c r="C303" s="4" t="s">
        <v>1804</v>
      </c>
      <c r="D303" s="4" t="s">
        <v>1805</v>
      </c>
      <c r="E303" s="4" t="s">
        <v>1552</v>
      </c>
      <c r="F303" s="4" t="s">
        <v>1806</v>
      </c>
      <c r="G303" s="4" t="s">
        <v>1807</v>
      </c>
      <c r="H303" s="4" t="s">
        <v>511</v>
      </c>
      <c r="I303" s="4" t="s">
        <v>1121</v>
      </c>
      <c r="J303" s="4" t="s">
        <v>31</v>
      </c>
      <c r="K303" s="4" t="s">
        <v>31</v>
      </c>
      <c r="L303" s="2" t="s">
        <v>517</v>
      </c>
      <c r="M303" s="2" t="s">
        <v>32</v>
      </c>
      <c r="N303" s="4" t="s">
        <v>639</v>
      </c>
      <c r="O303" s="4" t="s">
        <v>312</v>
      </c>
      <c r="P303" s="4" t="s">
        <v>35</v>
      </c>
      <c r="Q303" s="150">
        <v>626764</v>
      </c>
      <c r="R303" s="150">
        <v>1</v>
      </c>
      <c r="S303" s="150">
        <v>316.8</v>
      </c>
      <c r="U303" s="150">
        <v>1985.588</v>
      </c>
      <c r="V303" s="166">
        <v>2.6440000000000001E-3</v>
      </c>
      <c r="W303" s="166">
        <v>7.3194954382243297E-3</v>
      </c>
      <c r="X303" s="166">
        <v>1.0795504718271E-3</v>
      </c>
    </row>
    <row r="304" spans="1:24">
      <c r="A304" s="4" t="s">
        <v>256</v>
      </c>
      <c r="B304" s="4">
        <v>7205</v>
      </c>
      <c r="C304" s="4" t="s">
        <v>1436</v>
      </c>
      <c r="D304" s="4" t="s">
        <v>2047</v>
      </c>
      <c r="E304" s="4" t="s">
        <v>1552</v>
      </c>
      <c r="F304" s="4" t="s">
        <v>2048</v>
      </c>
      <c r="G304" s="4" t="s">
        <v>2049</v>
      </c>
      <c r="H304" s="4" t="s">
        <v>511</v>
      </c>
      <c r="I304" s="4" t="s">
        <v>1121</v>
      </c>
      <c r="J304" s="4" t="s">
        <v>31</v>
      </c>
      <c r="K304" s="4" t="s">
        <v>31</v>
      </c>
      <c r="L304" s="2" t="s">
        <v>517</v>
      </c>
      <c r="M304" s="2" t="s">
        <v>32</v>
      </c>
      <c r="N304" s="4" t="s">
        <v>633</v>
      </c>
      <c r="O304" s="4" t="s">
        <v>312</v>
      </c>
      <c r="P304" s="4" t="s">
        <v>35</v>
      </c>
      <c r="Q304" s="150">
        <v>24277</v>
      </c>
      <c r="R304" s="150">
        <v>1</v>
      </c>
      <c r="S304" s="150">
        <v>454</v>
      </c>
      <c r="U304" s="150">
        <v>110.218</v>
      </c>
      <c r="V304" s="166">
        <v>5.3700000000000004E-4</v>
      </c>
      <c r="W304" s="166">
        <v>4.0629623618084398E-4</v>
      </c>
      <c r="X304" s="166">
        <v>5.9924525832754798E-5</v>
      </c>
    </row>
    <row r="305" spans="1:24">
      <c r="A305" s="4" t="s">
        <v>256</v>
      </c>
      <c r="B305" s="4">
        <v>7205</v>
      </c>
      <c r="C305" s="4" t="s">
        <v>1808</v>
      </c>
      <c r="D305" s="4" t="s">
        <v>1809</v>
      </c>
      <c r="E305" s="4" t="s">
        <v>1552</v>
      </c>
      <c r="F305" s="4" t="s">
        <v>1810</v>
      </c>
      <c r="G305" s="4" t="s">
        <v>1811</v>
      </c>
      <c r="H305" s="4" t="s">
        <v>511</v>
      </c>
      <c r="I305" s="4" t="s">
        <v>1121</v>
      </c>
      <c r="J305" s="4" t="s">
        <v>31</v>
      </c>
      <c r="K305" s="4" t="s">
        <v>31</v>
      </c>
      <c r="L305" s="2" t="s">
        <v>517</v>
      </c>
      <c r="M305" s="2" t="s">
        <v>32</v>
      </c>
      <c r="N305" s="4" t="s">
        <v>639</v>
      </c>
      <c r="O305" s="4" t="s">
        <v>312</v>
      </c>
      <c r="P305" s="4" t="s">
        <v>35</v>
      </c>
      <c r="Q305" s="150">
        <v>4840</v>
      </c>
      <c r="R305" s="150">
        <v>1</v>
      </c>
      <c r="S305" s="150">
        <v>5126</v>
      </c>
      <c r="U305" s="150">
        <v>248.09800000000001</v>
      </c>
      <c r="V305" s="166">
        <v>7.4999999999999993E-5</v>
      </c>
      <c r="W305" s="166">
        <v>9.1456776788684301E-4</v>
      </c>
      <c r="X305" s="166">
        <v>1.3488936138740401E-4</v>
      </c>
    </row>
    <row r="306" spans="1:24">
      <c r="A306" s="4" t="s">
        <v>256</v>
      </c>
      <c r="B306" s="4">
        <v>7205</v>
      </c>
      <c r="C306" s="4" t="s">
        <v>1812</v>
      </c>
      <c r="D306" s="4" t="s">
        <v>1813</v>
      </c>
      <c r="E306" s="4" t="s">
        <v>1552</v>
      </c>
      <c r="F306" s="4" t="s">
        <v>1814</v>
      </c>
      <c r="G306" s="4" t="s">
        <v>1815</v>
      </c>
      <c r="H306" s="4" t="s">
        <v>511</v>
      </c>
      <c r="I306" s="4" t="s">
        <v>1121</v>
      </c>
      <c r="J306" s="4" t="s">
        <v>31</v>
      </c>
      <c r="K306" s="4" t="s">
        <v>31</v>
      </c>
      <c r="L306" s="2" t="s">
        <v>517</v>
      </c>
      <c r="M306" s="2" t="s">
        <v>32</v>
      </c>
      <c r="N306" s="4" t="s">
        <v>664</v>
      </c>
      <c r="O306" s="4" t="s">
        <v>312</v>
      </c>
      <c r="P306" s="4" t="s">
        <v>35</v>
      </c>
      <c r="Q306" s="150">
        <v>979</v>
      </c>
      <c r="R306" s="150">
        <v>1</v>
      </c>
      <c r="S306" s="150">
        <v>17990</v>
      </c>
      <c r="U306" s="150">
        <v>176.12200000000001</v>
      </c>
      <c r="V306" s="166">
        <v>6.7999999999999999E-5</v>
      </c>
      <c r="W306" s="166">
        <v>6.4924076847147497E-4</v>
      </c>
      <c r="X306" s="166">
        <v>9.5756351492829196E-5</v>
      </c>
    </row>
    <row r="307" spans="1:24">
      <c r="A307" s="4" t="s">
        <v>256</v>
      </c>
      <c r="B307" s="4">
        <v>7205</v>
      </c>
      <c r="C307" s="4" t="s">
        <v>1816</v>
      </c>
      <c r="D307" s="4" t="s">
        <v>1817</v>
      </c>
      <c r="E307" s="4" t="s">
        <v>1552</v>
      </c>
      <c r="F307" s="4" t="s">
        <v>1818</v>
      </c>
      <c r="G307" s="4" t="s">
        <v>1819</v>
      </c>
      <c r="H307" s="4" t="s">
        <v>511</v>
      </c>
      <c r="I307" s="4" t="s">
        <v>1121</v>
      </c>
      <c r="J307" s="4" t="s">
        <v>31</v>
      </c>
      <c r="K307" s="4" t="s">
        <v>31</v>
      </c>
      <c r="L307" s="2" t="s">
        <v>517</v>
      </c>
      <c r="M307" s="2" t="s">
        <v>32</v>
      </c>
      <c r="N307" s="4" t="s">
        <v>639</v>
      </c>
      <c r="O307" s="4" t="s">
        <v>312</v>
      </c>
      <c r="P307" s="4" t="s">
        <v>35</v>
      </c>
      <c r="Q307" s="150">
        <v>14187</v>
      </c>
      <c r="R307" s="150">
        <v>1</v>
      </c>
      <c r="S307" s="150">
        <v>13990</v>
      </c>
      <c r="U307" s="150">
        <v>1984.761</v>
      </c>
      <c r="V307" s="166">
        <v>1.341E-3</v>
      </c>
      <c r="W307" s="166">
        <v>7.3164466676495597E-3</v>
      </c>
      <c r="X307" s="166">
        <v>1.0791008094507401E-3</v>
      </c>
    </row>
    <row r="308" spans="1:24">
      <c r="A308" s="4" t="s">
        <v>256</v>
      </c>
      <c r="B308" s="4">
        <v>7205</v>
      </c>
      <c r="C308" s="4" t="s">
        <v>1820</v>
      </c>
      <c r="D308" s="4" t="s">
        <v>1821</v>
      </c>
      <c r="E308" s="4" t="s">
        <v>1552</v>
      </c>
      <c r="F308" s="4" t="s">
        <v>1822</v>
      </c>
      <c r="G308" s="4" t="s">
        <v>1823</v>
      </c>
      <c r="H308" s="4" t="s">
        <v>511</v>
      </c>
      <c r="I308" s="4" t="s">
        <v>1121</v>
      </c>
      <c r="J308" s="4" t="s">
        <v>31</v>
      </c>
      <c r="K308" s="4" t="s">
        <v>31</v>
      </c>
      <c r="L308" s="2" t="s">
        <v>517</v>
      </c>
      <c r="M308" s="2" t="s">
        <v>32</v>
      </c>
      <c r="N308" s="4" t="s">
        <v>652</v>
      </c>
      <c r="O308" s="4" t="s">
        <v>312</v>
      </c>
      <c r="P308" s="4" t="s">
        <v>35</v>
      </c>
      <c r="Q308" s="150">
        <v>148358.12</v>
      </c>
      <c r="R308" s="150">
        <v>1</v>
      </c>
      <c r="S308" s="150">
        <v>881</v>
      </c>
      <c r="U308" s="150">
        <v>1307.0350000000001</v>
      </c>
      <c r="V308" s="166">
        <v>1.9599999999999999E-4</v>
      </c>
      <c r="W308" s="166">
        <v>4.8181371444632496E-3</v>
      </c>
      <c r="X308" s="166">
        <v>7.1062578992395805E-4</v>
      </c>
    </row>
    <row r="309" spans="1:24">
      <c r="A309" s="4" t="s">
        <v>256</v>
      </c>
      <c r="B309" s="4">
        <v>7205</v>
      </c>
      <c r="C309" s="4" t="s">
        <v>1824</v>
      </c>
      <c r="D309" s="4" t="s">
        <v>1825</v>
      </c>
      <c r="E309" s="4" t="s">
        <v>1552</v>
      </c>
      <c r="F309" s="4" t="s">
        <v>1826</v>
      </c>
      <c r="G309" s="4" t="s">
        <v>1827</v>
      </c>
      <c r="H309" s="4" t="s">
        <v>511</v>
      </c>
      <c r="I309" s="4" t="s">
        <v>1121</v>
      </c>
      <c r="J309" s="4" t="s">
        <v>31</v>
      </c>
      <c r="K309" s="4" t="s">
        <v>31</v>
      </c>
      <c r="L309" s="2" t="s">
        <v>517</v>
      </c>
      <c r="M309" s="2" t="s">
        <v>32</v>
      </c>
      <c r="N309" s="4" t="s">
        <v>633</v>
      </c>
      <c r="O309" s="4" t="s">
        <v>312</v>
      </c>
      <c r="P309" s="4" t="s">
        <v>35</v>
      </c>
      <c r="Q309" s="150">
        <v>487763</v>
      </c>
      <c r="R309" s="150">
        <v>1</v>
      </c>
      <c r="S309" s="150">
        <v>422.2</v>
      </c>
      <c r="U309" s="150">
        <v>2059.335</v>
      </c>
      <c r="V309" s="166">
        <v>4.6299999999999998E-4</v>
      </c>
      <c r="W309" s="166">
        <v>7.5913499131973804E-3</v>
      </c>
      <c r="X309" s="166">
        <v>1.1196462173880301E-3</v>
      </c>
    </row>
    <row r="310" spans="1:24">
      <c r="A310" s="4" t="s">
        <v>256</v>
      </c>
      <c r="B310" s="4">
        <v>7205</v>
      </c>
      <c r="C310" s="4" t="s">
        <v>1828</v>
      </c>
      <c r="D310" s="4" t="s">
        <v>1829</v>
      </c>
      <c r="E310" s="4" t="s">
        <v>1552</v>
      </c>
      <c r="F310" s="4" t="s">
        <v>1830</v>
      </c>
      <c r="G310" s="4" t="s">
        <v>1831</v>
      </c>
      <c r="H310" s="4" t="s">
        <v>511</v>
      </c>
      <c r="I310" s="4" t="s">
        <v>1121</v>
      </c>
      <c r="J310" s="4" t="s">
        <v>31</v>
      </c>
      <c r="K310" s="4" t="s">
        <v>31</v>
      </c>
      <c r="L310" s="2" t="s">
        <v>517</v>
      </c>
      <c r="M310" s="2" t="s">
        <v>32</v>
      </c>
      <c r="N310" s="4" t="s">
        <v>652</v>
      </c>
      <c r="O310" s="4" t="s">
        <v>312</v>
      </c>
      <c r="P310" s="4" t="s">
        <v>35</v>
      </c>
      <c r="Q310" s="150">
        <v>56705.93</v>
      </c>
      <c r="R310" s="150">
        <v>1</v>
      </c>
      <c r="S310" s="150">
        <v>9151</v>
      </c>
      <c r="U310" s="150">
        <v>5189.16</v>
      </c>
      <c r="V310" s="166">
        <v>1.554E-3</v>
      </c>
      <c r="W310" s="166">
        <v>1.9128854366822198E-2</v>
      </c>
      <c r="X310" s="166">
        <v>2.82130973801447E-3</v>
      </c>
    </row>
    <row r="311" spans="1:24">
      <c r="A311" s="4" t="s">
        <v>256</v>
      </c>
      <c r="B311" s="4">
        <v>7205</v>
      </c>
      <c r="C311" s="4" t="s">
        <v>1832</v>
      </c>
      <c r="D311" s="4" t="s">
        <v>1833</v>
      </c>
      <c r="E311" s="4" t="s">
        <v>1552</v>
      </c>
      <c r="F311" s="4" t="s">
        <v>1834</v>
      </c>
      <c r="G311" s="4" t="s">
        <v>1835</v>
      </c>
      <c r="H311" s="4" t="s">
        <v>511</v>
      </c>
      <c r="I311" s="4" t="s">
        <v>1121</v>
      </c>
      <c r="J311" s="4" t="s">
        <v>31</v>
      </c>
      <c r="K311" s="4" t="s">
        <v>31</v>
      </c>
      <c r="L311" s="2" t="s">
        <v>517</v>
      </c>
      <c r="M311" s="2" t="s">
        <v>32</v>
      </c>
      <c r="N311" s="4" t="s">
        <v>669</v>
      </c>
      <c r="O311" s="4" t="s">
        <v>312</v>
      </c>
      <c r="P311" s="4" t="s">
        <v>35</v>
      </c>
      <c r="Q311" s="150">
        <v>28386</v>
      </c>
      <c r="R311" s="150">
        <v>1</v>
      </c>
      <c r="S311" s="150">
        <v>3667</v>
      </c>
      <c r="T311" s="149">
        <v>23.93</v>
      </c>
      <c r="U311" s="150">
        <v>1064.845</v>
      </c>
      <c r="V311" s="166">
        <v>5.7799999999999995E-4</v>
      </c>
      <c r="W311" s="166">
        <v>3.9253478520269603E-3</v>
      </c>
      <c r="X311" s="166">
        <v>5.7894853019666796E-4</v>
      </c>
    </row>
    <row r="312" spans="1:24">
      <c r="A312" s="4" t="s">
        <v>256</v>
      </c>
      <c r="B312" s="4">
        <v>7205</v>
      </c>
      <c r="C312" s="4" t="s">
        <v>1836</v>
      </c>
      <c r="D312" s="4" t="s">
        <v>1837</v>
      </c>
      <c r="E312" s="4" t="s">
        <v>1552</v>
      </c>
      <c r="F312" s="4" t="s">
        <v>1838</v>
      </c>
      <c r="G312" s="4" t="s">
        <v>1839</v>
      </c>
      <c r="H312" s="4" t="s">
        <v>511</v>
      </c>
      <c r="I312" s="4" t="s">
        <v>1121</v>
      </c>
      <c r="J312" s="4" t="s">
        <v>31</v>
      </c>
      <c r="K312" s="4" t="s">
        <v>31</v>
      </c>
      <c r="L312" s="2" t="s">
        <v>517</v>
      </c>
      <c r="M312" s="2" t="s">
        <v>32</v>
      </c>
      <c r="N312" s="4" t="s">
        <v>647</v>
      </c>
      <c r="O312" s="4" t="s">
        <v>312</v>
      </c>
      <c r="P312" s="4" t="s">
        <v>35</v>
      </c>
      <c r="Q312" s="150">
        <v>4801</v>
      </c>
      <c r="R312" s="150">
        <v>1</v>
      </c>
      <c r="S312" s="150">
        <v>14490</v>
      </c>
      <c r="U312" s="150">
        <v>695.66499999999996</v>
      </c>
      <c r="V312" s="166">
        <v>1.444E-3</v>
      </c>
      <c r="W312" s="166">
        <v>2.56443691208901E-3</v>
      </c>
      <c r="X312" s="166">
        <v>3.7822813085708101E-4</v>
      </c>
    </row>
    <row r="313" spans="1:24">
      <c r="A313" s="4" t="s">
        <v>256</v>
      </c>
      <c r="B313" s="4">
        <v>7205</v>
      </c>
      <c r="C313" s="4" t="s">
        <v>1840</v>
      </c>
      <c r="D313" s="4" t="s">
        <v>1841</v>
      </c>
      <c r="E313" s="4" t="s">
        <v>1552</v>
      </c>
      <c r="F313" s="4" t="s">
        <v>1842</v>
      </c>
      <c r="G313" s="4" t="s">
        <v>1843</v>
      </c>
      <c r="H313" s="4" t="s">
        <v>511</v>
      </c>
      <c r="I313" s="4" t="s">
        <v>1121</v>
      </c>
      <c r="J313" s="4" t="s">
        <v>31</v>
      </c>
      <c r="K313" s="4" t="s">
        <v>31</v>
      </c>
      <c r="L313" s="2" t="s">
        <v>517</v>
      </c>
      <c r="M313" s="2" t="s">
        <v>32</v>
      </c>
      <c r="N313" s="4" t="s">
        <v>636</v>
      </c>
      <c r="O313" s="4" t="s">
        <v>312</v>
      </c>
      <c r="P313" s="4" t="s">
        <v>35</v>
      </c>
      <c r="Q313" s="150">
        <v>36472.839999999997</v>
      </c>
      <c r="R313" s="150">
        <v>1</v>
      </c>
      <c r="S313" s="150">
        <v>13080</v>
      </c>
      <c r="U313" s="150">
        <v>4770.6469999999999</v>
      </c>
      <c r="V313" s="166">
        <v>1.4100000000000001E-4</v>
      </c>
      <c r="W313" s="166">
        <v>1.7586088462650501E-2</v>
      </c>
      <c r="X313" s="166">
        <v>2.5937675974633998E-3</v>
      </c>
    </row>
    <row r="314" spans="1:24">
      <c r="A314" s="4" t="s">
        <v>256</v>
      </c>
      <c r="B314" s="4">
        <v>7205</v>
      </c>
      <c r="C314" s="4" t="s">
        <v>1844</v>
      </c>
      <c r="D314" s="4" t="s">
        <v>1845</v>
      </c>
      <c r="E314" s="4" t="s">
        <v>1552</v>
      </c>
      <c r="F314" s="4" t="s">
        <v>1846</v>
      </c>
      <c r="G314" s="4" t="s">
        <v>1847</v>
      </c>
      <c r="H314" s="4" t="s">
        <v>511</v>
      </c>
      <c r="I314" s="4" t="s">
        <v>1121</v>
      </c>
      <c r="J314" s="4" t="s">
        <v>31</v>
      </c>
      <c r="K314" s="4" t="s">
        <v>31</v>
      </c>
      <c r="L314" s="2" t="s">
        <v>517</v>
      </c>
      <c r="M314" s="2" t="s">
        <v>32</v>
      </c>
      <c r="N314" s="4" t="s">
        <v>665</v>
      </c>
      <c r="O314" s="4" t="s">
        <v>312</v>
      </c>
      <c r="P314" s="4" t="s">
        <v>35</v>
      </c>
      <c r="Q314" s="150">
        <v>2331</v>
      </c>
      <c r="R314" s="150">
        <v>1</v>
      </c>
      <c r="S314" s="150">
        <v>25420</v>
      </c>
      <c r="U314" s="150">
        <v>592.54</v>
      </c>
      <c r="V314" s="166">
        <v>5.0199999999999995E-4</v>
      </c>
      <c r="W314" s="166">
        <v>2.1842872348117699E-3</v>
      </c>
      <c r="X314" s="166">
        <v>3.2215995417287898E-4</v>
      </c>
    </row>
    <row r="315" spans="1:24">
      <c r="A315" s="4" t="s">
        <v>256</v>
      </c>
      <c r="B315" s="4">
        <v>7205</v>
      </c>
      <c r="C315" s="4" t="s">
        <v>1848</v>
      </c>
      <c r="D315" s="4" t="s">
        <v>1849</v>
      </c>
      <c r="E315" s="4" t="s">
        <v>1552</v>
      </c>
      <c r="F315" s="4" t="s">
        <v>1850</v>
      </c>
      <c r="G315" s="4" t="s">
        <v>1851</v>
      </c>
      <c r="H315" s="4" t="s">
        <v>511</v>
      </c>
      <c r="I315" s="4" t="s">
        <v>1121</v>
      </c>
      <c r="J315" s="4" t="s">
        <v>31</v>
      </c>
      <c r="K315" s="4" t="s">
        <v>155</v>
      </c>
      <c r="L315" s="2" t="s">
        <v>517</v>
      </c>
      <c r="M315" s="2" t="s">
        <v>32</v>
      </c>
      <c r="N315" s="4" t="s">
        <v>662</v>
      </c>
      <c r="O315" s="4" t="s">
        <v>312</v>
      </c>
      <c r="P315" s="4" t="s">
        <v>35</v>
      </c>
      <c r="Q315" s="150">
        <v>13021</v>
      </c>
      <c r="R315" s="150">
        <v>1</v>
      </c>
      <c r="S315" s="150">
        <v>1408</v>
      </c>
      <c r="U315" s="150">
        <v>183.33600000000001</v>
      </c>
      <c r="V315" s="166">
        <v>1.1900000000000001E-4</v>
      </c>
      <c r="W315" s="166">
        <v>6.7583226506747504E-4</v>
      </c>
      <c r="X315" s="166">
        <v>9.9678324385507906E-5</v>
      </c>
    </row>
    <row r="316" spans="1:24">
      <c r="A316" s="4" t="s">
        <v>256</v>
      </c>
      <c r="B316" s="4">
        <v>7205</v>
      </c>
      <c r="C316" s="4" t="s">
        <v>1852</v>
      </c>
      <c r="D316" s="4" t="s">
        <v>1853</v>
      </c>
      <c r="E316" s="4" t="s">
        <v>1552</v>
      </c>
      <c r="F316" s="4" t="s">
        <v>1854</v>
      </c>
      <c r="G316" s="4" t="s">
        <v>1855</v>
      </c>
      <c r="H316" s="4" t="s">
        <v>511</v>
      </c>
      <c r="I316" s="4" t="s">
        <v>1121</v>
      </c>
      <c r="J316" s="4" t="s">
        <v>31</v>
      </c>
      <c r="K316" s="4" t="s">
        <v>31</v>
      </c>
      <c r="L316" s="2" t="s">
        <v>517</v>
      </c>
      <c r="M316" s="2" t="s">
        <v>32</v>
      </c>
      <c r="N316" s="4" t="s">
        <v>652</v>
      </c>
      <c r="O316" s="4" t="s">
        <v>312</v>
      </c>
      <c r="P316" s="4" t="s">
        <v>35</v>
      </c>
      <c r="Q316" s="150">
        <v>16680.88</v>
      </c>
      <c r="R316" s="150">
        <v>1</v>
      </c>
      <c r="S316" s="150">
        <v>24710</v>
      </c>
      <c r="U316" s="150">
        <v>4121.8450000000003</v>
      </c>
      <c r="V316" s="166">
        <v>3.5100000000000002E-4</v>
      </c>
      <c r="W316" s="166">
        <v>1.5194402668263499E-2</v>
      </c>
      <c r="X316" s="166">
        <v>2.2410184838688998E-3</v>
      </c>
    </row>
    <row r="317" spans="1:24">
      <c r="A317" s="4" t="s">
        <v>256</v>
      </c>
      <c r="B317" s="4">
        <v>7205</v>
      </c>
      <c r="C317" s="4" t="s">
        <v>1856</v>
      </c>
      <c r="D317" s="4" t="s">
        <v>1857</v>
      </c>
      <c r="E317" s="4" t="s">
        <v>1552</v>
      </c>
      <c r="F317" s="4" t="s">
        <v>1858</v>
      </c>
      <c r="G317" s="4" t="s">
        <v>1859</v>
      </c>
      <c r="H317" s="4" t="s">
        <v>511</v>
      </c>
      <c r="I317" s="4" t="s">
        <v>1121</v>
      </c>
      <c r="J317" s="4" t="s">
        <v>31</v>
      </c>
      <c r="K317" s="4" t="s">
        <v>31</v>
      </c>
      <c r="L317" s="2" t="s">
        <v>517</v>
      </c>
      <c r="M317" s="2" t="s">
        <v>32</v>
      </c>
      <c r="N317" s="4" t="s">
        <v>665</v>
      </c>
      <c r="O317" s="4" t="s">
        <v>312</v>
      </c>
      <c r="P317" s="4" t="s">
        <v>35</v>
      </c>
      <c r="Q317" s="150">
        <v>2479</v>
      </c>
      <c r="R317" s="150">
        <v>1</v>
      </c>
      <c r="S317" s="150">
        <v>5741</v>
      </c>
      <c r="U317" s="150">
        <v>142.31899999999999</v>
      </c>
      <c r="V317" s="166">
        <v>9.5000000000000005E-5</v>
      </c>
      <c r="W317" s="166">
        <v>5.2463347945539795E-4</v>
      </c>
      <c r="X317" s="166">
        <v>7.7378054957810794E-5</v>
      </c>
    </row>
    <row r="318" spans="1:24">
      <c r="A318" s="4" t="s">
        <v>256</v>
      </c>
      <c r="B318" s="4">
        <v>7205</v>
      </c>
      <c r="C318" s="4" t="s">
        <v>1860</v>
      </c>
      <c r="D318" s="4" t="s">
        <v>1861</v>
      </c>
      <c r="E318" s="4" t="s">
        <v>1552</v>
      </c>
      <c r="F318" s="4" t="s">
        <v>1862</v>
      </c>
      <c r="G318" s="4" t="s">
        <v>1863</v>
      </c>
      <c r="H318" s="4" t="s">
        <v>511</v>
      </c>
      <c r="I318" s="4" t="s">
        <v>1121</v>
      </c>
      <c r="J318" s="4" t="s">
        <v>31</v>
      </c>
      <c r="K318" s="4" t="s">
        <v>31</v>
      </c>
      <c r="L318" s="2" t="s">
        <v>517</v>
      </c>
      <c r="M318" s="2" t="s">
        <v>32</v>
      </c>
      <c r="N318" s="4" t="s">
        <v>652</v>
      </c>
      <c r="O318" s="4" t="s">
        <v>312</v>
      </c>
      <c r="P318" s="4" t="s">
        <v>35</v>
      </c>
      <c r="Q318" s="150">
        <v>372676</v>
      </c>
      <c r="R318" s="150">
        <v>1</v>
      </c>
      <c r="S318" s="150">
        <v>159.4</v>
      </c>
      <c r="U318" s="150">
        <v>594.04600000000005</v>
      </c>
      <c r="V318" s="166">
        <v>5.4000000000000001E-4</v>
      </c>
      <c r="W318" s="166">
        <v>2.1898364003927698E-3</v>
      </c>
      <c r="X318" s="166">
        <v>3.2297839915611303E-4</v>
      </c>
    </row>
    <row r="319" spans="1:24">
      <c r="A319" s="4" t="s">
        <v>256</v>
      </c>
      <c r="B319" s="4">
        <v>7205</v>
      </c>
      <c r="C319" s="4" t="s">
        <v>2050</v>
      </c>
      <c r="D319" s="4" t="s">
        <v>2051</v>
      </c>
      <c r="E319" s="4" t="s">
        <v>1552</v>
      </c>
      <c r="F319" s="4" t="s">
        <v>2052</v>
      </c>
      <c r="G319" s="4" t="s">
        <v>2053</v>
      </c>
      <c r="H319" s="4" t="s">
        <v>511</v>
      </c>
      <c r="I319" s="4" t="s">
        <v>1121</v>
      </c>
      <c r="J319" s="4" t="s">
        <v>31</v>
      </c>
      <c r="K319" s="4" t="s">
        <v>31</v>
      </c>
      <c r="L319" s="2" t="s">
        <v>517</v>
      </c>
      <c r="M319" s="2" t="s">
        <v>32</v>
      </c>
      <c r="N319" s="4" t="s">
        <v>628</v>
      </c>
      <c r="O319" s="4" t="s">
        <v>312</v>
      </c>
      <c r="P319" s="4" t="s">
        <v>35</v>
      </c>
      <c r="Q319" s="150">
        <v>88014</v>
      </c>
      <c r="R319" s="150">
        <v>1</v>
      </c>
      <c r="S319" s="150">
        <v>250.9</v>
      </c>
      <c r="U319" s="150">
        <v>220.827</v>
      </c>
      <c r="V319" s="166">
        <v>1.54E-4</v>
      </c>
      <c r="W319" s="166">
        <v>8.1403738079200295E-4</v>
      </c>
      <c r="X319" s="166">
        <v>1.2006216083278201E-4</v>
      </c>
    </row>
    <row r="320" spans="1:24">
      <c r="A320" s="4" t="s">
        <v>256</v>
      </c>
      <c r="B320" s="4">
        <v>7205</v>
      </c>
      <c r="C320" s="4" t="s">
        <v>1864</v>
      </c>
      <c r="D320" s="4" t="s">
        <v>1865</v>
      </c>
      <c r="E320" s="4" t="s">
        <v>1552</v>
      </c>
      <c r="F320" s="4" t="s">
        <v>1866</v>
      </c>
      <c r="G320" s="4" t="s">
        <v>1867</v>
      </c>
      <c r="H320" s="4" t="s">
        <v>511</v>
      </c>
      <c r="I320" s="4" t="s">
        <v>1121</v>
      </c>
      <c r="J320" s="4" t="s">
        <v>31</v>
      </c>
      <c r="K320" s="4" t="s">
        <v>31</v>
      </c>
      <c r="L320" s="2" t="s">
        <v>517</v>
      </c>
      <c r="M320" s="2" t="s">
        <v>32</v>
      </c>
      <c r="N320" s="4" t="s">
        <v>669</v>
      </c>
      <c r="O320" s="4" t="s">
        <v>312</v>
      </c>
      <c r="P320" s="4" t="s">
        <v>35</v>
      </c>
      <c r="Q320" s="150">
        <v>4433</v>
      </c>
      <c r="R320" s="150">
        <v>1</v>
      </c>
      <c r="S320" s="150">
        <v>8000</v>
      </c>
      <c r="U320" s="150">
        <v>354.64</v>
      </c>
      <c r="V320" s="166">
        <v>1.35E-4</v>
      </c>
      <c r="W320" s="166">
        <v>1.30731319993756E-3</v>
      </c>
      <c r="X320" s="166">
        <v>1.9281528265570799E-4</v>
      </c>
    </row>
    <row r="321" spans="1:24">
      <c r="A321" s="4" t="s">
        <v>256</v>
      </c>
      <c r="B321" s="4">
        <v>7205</v>
      </c>
      <c r="C321" s="4" t="s">
        <v>1868</v>
      </c>
      <c r="D321" s="4" t="s">
        <v>1869</v>
      </c>
      <c r="E321" s="4" t="s">
        <v>1552</v>
      </c>
      <c r="F321" s="4" t="s">
        <v>1870</v>
      </c>
      <c r="G321" s="4" t="s">
        <v>1871</v>
      </c>
      <c r="H321" s="4" t="s">
        <v>511</v>
      </c>
      <c r="I321" s="4" t="s">
        <v>1121</v>
      </c>
      <c r="J321" s="4" t="s">
        <v>31</v>
      </c>
      <c r="K321" s="4" t="s">
        <v>489</v>
      </c>
      <c r="L321" s="2" t="s">
        <v>517</v>
      </c>
      <c r="M321" s="2" t="s">
        <v>32</v>
      </c>
      <c r="N321" s="4" t="s">
        <v>646</v>
      </c>
      <c r="O321" s="4" t="s">
        <v>312</v>
      </c>
      <c r="P321" s="4" t="s">
        <v>35</v>
      </c>
      <c r="Q321" s="150">
        <v>6224</v>
      </c>
      <c r="R321" s="150">
        <v>1</v>
      </c>
      <c r="S321" s="150">
        <v>87800</v>
      </c>
      <c r="U321" s="150">
        <v>5464.6719999999996</v>
      </c>
      <c r="V321" s="166">
        <v>2.1699999999999999E-4</v>
      </c>
      <c r="W321" s="166">
        <v>2.0144478454007499E-2</v>
      </c>
      <c r="X321" s="166">
        <v>2.9711038695599298E-3</v>
      </c>
    </row>
    <row r="322" spans="1:24">
      <c r="A322" s="4" t="s">
        <v>256</v>
      </c>
      <c r="B322" s="4">
        <v>7205</v>
      </c>
      <c r="C322" s="4" t="s">
        <v>1872</v>
      </c>
      <c r="D322" s="4" t="s">
        <v>1873</v>
      </c>
      <c r="E322" s="4" t="s">
        <v>1552</v>
      </c>
      <c r="F322" s="4" t="s">
        <v>1874</v>
      </c>
      <c r="G322" s="4" t="s">
        <v>1875</v>
      </c>
      <c r="H322" s="4" t="s">
        <v>511</v>
      </c>
      <c r="I322" s="4" t="s">
        <v>1121</v>
      </c>
      <c r="J322" s="4" t="s">
        <v>31</v>
      </c>
      <c r="K322" s="4" t="s">
        <v>31</v>
      </c>
      <c r="L322" s="2" t="s">
        <v>517</v>
      </c>
      <c r="M322" s="2" t="s">
        <v>32</v>
      </c>
      <c r="N322" s="4" t="s">
        <v>666</v>
      </c>
      <c r="O322" s="4" t="s">
        <v>312</v>
      </c>
      <c r="P322" s="4" t="s">
        <v>35</v>
      </c>
      <c r="Q322" s="150">
        <v>543637</v>
      </c>
      <c r="R322" s="150">
        <v>1</v>
      </c>
      <c r="S322" s="150">
        <v>150.9</v>
      </c>
      <c r="U322" s="150">
        <v>820.34799999999996</v>
      </c>
      <c r="V322" s="166">
        <v>1.065E-3</v>
      </c>
      <c r="W322" s="166">
        <v>3.0240584072477898E-3</v>
      </c>
      <c r="X322" s="166">
        <v>4.4601758521882999E-4</v>
      </c>
    </row>
    <row r="323" spans="1:24">
      <c r="A323" s="4" t="s">
        <v>256</v>
      </c>
      <c r="B323" s="4">
        <v>7205</v>
      </c>
      <c r="C323" s="4" t="s">
        <v>1876</v>
      </c>
      <c r="D323" s="4" t="s">
        <v>1877</v>
      </c>
      <c r="E323" s="4" t="s">
        <v>1552</v>
      </c>
      <c r="F323" s="4" t="s">
        <v>1878</v>
      </c>
      <c r="G323" s="4" t="s">
        <v>1879</v>
      </c>
      <c r="H323" s="4" t="s">
        <v>511</v>
      </c>
      <c r="I323" s="4" t="s">
        <v>1121</v>
      </c>
      <c r="J323" s="4" t="s">
        <v>31</v>
      </c>
      <c r="K323" s="4" t="s">
        <v>31</v>
      </c>
      <c r="L323" s="2" t="s">
        <v>517</v>
      </c>
      <c r="M323" s="2" t="s">
        <v>32</v>
      </c>
      <c r="N323" s="4" t="s">
        <v>650</v>
      </c>
      <c r="O323" s="4" t="s">
        <v>312</v>
      </c>
      <c r="P323" s="4" t="s">
        <v>35</v>
      </c>
      <c r="Q323" s="150">
        <v>16334</v>
      </c>
      <c r="R323" s="150">
        <v>1</v>
      </c>
      <c r="S323" s="150">
        <v>5893</v>
      </c>
      <c r="U323" s="150">
        <v>962.56299999999999</v>
      </c>
      <c r="V323" s="166">
        <v>7.8200000000000003E-4</v>
      </c>
      <c r="W323" s="166">
        <v>3.54830481302867E-3</v>
      </c>
      <c r="X323" s="166">
        <v>5.2333855078140999E-4</v>
      </c>
    </row>
    <row r="324" spans="1:24">
      <c r="A324" s="4" t="s">
        <v>256</v>
      </c>
      <c r="B324" s="4">
        <v>7205</v>
      </c>
      <c r="C324" s="4" t="s">
        <v>1880</v>
      </c>
      <c r="D324" s="4" t="s">
        <v>1881</v>
      </c>
      <c r="E324" s="4" t="s">
        <v>1552</v>
      </c>
      <c r="F324" s="4" t="s">
        <v>1882</v>
      </c>
      <c r="G324" s="4" t="s">
        <v>1883</v>
      </c>
      <c r="H324" s="4" t="s">
        <v>511</v>
      </c>
      <c r="I324" s="4" t="s">
        <v>1121</v>
      </c>
      <c r="J324" s="4" t="s">
        <v>31</v>
      </c>
      <c r="K324" s="4" t="s">
        <v>31</v>
      </c>
      <c r="L324" s="2" t="s">
        <v>517</v>
      </c>
      <c r="M324" s="2" t="s">
        <v>32</v>
      </c>
      <c r="N324" s="4" t="s">
        <v>642</v>
      </c>
      <c r="O324" s="4" t="s">
        <v>312</v>
      </c>
      <c r="P324" s="4" t="s">
        <v>35</v>
      </c>
      <c r="Q324" s="150">
        <v>91676.56</v>
      </c>
      <c r="R324" s="150">
        <v>1</v>
      </c>
      <c r="S324" s="150">
        <v>895.6</v>
      </c>
      <c r="U324" s="150">
        <v>821.05499999999995</v>
      </c>
      <c r="V324" s="166">
        <v>7.7999999999999999E-5</v>
      </c>
      <c r="W324" s="166">
        <v>3.02666477026632E-3</v>
      </c>
      <c r="X324" s="166">
        <v>4.4640199702018302E-4</v>
      </c>
    </row>
    <row r="325" spans="1:24">
      <c r="A325" s="4" t="s">
        <v>256</v>
      </c>
      <c r="B325" s="4">
        <v>7205</v>
      </c>
      <c r="C325" s="4" t="s">
        <v>1884</v>
      </c>
      <c r="D325" s="4" t="s">
        <v>1885</v>
      </c>
      <c r="E325" s="4" t="s">
        <v>1552</v>
      </c>
      <c r="F325" s="4" t="s">
        <v>1886</v>
      </c>
      <c r="G325" s="4" t="s">
        <v>1887</v>
      </c>
      <c r="H325" s="4" t="s">
        <v>511</v>
      </c>
      <c r="I325" s="4" t="s">
        <v>1121</v>
      </c>
      <c r="J325" s="4" t="s">
        <v>31</v>
      </c>
      <c r="K325" s="4" t="s">
        <v>155</v>
      </c>
      <c r="L325" s="2" t="s">
        <v>517</v>
      </c>
      <c r="M325" s="2" t="s">
        <v>32</v>
      </c>
      <c r="N325" s="4" t="s">
        <v>669</v>
      </c>
      <c r="O325" s="4" t="s">
        <v>312</v>
      </c>
      <c r="P325" s="4" t="s">
        <v>35</v>
      </c>
      <c r="Q325" s="150">
        <v>12885</v>
      </c>
      <c r="R325" s="150">
        <v>1</v>
      </c>
      <c r="S325" s="150">
        <v>64400</v>
      </c>
      <c r="U325" s="150">
        <v>8297.94</v>
      </c>
      <c r="V325" s="166">
        <v>2.03E-4</v>
      </c>
      <c r="W325" s="166">
        <v>3.05887843849817E-2</v>
      </c>
      <c r="X325" s="166">
        <v>4.5115318254007096E-3</v>
      </c>
    </row>
    <row r="326" spans="1:24">
      <c r="A326" s="4" t="s">
        <v>256</v>
      </c>
      <c r="B326" s="4">
        <v>7205</v>
      </c>
      <c r="C326" s="4" t="s">
        <v>2054</v>
      </c>
      <c r="D326" s="4" t="s">
        <v>2055</v>
      </c>
      <c r="E326" s="4" t="s">
        <v>1552</v>
      </c>
      <c r="F326" s="4" t="s">
        <v>2056</v>
      </c>
      <c r="G326" s="4" t="s">
        <v>2057</v>
      </c>
      <c r="H326" s="4" t="s">
        <v>511</v>
      </c>
      <c r="I326" s="4" t="s">
        <v>1121</v>
      </c>
      <c r="J326" s="4" t="s">
        <v>31</v>
      </c>
      <c r="K326" s="4" t="s">
        <v>31</v>
      </c>
      <c r="L326" s="2" t="s">
        <v>517</v>
      </c>
      <c r="M326" s="2" t="s">
        <v>32</v>
      </c>
      <c r="N326" s="4" t="s">
        <v>654</v>
      </c>
      <c r="O326" s="4" t="s">
        <v>312</v>
      </c>
      <c r="P326" s="4" t="s">
        <v>35</v>
      </c>
      <c r="Q326" s="150">
        <v>44495</v>
      </c>
      <c r="R326" s="150">
        <v>1</v>
      </c>
      <c r="S326" s="150">
        <v>1516</v>
      </c>
      <c r="U326" s="150">
        <v>674.54399999999998</v>
      </c>
      <c r="V326" s="166">
        <v>4.7590000000000002E-3</v>
      </c>
      <c r="W326" s="166">
        <v>2.48657945127827E-3</v>
      </c>
      <c r="X326" s="166">
        <v>3.6674495428256498E-4</v>
      </c>
    </row>
    <row r="327" spans="1:24">
      <c r="A327" s="4" t="s">
        <v>256</v>
      </c>
      <c r="B327" s="4">
        <v>7205</v>
      </c>
      <c r="C327" s="4" t="s">
        <v>1888</v>
      </c>
      <c r="D327" s="4" t="s">
        <v>1889</v>
      </c>
      <c r="E327" s="4" t="s">
        <v>1552</v>
      </c>
      <c r="F327" s="4" t="s">
        <v>1890</v>
      </c>
      <c r="G327" s="4" t="s">
        <v>1891</v>
      </c>
      <c r="H327" s="4" t="s">
        <v>511</v>
      </c>
      <c r="I327" s="4" t="s">
        <v>1121</v>
      </c>
      <c r="J327" s="4" t="s">
        <v>31</v>
      </c>
      <c r="K327" s="4" t="s">
        <v>489</v>
      </c>
      <c r="L327" s="2" t="s">
        <v>517</v>
      </c>
      <c r="M327" s="2" t="s">
        <v>32</v>
      </c>
      <c r="N327" s="4" t="s">
        <v>653</v>
      </c>
      <c r="O327" s="4" t="s">
        <v>312</v>
      </c>
      <c r="P327" s="4" t="s">
        <v>35</v>
      </c>
      <c r="Q327" s="150">
        <v>31499</v>
      </c>
      <c r="R327" s="150">
        <v>1</v>
      </c>
      <c r="S327" s="150">
        <v>4210</v>
      </c>
      <c r="U327" s="150">
        <v>1326.1079999999999</v>
      </c>
      <c r="V327" s="166">
        <v>4.26E-4</v>
      </c>
      <c r="W327" s="166">
        <v>4.8884456412460102E-3</v>
      </c>
      <c r="X327" s="166">
        <v>7.2099557176423404E-4</v>
      </c>
    </row>
    <row r="328" spans="1:24">
      <c r="A328" s="4" t="s">
        <v>256</v>
      </c>
      <c r="B328" s="4">
        <v>7205</v>
      </c>
      <c r="C328" s="4" t="s">
        <v>1892</v>
      </c>
      <c r="D328" s="4" t="s">
        <v>1893</v>
      </c>
      <c r="E328" s="4" t="s">
        <v>1552</v>
      </c>
      <c r="F328" s="4" t="s">
        <v>1892</v>
      </c>
      <c r="G328" s="4" t="s">
        <v>1894</v>
      </c>
      <c r="H328" s="4" t="s">
        <v>511</v>
      </c>
      <c r="I328" s="4" t="s">
        <v>1121</v>
      </c>
      <c r="J328" s="4" t="s">
        <v>31</v>
      </c>
      <c r="K328" s="4" t="s">
        <v>31</v>
      </c>
      <c r="L328" s="2" t="s">
        <v>517</v>
      </c>
      <c r="M328" s="2" t="s">
        <v>32</v>
      </c>
      <c r="N328" s="4" t="s">
        <v>648</v>
      </c>
      <c r="O328" s="4" t="s">
        <v>312</v>
      </c>
      <c r="P328" s="4" t="s">
        <v>35</v>
      </c>
      <c r="Q328" s="150">
        <v>28507</v>
      </c>
      <c r="R328" s="150">
        <v>1</v>
      </c>
      <c r="S328" s="150">
        <v>1772</v>
      </c>
      <c r="U328" s="150">
        <v>505.14400000000001</v>
      </c>
      <c r="V328" s="166">
        <v>8.2100000000000001E-4</v>
      </c>
      <c r="W328" s="166">
        <v>1.86211784164727E-3</v>
      </c>
      <c r="X328" s="166">
        <v>2.7464327445986502E-4</v>
      </c>
    </row>
    <row r="329" spans="1:24">
      <c r="A329" s="4" t="s">
        <v>256</v>
      </c>
      <c r="B329" s="4">
        <v>7205</v>
      </c>
      <c r="C329" s="4" t="s">
        <v>2058</v>
      </c>
      <c r="D329" s="4" t="s">
        <v>2059</v>
      </c>
      <c r="E329" s="4" t="s">
        <v>1552</v>
      </c>
      <c r="F329" s="4" t="s">
        <v>2060</v>
      </c>
      <c r="G329" s="4" t="s">
        <v>2061</v>
      </c>
      <c r="H329" s="4" t="s">
        <v>511</v>
      </c>
      <c r="I329" s="4" t="s">
        <v>1121</v>
      </c>
      <c r="J329" s="4" t="s">
        <v>31</v>
      </c>
      <c r="K329" s="4" t="s">
        <v>31</v>
      </c>
      <c r="L329" s="2" t="s">
        <v>517</v>
      </c>
      <c r="M329" s="2" t="s">
        <v>32</v>
      </c>
      <c r="N329" s="4" t="s">
        <v>654</v>
      </c>
      <c r="O329" s="4" t="s">
        <v>312</v>
      </c>
      <c r="P329" s="4" t="s">
        <v>35</v>
      </c>
      <c r="Q329" s="150">
        <v>98108</v>
      </c>
      <c r="R329" s="150">
        <v>1</v>
      </c>
      <c r="S329" s="150">
        <v>474.1</v>
      </c>
      <c r="T329" s="149">
        <v>34.338000000000001</v>
      </c>
      <c r="U329" s="150">
        <v>499.46800000000002</v>
      </c>
      <c r="V329" s="166">
        <v>1.4809999999999999E-3</v>
      </c>
      <c r="W329" s="166">
        <v>1.84119356104372E-3</v>
      </c>
      <c r="X329" s="166">
        <v>2.7155715777479297E-4</v>
      </c>
    </row>
    <row r="330" spans="1:24">
      <c r="A330" s="4" t="s">
        <v>256</v>
      </c>
      <c r="B330" s="4">
        <v>7205</v>
      </c>
      <c r="C330" s="4" t="s">
        <v>1895</v>
      </c>
      <c r="D330" s="4" t="s">
        <v>1896</v>
      </c>
      <c r="E330" s="4" t="s">
        <v>1552</v>
      </c>
      <c r="F330" s="4" t="s">
        <v>1897</v>
      </c>
      <c r="G330" s="4" t="s">
        <v>1898</v>
      </c>
      <c r="H330" s="4" t="s">
        <v>511</v>
      </c>
      <c r="I330" s="4" t="s">
        <v>1121</v>
      </c>
      <c r="J330" s="4" t="s">
        <v>31</v>
      </c>
      <c r="K330" s="4" t="s">
        <v>31</v>
      </c>
      <c r="L330" s="2" t="s">
        <v>517</v>
      </c>
      <c r="M330" s="2" t="s">
        <v>32</v>
      </c>
      <c r="N330" s="4" t="s">
        <v>652</v>
      </c>
      <c r="O330" s="4" t="s">
        <v>312</v>
      </c>
      <c r="P330" s="4" t="s">
        <v>35</v>
      </c>
      <c r="Q330" s="150">
        <v>31237</v>
      </c>
      <c r="R330" s="150">
        <v>1</v>
      </c>
      <c r="S330" s="150">
        <v>22000</v>
      </c>
      <c r="U330" s="150">
        <v>6872.14</v>
      </c>
      <c r="V330" s="166">
        <v>2.5799999999999998E-4</v>
      </c>
      <c r="W330" s="166">
        <v>2.53328426963088E-2</v>
      </c>
      <c r="X330" s="166">
        <v>3.7363343575163499E-3</v>
      </c>
    </row>
    <row r="331" spans="1:24">
      <c r="A331" s="4" t="s">
        <v>256</v>
      </c>
      <c r="B331" s="4">
        <v>7205</v>
      </c>
      <c r="C331" s="4" t="s">
        <v>1899</v>
      </c>
      <c r="D331" s="4" t="s">
        <v>1900</v>
      </c>
      <c r="E331" s="4" t="s">
        <v>1552</v>
      </c>
      <c r="F331" s="4" t="s">
        <v>1901</v>
      </c>
      <c r="G331" s="4" t="s">
        <v>1902</v>
      </c>
      <c r="H331" s="4" t="s">
        <v>511</v>
      </c>
      <c r="I331" s="4" t="s">
        <v>1121</v>
      </c>
      <c r="J331" s="4" t="s">
        <v>31</v>
      </c>
      <c r="K331" s="4" t="s">
        <v>31</v>
      </c>
      <c r="L331" s="2" t="s">
        <v>517</v>
      </c>
      <c r="M331" s="2" t="s">
        <v>32</v>
      </c>
      <c r="N331" s="4" t="s">
        <v>639</v>
      </c>
      <c r="O331" s="4" t="s">
        <v>312</v>
      </c>
      <c r="P331" s="4" t="s">
        <v>35</v>
      </c>
      <c r="Q331" s="150">
        <v>3154</v>
      </c>
      <c r="R331" s="150">
        <v>1</v>
      </c>
      <c r="S331" s="150">
        <v>8237</v>
      </c>
      <c r="U331" s="150">
        <v>259.79500000000002</v>
      </c>
      <c r="V331" s="166">
        <v>4.64E-4</v>
      </c>
      <c r="W331" s="166">
        <v>9.57684995013297E-4</v>
      </c>
      <c r="X331" s="166">
        <v>1.4124870996287499E-4</v>
      </c>
    </row>
    <row r="332" spans="1:24">
      <c r="A332" s="4" t="s">
        <v>256</v>
      </c>
      <c r="B332" s="4">
        <v>7205</v>
      </c>
      <c r="C332" s="4" t="s">
        <v>1903</v>
      </c>
      <c r="D332" s="4" t="s">
        <v>1904</v>
      </c>
      <c r="E332" s="4" t="s">
        <v>1552</v>
      </c>
      <c r="F332" s="4" t="s">
        <v>1905</v>
      </c>
      <c r="G332" s="4" t="s">
        <v>1906</v>
      </c>
      <c r="H332" s="4" t="s">
        <v>511</v>
      </c>
      <c r="I332" s="4" t="s">
        <v>1121</v>
      </c>
      <c r="J332" s="4" t="s">
        <v>31</v>
      </c>
      <c r="K332" s="4" t="s">
        <v>31</v>
      </c>
      <c r="L332" s="2" t="s">
        <v>517</v>
      </c>
      <c r="M332" s="2" t="s">
        <v>32</v>
      </c>
      <c r="N332" s="4" t="s">
        <v>636</v>
      </c>
      <c r="O332" s="4" t="s">
        <v>312</v>
      </c>
      <c r="P332" s="4" t="s">
        <v>35</v>
      </c>
      <c r="Q332" s="150">
        <v>481339</v>
      </c>
      <c r="R332" s="150">
        <v>1</v>
      </c>
      <c r="S332" s="150">
        <v>3365</v>
      </c>
      <c r="U332" s="150">
        <v>16197.057000000001</v>
      </c>
      <c r="V332" s="166">
        <v>3.6000000000000002E-4</v>
      </c>
      <c r="W332" s="166">
        <v>5.9707384597904201E-2</v>
      </c>
      <c r="X332" s="166">
        <v>8.8062265709761105E-3</v>
      </c>
    </row>
    <row r="333" spans="1:24">
      <c r="A333" s="4" t="s">
        <v>256</v>
      </c>
      <c r="B333" s="4">
        <v>7205</v>
      </c>
      <c r="C333" s="4" t="s">
        <v>1907</v>
      </c>
      <c r="D333" s="4" t="s">
        <v>1908</v>
      </c>
      <c r="E333" s="4" t="s">
        <v>1552</v>
      </c>
      <c r="F333" s="4" t="s">
        <v>1909</v>
      </c>
      <c r="G333" s="4" t="s">
        <v>1910</v>
      </c>
      <c r="H333" s="4" t="s">
        <v>511</v>
      </c>
      <c r="I333" s="4" t="s">
        <v>1121</v>
      </c>
      <c r="J333" s="4" t="s">
        <v>31</v>
      </c>
      <c r="K333" s="4" t="s">
        <v>31</v>
      </c>
      <c r="L333" s="2" t="s">
        <v>517</v>
      </c>
      <c r="M333" s="2" t="s">
        <v>32</v>
      </c>
      <c r="N333" s="4" t="s">
        <v>665</v>
      </c>
      <c r="O333" s="4" t="s">
        <v>312</v>
      </c>
      <c r="P333" s="4" t="s">
        <v>35</v>
      </c>
      <c r="Q333" s="150">
        <v>39312.550000000003</v>
      </c>
      <c r="R333" s="150">
        <v>1</v>
      </c>
      <c r="S333" s="150">
        <v>26800</v>
      </c>
      <c r="U333" s="150">
        <v>10535.763000000001</v>
      </c>
      <c r="V333" s="166">
        <v>2.5639999999999999E-3</v>
      </c>
      <c r="W333" s="166">
        <v>3.8838096560565902E-2</v>
      </c>
      <c r="X333" s="166">
        <v>5.7282207251428702E-3</v>
      </c>
    </row>
    <row r="334" spans="1:24">
      <c r="A334" s="4" t="s">
        <v>256</v>
      </c>
      <c r="B334" s="4">
        <v>7205</v>
      </c>
      <c r="C334" s="4" t="s">
        <v>1911</v>
      </c>
      <c r="D334" s="4" t="s">
        <v>1912</v>
      </c>
      <c r="E334" s="4" t="s">
        <v>1552</v>
      </c>
      <c r="F334" s="4" t="s">
        <v>1913</v>
      </c>
      <c r="G334" s="4" t="s">
        <v>1914</v>
      </c>
      <c r="H334" s="4" t="s">
        <v>511</v>
      </c>
      <c r="I334" s="4" t="s">
        <v>1121</v>
      </c>
      <c r="J334" s="4" t="s">
        <v>31</v>
      </c>
      <c r="K334" s="4" t="s">
        <v>31</v>
      </c>
      <c r="L334" s="2" t="s">
        <v>517</v>
      </c>
      <c r="M334" s="2" t="s">
        <v>32</v>
      </c>
      <c r="N334" s="4" t="s">
        <v>628</v>
      </c>
      <c r="O334" s="4" t="s">
        <v>312</v>
      </c>
      <c r="P334" s="4" t="s">
        <v>35</v>
      </c>
      <c r="Q334" s="150">
        <v>7949</v>
      </c>
      <c r="R334" s="150">
        <v>1</v>
      </c>
      <c r="S334" s="150">
        <v>6189</v>
      </c>
      <c r="U334" s="150">
        <v>491.964</v>
      </c>
      <c r="V334" s="166">
        <v>6.3599999999999996E-4</v>
      </c>
      <c r="W334" s="166">
        <v>1.81353068250038E-3</v>
      </c>
      <c r="X334" s="166">
        <v>2.6747716703832801E-4</v>
      </c>
    </row>
    <row r="335" spans="1:24">
      <c r="A335" s="4" t="s">
        <v>256</v>
      </c>
      <c r="B335" s="4">
        <v>7205</v>
      </c>
      <c r="C335" s="4" t="s">
        <v>1915</v>
      </c>
      <c r="D335" s="4" t="s">
        <v>1916</v>
      </c>
      <c r="E335" s="4" t="s">
        <v>1552</v>
      </c>
      <c r="F335" s="4" t="s">
        <v>1917</v>
      </c>
      <c r="G335" s="4" t="s">
        <v>1918</v>
      </c>
      <c r="H335" s="4" t="s">
        <v>511</v>
      </c>
      <c r="I335" s="4" t="s">
        <v>1121</v>
      </c>
      <c r="J335" s="4" t="s">
        <v>31</v>
      </c>
      <c r="K335" s="4" t="s">
        <v>31</v>
      </c>
      <c r="L335" s="2" t="s">
        <v>517</v>
      </c>
      <c r="M335" s="2" t="s">
        <v>32</v>
      </c>
      <c r="N335" s="4" t="s">
        <v>628</v>
      </c>
      <c r="O335" s="4" t="s">
        <v>312</v>
      </c>
      <c r="P335" s="4" t="s">
        <v>35</v>
      </c>
      <c r="Q335" s="150">
        <v>2411</v>
      </c>
      <c r="R335" s="150">
        <v>1</v>
      </c>
      <c r="S335" s="150">
        <v>34440</v>
      </c>
      <c r="T335" s="149">
        <v>39.542000000000002</v>
      </c>
      <c r="U335" s="150">
        <v>869.89</v>
      </c>
      <c r="V335" s="166">
        <v>2.2699999999999999E-4</v>
      </c>
      <c r="W335" s="166">
        <v>3.20668485989478E-3</v>
      </c>
      <c r="X335" s="166">
        <v>4.7295311305502099E-4</v>
      </c>
    </row>
    <row r="336" spans="1:24">
      <c r="A336" s="4" t="s">
        <v>256</v>
      </c>
      <c r="B336" s="4">
        <v>7205</v>
      </c>
      <c r="C336" s="4" t="s">
        <v>1919</v>
      </c>
      <c r="D336" s="4" t="s">
        <v>1920</v>
      </c>
      <c r="E336" s="4" t="s">
        <v>1552</v>
      </c>
      <c r="F336" s="4" t="s">
        <v>1921</v>
      </c>
      <c r="G336" s="4" t="s">
        <v>1922</v>
      </c>
      <c r="H336" s="4" t="s">
        <v>511</v>
      </c>
      <c r="I336" s="4" t="s">
        <v>1121</v>
      </c>
      <c r="J336" s="4" t="s">
        <v>31</v>
      </c>
      <c r="K336" s="4" t="s">
        <v>31</v>
      </c>
      <c r="L336" s="2" t="s">
        <v>517</v>
      </c>
      <c r="M336" s="2" t="s">
        <v>32</v>
      </c>
      <c r="N336" s="4" t="s">
        <v>636</v>
      </c>
      <c r="O336" s="4" t="s">
        <v>312</v>
      </c>
      <c r="P336" s="4" t="s">
        <v>35</v>
      </c>
      <c r="Q336" s="150">
        <v>42998.3</v>
      </c>
      <c r="R336" s="150">
        <v>1</v>
      </c>
      <c r="S336" s="150">
        <v>15200</v>
      </c>
      <c r="U336" s="150">
        <v>6535.7420000000002</v>
      </c>
      <c r="V336" s="166">
        <v>1.2130000000000001E-3</v>
      </c>
      <c r="W336" s="166">
        <v>2.4092773700262402E-2</v>
      </c>
      <c r="X336" s="166">
        <v>3.55343690494212E-3</v>
      </c>
    </row>
    <row r="337" spans="1:24">
      <c r="A337" s="4" t="s">
        <v>256</v>
      </c>
      <c r="B337" s="4">
        <v>7205</v>
      </c>
      <c r="C337" s="4" t="s">
        <v>1923</v>
      </c>
      <c r="D337" s="4" t="s">
        <v>1924</v>
      </c>
      <c r="E337" s="4" t="s">
        <v>1552</v>
      </c>
      <c r="F337" s="4" t="s">
        <v>1925</v>
      </c>
      <c r="G337" s="4" t="s">
        <v>1926</v>
      </c>
      <c r="H337" s="4" t="s">
        <v>511</v>
      </c>
      <c r="I337" s="4" t="s">
        <v>1121</v>
      </c>
      <c r="J337" s="4" t="s">
        <v>31</v>
      </c>
      <c r="K337" s="4" t="s">
        <v>31</v>
      </c>
      <c r="L337" s="2" t="s">
        <v>517</v>
      </c>
      <c r="M337" s="2" t="s">
        <v>32</v>
      </c>
      <c r="N337" s="4" t="s">
        <v>659</v>
      </c>
      <c r="O337" s="4" t="s">
        <v>312</v>
      </c>
      <c r="P337" s="4" t="s">
        <v>35</v>
      </c>
      <c r="Q337" s="150">
        <v>86696</v>
      </c>
      <c r="R337" s="150">
        <v>1</v>
      </c>
      <c r="S337" s="150">
        <v>469.6</v>
      </c>
      <c r="U337" s="150">
        <v>407.12400000000002</v>
      </c>
      <c r="V337" s="166">
        <v>1.1329999999999999E-3</v>
      </c>
      <c r="W337" s="166">
        <v>1.5007870602686501E-3</v>
      </c>
      <c r="X337" s="166">
        <v>2.213506918201E-4</v>
      </c>
    </row>
    <row r="338" spans="1:24">
      <c r="A338" s="4" t="s">
        <v>256</v>
      </c>
      <c r="B338" s="4">
        <v>7205</v>
      </c>
      <c r="C338" s="4" t="s">
        <v>1927</v>
      </c>
      <c r="D338" s="4" t="s">
        <v>1928</v>
      </c>
      <c r="E338" s="4" t="s">
        <v>1552</v>
      </c>
      <c r="F338" s="4" t="s">
        <v>1929</v>
      </c>
      <c r="G338" s="4" t="s">
        <v>1930</v>
      </c>
      <c r="H338" s="4" t="s">
        <v>511</v>
      </c>
      <c r="I338" s="4" t="s">
        <v>1121</v>
      </c>
      <c r="J338" s="4" t="s">
        <v>31</v>
      </c>
      <c r="K338" s="4" t="s">
        <v>31</v>
      </c>
      <c r="L338" s="2" t="s">
        <v>517</v>
      </c>
      <c r="M338" s="2" t="s">
        <v>32</v>
      </c>
      <c r="N338" s="4" t="s">
        <v>627</v>
      </c>
      <c r="O338" s="4" t="s">
        <v>312</v>
      </c>
      <c r="P338" s="4" t="s">
        <v>35</v>
      </c>
      <c r="Q338" s="150">
        <v>228921.27</v>
      </c>
      <c r="R338" s="150">
        <v>1</v>
      </c>
      <c r="S338" s="150">
        <v>379.1</v>
      </c>
      <c r="U338" s="150">
        <v>867.84100000000001</v>
      </c>
      <c r="V338" s="166">
        <v>3.1849999999999999E-3</v>
      </c>
      <c r="W338" s="166">
        <v>3.19912978311593E-3</v>
      </c>
      <c r="X338" s="166">
        <v>4.7183881675275102E-4</v>
      </c>
    </row>
    <row r="339" spans="1:24">
      <c r="A339" s="4" t="s">
        <v>256</v>
      </c>
      <c r="B339" s="4">
        <v>7205</v>
      </c>
      <c r="C339" s="4" t="s">
        <v>1931</v>
      </c>
      <c r="D339" s="4" t="s">
        <v>1932</v>
      </c>
      <c r="E339" s="4" t="s">
        <v>1552</v>
      </c>
      <c r="F339" s="4" t="s">
        <v>1933</v>
      </c>
      <c r="G339" s="4" t="s">
        <v>1934</v>
      </c>
      <c r="H339" s="4" t="s">
        <v>511</v>
      </c>
      <c r="I339" s="4" t="s">
        <v>1121</v>
      </c>
      <c r="J339" s="4" t="s">
        <v>31</v>
      </c>
      <c r="K339" s="4" t="s">
        <v>31</v>
      </c>
      <c r="L339" s="2" t="s">
        <v>517</v>
      </c>
      <c r="M339" s="2" t="s">
        <v>32</v>
      </c>
      <c r="N339" s="4" t="s">
        <v>648</v>
      </c>
      <c r="O339" s="4" t="s">
        <v>312</v>
      </c>
      <c r="P339" s="4" t="s">
        <v>35</v>
      </c>
      <c r="Q339" s="150">
        <v>56931</v>
      </c>
      <c r="R339" s="150">
        <v>1</v>
      </c>
      <c r="S339" s="150">
        <v>332.1</v>
      </c>
      <c r="U339" s="150">
        <v>189.06800000000001</v>
      </c>
      <c r="V339" s="166">
        <v>1.139E-3</v>
      </c>
      <c r="W339" s="166">
        <v>6.96962827927275E-4</v>
      </c>
      <c r="X339" s="166">
        <v>1.02794865586714E-4</v>
      </c>
    </row>
    <row r="340" spans="1:24">
      <c r="A340" s="4" t="s">
        <v>256</v>
      </c>
      <c r="B340" s="4">
        <v>7205</v>
      </c>
      <c r="C340" s="4" t="s">
        <v>1935</v>
      </c>
      <c r="D340" s="4" t="s">
        <v>1936</v>
      </c>
      <c r="E340" s="4" t="s">
        <v>1552</v>
      </c>
      <c r="F340" s="4" t="s">
        <v>1937</v>
      </c>
      <c r="G340" s="4" t="s">
        <v>1938</v>
      </c>
      <c r="H340" s="4" t="s">
        <v>511</v>
      </c>
      <c r="I340" s="4" t="s">
        <v>1121</v>
      </c>
      <c r="J340" s="4" t="s">
        <v>31</v>
      </c>
      <c r="K340" s="4" t="s">
        <v>31</v>
      </c>
      <c r="L340" s="2" t="s">
        <v>517</v>
      </c>
      <c r="M340" s="2" t="s">
        <v>32</v>
      </c>
      <c r="N340" s="4" t="s">
        <v>644</v>
      </c>
      <c r="O340" s="4" t="s">
        <v>312</v>
      </c>
      <c r="P340" s="4" t="s">
        <v>35</v>
      </c>
      <c r="Q340" s="150">
        <v>5422</v>
      </c>
      <c r="R340" s="150">
        <v>1</v>
      </c>
      <c r="S340" s="150">
        <v>5050</v>
      </c>
      <c r="U340" s="150">
        <v>273.81099999999998</v>
      </c>
      <c r="V340" s="166">
        <v>2.1100000000000001E-4</v>
      </c>
      <c r="W340" s="166">
        <v>1.00935239845507E-3</v>
      </c>
      <c r="X340" s="166">
        <v>1.4886912181153299E-4</v>
      </c>
    </row>
    <row r="341" spans="1:24">
      <c r="A341" s="4" t="s">
        <v>256</v>
      </c>
      <c r="B341" s="4">
        <v>7205</v>
      </c>
      <c r="C341" s="4" t="s">
        <v>1939</v>
      </c>
      <c r="D341" s="4" t="s">
        <v>1940</v>
      </c>
      <c r="E341" s="4" t="s">
        <v>1552</v>
      </c>
      <c r="F341" s="4" t="s">
        <v>1941</v>
      </c>
      <c r="G341" s="4" t="s">
        <v>1942</v>
      </c>
      <c r="H341" s="4" t="s">
        <v>511</v>
      </c>
      <c r="I341" s="4" t="s">
        <v>1121</v>
      </c>
      <c r="J341" s="4" t="s">
        <v>31</v>
      </c>
      <c r="K341" s="4" t="s">
        <v>31</v>
      </c>
      <c r="L341" s="2" t="s">
        <v>517</v>
      </c>
      <c r="M341" s="2" t="s">
        <v>32</v>
      </c>
      <c r="N341" s="4" t="s">
        <v>673</v>
      </c>
      <c r="O341" s="4" t="s">
        <v>312</v>
      </c>
      <c r="P341" s="4" t="s">
        <v>35</v>
      </c>
      <c r="Q341" s="150">
        <v>14179</v>
      </c>
      <c r="R341" s="150">
        <v>1</v>
      </c>
      <c r="S341" s="150">
        <v>1535</v>
      </c>
      <c r="U341" s="150">
        <v>217.648</v>
      </c>
      <c r="V341" s="166">
        <v>7.6000000000000004E-5</v>
      </c>
      <c r="W341" s="166">
        <v>8.0231684463227804E-4</v>
      </c>
      <c r="X341" s="166">
        <v>1.18333502013593E-4</v>
      </c>
    </row>
    <row r="342" spans="1:24">
      <c r="A342" s="4" t="s">
        <v>256</v>
      </c>
      <c r="B342" s="4">
        <v>7205</v>
      </c>
      <c r="C342" s="4" t="s">
        <v>1943</v>
      </c>
      <c r="D342" s="4" t="s">
        <v>1944</v>
      </c>
      <c r="E342" s="4" t="s">
        <v>1552</v>
      </c>
      <c r="F342" s="4" t="s">
        <v>1945</v>
      </c>
      <c r="G342" s="4" t="s">
        <v>1946</v>
      </c>
      <c r="H342" s="4" t="s">
        <v>511</v>
      </c>
      <c r="I342" s="4" t="s">
        <v>1121</v>
      </c>
      <c r="J342" s="4" t="s">
        <v>31</v>
      </c>
      <c r="K342" s="4" t="s">
        <v>489</v>
      </c>
      <c r="L342" s="2" t="s">
        <v>517</v>
      </c>
      <c r="M342" s="2" t="s">
        <v>32</v>
      </c>
      <c r="N342" s="4" t="s">
        <v>646</v>
      </c>
      <c r="O342" s="4" t="s">
        <v>312</v>
      </c>
      <c r="P342" s="4" t="s">
        <v>35</v>
      </c>
      <c r="Q342" s="150">
        <v>15264</v>
      </c>
      <c r="R342" s="150">
        <v>1</v>
      </c>
      <c r="S342" s="150">
        <v>22930</v>
      </c>
      <c r="U342" s="150">
        <v>3500.0349999999999</v>
      </c>
      <c r="V342" s="166">
        <v>1.1800000000000001E-3</v>
      </c>
      <c r="W342" s="166">
        <v>1.2902216944524401E-2</v>
      </c>
      <c r="X342" s="166">
        <v>1.9029446097251601E-3</v>
      </c>
    </row>
    <row r="343" spans="1:24">
      <c r="A343" s="4" t="s">
        <v>256</v>
      </c>
      <c r="B343" s="4">
        <v>7205</v>
      </c>
      <c r="C343" s="4" t="s">
        <v>1947</v>
      </c>
      <c r="D343" s="4" t="s">
        <v>1948</v>
      </c>
      <c r="E343" s="4" t="s">
        <v>1552</v>
      </c>
      <c r="F343" s="4" t="s">
        <v>1949</v>
      </c>
      <c r="G343" s="4" t="s">
        <v>1950</v>
      </c>
      <c r="H343" s="4" t="s">
        <v>511</v>
      </c>
      <c r="I343" s="4" t="s">
        <v>1121</v>
      </c>
      <c r="J343" s="4" t="s">
        <v>31</v>
      </c>
      <c r="K343" s="4" t="s">
        <v>31</v>
      </c>
      <c r="L343" s="2" t="s">
        <v>517</v>
      </c>
      <c r="M343" s="2" t="s">
        <v>32</v>
      </c>
      <c r="N343" s="4" t="s">
        <v>635</v>
      </c>
      <c r="O343" s="4" t="s">
        <v>312</v>
      </c>
      <c r="P343" s="4" t="s">
        <v>35</v>
      </c>
      <c r="Q343" s="150">
        <v>6549</v>
      </c>
      <c r="R343" s="150">
        <v>1</v>
      </c>
      <c r="S343" s="150">
        <v>7294</v>
      </c>
      <c r="U343" s="150">
        <v>477.68400000000003</v>
      </c>
      <c r="V343" s="166">
        <v>3.1100000000000002E-4</v>
      </c>
      <c r="W343" s="166">
        <v>1.7608918256196899E-3</v>
      </c>
      <c r="X343" s="166">
        <v>2.5971347577550901E-4</v>
      </c>
    </row>
    <row r="344" spans="1:24">
      <c r="A344" s="4" t="s">
        <v>256</v>
      </c>
      <c r="B344" s="4">
        <v>7205</v>
      </c>
      <c r="C344" s="4" t="s">
        <v>2062</v>
      </c>
      <c r="D344" s="4" t="s">
        <v>2063</v>
      </c>
      <c r="E344" s="4" t="s">
        <v>1552</v>
      </c>
      <c r="F344" s="4" t="s">
        <v>2064</v>
      </c>
      <c r="G344" s="4" t="s">
        <v>2065</v>
      </c>
      <c r="H344" s="4" t="s">
        <v>511</v>
      </c>
      <c r="I344" s="4" t="s">
        <v>1121</v>
      </c>
      <c r="J344" s="4" t="s">
        <v>31</v>
      </c>
      <c r="K344" s="4" t="s">
        <v>155</v>
      </c>
      <c r="L344" s="2" t="s">
        <v>517</v>
      </c>
      <c r="M344" s="2" t="s">
        <v>32</v>
      </c>
      <c r="N344" s="4" t="s">
        <v>646</v>
      </c>
      <c r="O344" s="4" t="s">
        <v>312</v>
      </c>
      <c r="P344" s="4" t="s">
        <v>35</v>
      </c>
      <c r="Q344" s="150">
        <v>19139</v>
      </c>
      <c r="R344" s="150">
        <v>1</v>
      </c>
      <c r="S344" s="150">
        <v>14290</v>
      </c>
      <c r="U344" s="150">
        <v>2734.9630000000002</v>
      </c>
      <c r="V344" s="166">
        <v>4.4400000000000004E-3</v>
      </c>
      <c r="W344" s="166">
        <v>1.0081923533645801E-2</v>
      </c>
      <c r="X344" s="166">
        <v>1.48698027063905E-3</v>
      </c>
    </row>
    <row r="345" spans="1:24">
      <c r="A345" s="4" t="s">
        <v>256</v>
      </c>
      <c r="B345" s="4">
        <v>7205</v>
      </c>
      <c r="C345" s="4" t="s">
        <v>2066</v>
      </c>
      <c r="D345" s="4" t="s">
        <v>2067</v>
      </c>
      <c r="E345" s="4" t="s">
        <v>1552</v>
      </c>
      <c r="F345" s="4" t="s">
        <v>2068</v>
      </c>
      <c r="G345" s="4" t="s">
        <v>2069</v>
      </c>
      <c r="H345" s="4" t="s">
        <v>511</v>
      </c>
      <c r="I345" s="4" t="s">
        <v>1121</v>
      </c>
      <c r="J345" s="4" t="s">
        <v>31</v>
      </c>
      <c r="K345" s="4" t="s">
        <v>31</v>
      </c>
      <c r="L345" s="2" t="s">
        <v>517</v>
      </c>
      <c r="M345" s="2" t="s">
        <v>32</v>
      </c>
      <c r="N345" s="4" t="s">
        <v>651</v>
      </c>
      <c r="O345" s="4" t="s">
        <v>312</v>
      </c>
      <c r="P345" s="4" t="s">
        <v>35</v>
      </c>
      <c r="Q345" s="150">
        <v>2745</v>
      </c>
      <c r="R345" s="150">
        <v>1</v>
      </c>
      <c r="S345" s="150">
        <v>19350</v>
      </c>
      <c r="U345" s="150">
        <v>531.15800000000002</v>
      </c>
      <c r="V345" s="166">
        <v>1.214E-3</v>
      </c>
      <c r="W345" s="166">
        <v>1.9580115356300398E-3</v>
      </c>
      <c r="X345" s="166">
        <v>2.8878661035754399E-4</v>
      </c>
    </row>
    <row r="346" spans="1:24">
      <c r="A346" s="4" t="s">
        <v>256</v>
      </c>
      <c r="B346" s="4">
        <v>7205</v>
      </c>
      <c r="C346" s="4" t="s">
        <v>1951</v>
      </c>
      <c r="D346" s="4" t="s">
        <v>1952</v>
      </c>
      <c r="E346" s="4" t="s">
        <v>1552</v>
      </c>
      <c r="F346" s="4" t="s">
        <v>1953</v>
      </c>
      <c r="G346" s="4" t="s">
        <v>1954</v>
      </c>
      <c r="H346" s="4" t="s">
        <v>511</v>
      </c>
      <c r="I346" s="4" t="s">
        <v>1121</v>
      </c>
      <c r="J346" s="4" t="s">
        <v>31</v>
      </c>
      <c r="K346" s="4" t="s">
        <v>489</v>
      </c>
      <c r="L346" s="2" t="s">
        <v>517</v>
      </c>
      <c r="M346" s="2" t="s">
        <v>32</v>
      </c>
      <c r="N346" s="4" t="s">
        <v>646</v>
      </c>
      <c r="O346" s="4" t="s">
        <v>312</v>
      </c>
      <c r="P346" s="4" t="s">
        <v>35</v>
      </c>
      <c r="Q346" s="150">
        <v>2711</v>
      </c>
      <c r="R346" s="150">
        <v>1</v>
      </c>
      <c r="S346" s="150">
        <v>47200</v>
      </c>
      <c r="U346" s="150">
        <v>1279.5920000000001</v>
      </c>
      <c r="V346" s="166">
        <v>6.0999999999999999E-5</v>
      </c>
      <c r="W346" s="166">
        <v>4.71697358485932E-3</v>
      </c>
      <c r="X346" s="166">
        <v>6.9570520292122498E-4</v>
      </c>
    </row>
    <row r="347" spans="1:24">
      <c r="A347" s="4" t="s">
        <v>256</v>
      </c>
      <c r="B347" s="4">
        <v>7205</v>
      </c>
      <c r="C347" s="4" t="s">
        <v>1955</v>
      </c>
      <c r="D347" s="4" t="s">
        <v>1956</v>
      </c>
      <c r="E347" s="4" t="s">
        <v>505</v>
      </c>
      <c r="F347" s="4" t="s">
        <v>1957</v>
      </c>
      <c r="G347" s="4" t="s">
        <v>1958</v>
      </c>
      <c r="H347" s="4" t="s">
        <v>511</v>
      </c>
      <c r="I347" s="4" t="s">
        <v>1121</v>
      </c>
      <c r="J347" s="4" t="s">
        <v>31</v>
      </c>
      <c r="K347" s="4" t="s">
        <v>31</v>
      </c>
      <c r="L347" s="2" t="s">
        <v>517</v>
      </c>
      <c r="M347" s="2" t="s">
        <v>32</v>
      </c>
      <c r="N347" s="4" t="s">
        <v>639</v>
      </c>
      <c r="O347" s="4" t="s">
        <v>312</v>
      </c>
      <c r="P347" s="4" t="s">
        <v>35</v>
      </c>
      <c r="Q347" s="150">
        <v>40595</v>
      </c>
      <c r="R347" s="150">
        <v>1</v>
      </c>
      <c r="S347" s="150">
        <v>9392</v>
      </c>
      <c r="U347" s="150">
        <v>3812.6819999999998</v>
      </c>
      <c r="V347" s="166">
        <v>7.6499999999999995E-4</v>
      </c>
      <c r="W347" s="166">
        <v>1.4054731639661699E-2</v>
      </c>
      <c r="X347" s="166">
        <v>2.0729287013096201E-3</v>
      </c>
    </row>
    <row r="348" spans="1:24">
      <c r="A348" s="4" t="s">
        <v>256</v>
      </c>
      <c r="B348" s="4">
        <v>7205</v>
      </c>
      <c r="C348" s="4" t="s">
        <v>2070</v>
      </c>
      <c r="D348" s="4" t="s">
        <v>2071</v>
      </c>
      <c r="E348" s="4" t="s">
        <v>1552</v>
      </c>
      <c r="F348" s="4" t="s">
        <v>2072</v>
      </c>
      <c r="G348" s="4" t="s">
        <v>2073</v>
      </c>
      <c r="H348" s="4" t="s">
        <v>511</v>
      </c>
      <c r="I348" s="4" t="s">
        <v>1121</v>
      </c>
      <c r="J348" s="4" t="s">
        <v>31</v>
      </c>
      <c r="K348" s="4" t="s">
        <v>31</v>
      </c>
      <c r="L348" s="2" t="s">
        <v>517</v>
      </c>
      <c r="M348" s="2" t="s">
        <v>32</v>
      </c>
      <c r="N348" s="4" t="s">
        <v>638</v>
      </c>
      <c r="O348" s="4" t="s">
        <v>312</v>
      </c>
      <c r="P348" s="4" t="s">
        <v>35</v>
      </c>
      <c r="Q348" s="150">
        <v>1103056.3</v>
      </c>
      <c r="R348" s="150">
        <v>1</v>
      </c>
      <c r="S348" s="150">
        <v>53.9</v>
      </c>
      <c r="U348" s="150">
        <v>594.54700000000003</v>
      </c>
      <c r="V348" s="166">
        <v>7.4339999999999996E-3</v>
      </c>
      <c r="W348" s="166">
        <v>2.1916861973309601E-3</v>
      </c>
      <c r="X348" s="166">
        <v>3.23251225223739E-4</v>
      </c>
    </row>
    <row r="349" spans="1:24">
      <c r="A349" s="4" t="s">
        <v>256</v>
      </c>
      <c r="B349" s="4">
        <v>7205</v>
      </c>
      <c r="C349" s="4" t="s">
        <v>1959</v>
      </c>
      <c r="D349" s="4" t="s">
        <v>1960</v>
      </c>
      <c r="E349" s="4" t="s">
        <v>1552</v>
      </c>
      <c r="F349" s="4" t="s">
        <v>1961</v>
      </c>
      <c r="G349" s="4" t="s">
        <v>1962</v>
      </c>
      <c r="H349" s="4" t="s">
        <v>511</v>
      </c>
      <c r="I349" s="4" t="s">
        <v>1121</v>
      </c>
      <c r="J349" s="4" t="s">
        <v>31</v>
      </c>
      <c r="K349" s="4" t="s">
        <v>31</v>
      </c>
      <c r="L349" s="2" t="s">
        <v>517</v>
      </c>
      <c r="M349" s="2" t="s">
        <v>32</v>
      </c>
      <c r="N349" s="4" t="s">
        <v>647</v>
      </c>
      <c r="O349" s="4" t="s">
        <v>312</v>
      </c>
      <c r="P349" s="4" t="s">
        <v>35</v>
      </c>
      <c r="Q349" s="150">
        <v>5518</v>
      </c>
      <c r="R349" s="150">
        <v>1</v>
      </c>
      <c r="S349" s="150">
        <v>6285</v>
      </c>
      <c r="U349" s="150">
        <v>346.80599999999998</v>
      </c>
      <c r="V349" s="166">
        <v>4.3899999999999999E-4</v>
      </c>
      <c r="W349" s="166">
        <v>1.2784357483969901E-3</v>
      </c>
      <c r="X349" s="166">
        <v>1.8855615486487799E-4</v>
      </c>
    </row>
    <row r="350" spans="1:24">
      <c r="A350" s="4" t="s">
        <v>256</v>
      </c>
      <c r="B350" s="4">
        <v>7205</v>
      </c>
      <c r="C350" s="4" t="s">
        <v>2074</v>
      </c>
      <c r="D350" s="4" t="s">
        <v>2075</v>
      </c>
      <c r="E350" s="4" t="s">
        <v>1552</v>
      </c>
      <c r="F350" s="4" t="s">
        <v>2076</v>
      </c>
      <c r="G350" s="4" t="s">
        <v>2077</v>
      </c>
      <c r="H350" s="4" t="s">
        <v>511</v>
      </c>
      <c r="I350" s="4" t="s">
        <v>1121</v>
      </c>
      <c r="J350" s="4" t="s">
        <v>31</v>
      </c>
      <c r="K350" s="4" t="s">
        <v>31</v>
      </c>
      <c r="L350" s="2" t="s">
        <v>517</v>
      </c>
      <c r="M350" s="2" t="s">
        <v>32</v>
      </c>
      <c r="N350" s="4" t="s">
        <v>650</v>
      </c>
      <c r="O350" s="4" t="s">
        <v>312</v>
      </c>
      <c r="P350" s="4" t="s">
        <v>35</v>
      </c>
      <c r="Q350" s="150">
        <v>17673.25</v>
      </c>
      <c r="R350" s="150">
        <v>1</v>
      </c>
      <c r="S350" s="150">
        <v>2835</v>
      </c>
      <c r="U350" s="150">
        <v>501.03699999999998</v>
      </c>
      <c r="V350" s="166">
        <v>4.1920000000000004E-3</v>
      </c>
      <c r="W350" s="166">
        <v>1.84697668017167E-3</v>
      </c>
      <c r="X350" s="166">
        <v>2.7241010850560598E-4</v>
      </c>
    </row>
    <row r="351" spans="1:24">
      <c r="A351" s="4" t="s">
        <v>256</v>
      </c>
      <c r="B351" s="4">
        <v>7205</v>
      </c>
      <c r="C351" s="4" t="s">
        <v>1963</v>
      </c>
      <c r="D351" s="4" t="s">
        <v>1964</v>
      </c>
      <c r="E351" s="4" t="s">
        <v>1552</v>
      </c>
      <c r="F351" s="4" t="s">
        <v>1965</v>
      </c>
      <c r="G351" s="4" t="s">
        <v>1966</v>
      </c>
      <c r="H351" s="4" t="s">
        <v>511</v>
      </c>
      <c r="I351" s="4" t="s">
        <v>1121</v>
      </c>
      <c r="J351" s="4" t="s">
        <v>31</v>
      </c>
      <c r="K351" s="4" t="s">
        <v>31</v>
      </c>
      <c r="L351" s="2" t="s">
        <v>517</v>
      </c>
      <c r="M351" s="2" t="s">
        <v>32</v>
      </c>
      <c r="N351" s="4" t="s">
        <v>644</v>
      </c>
      <c r="O351" s="4" t="s">
        <v>312</v>
      </c>
      <c r="P351" s="4" t="s">
        <v>35</v>
      </c>
      <c r="Q351" s="150">
        <v>209179</v>
      </c>
      <c r="R351" s="150">
        <v>1</v>
      </c>
      <c r="S351" s="150">
        <v>207.6</v>
      </c>
      <c r="U351" s="150">
        <v>434.25599999999997</v>
      </c>
      <c r="V351" s="166">
        <v>2.4489999999999998E-3</v>
      </c>
      <c r="W351" s="166">
        <v>1.6008010468533201E-3</v>
      </c>
      <c r="X351" s="166">
        <v>2.3610172859825601E-4</v>
      </c>
    </row>
    <row r="352" spans="1:24">
      <c r="A352" s="4" t="s">
        <v>256</v>
      </c>
      <c r="B352" s="4">
        <v>7205</v>
      </c>
      <c r="C352" s="4" t="s">
        <v>1967</v>
      </c>
      <c r="D352" s="4" t="s">
        <v>1968</v>
      </c>
      <c r="E352" s="4" t="s">
        <v>1552</v>
      </c>
      <c r="F352" s="4" t="s">
        <v>1969</v>
      </c>
      <c r="G352" s="4" t="s">
        <v>1970</v>
      </c>
      <c r="H352" s="4" t="s">
        <v>511</v>
      </c>
      <c r="I352" s="4" t="s">
        <v>1121</v>
      </c>
      <c r="J352" s="4" t="s">
        <v>31</v>
      </c>
      <c r="K352" s="4" t="s">
        <v>31</v>
      </c>
      <c r="L352" s="2" t="s">
        <v>517</v>
      </c>
      <c r="M352" s="2" t="s">
        <v>32</v>
      </c>
      <c r="N352" s="4" t="s">
        <v>664</v>
      </c>
      <c r="O352" s="4" t="s">
        <v>312</v>
      </c>
      <c r="P352" s="4" t="s">
        <v>35</v>
      </c>
      <c r="Q352" s="150">
        <v>11492</v>
      </c>
      <c r="R352" s="150">
        <v>1</v>
      </c>
      <c r="S352" s="150">
        <v>5970</v>
      </c>
      <c r="U352" s="150">
        <v>686.072</v>
      </c>
      <c r="V352" s="166">
        <v>2.3699999999999999E-4</v>
      </c>
      <c r="W352" s="166">
        <v>2.5290759774217399E-3</v>
      </c>
      <c r="X352" s="166">
        <v>3.73012755832056E-4</v>
      </c>
    </row>
    <row r="353" spans="1:24">
      <c r="A353" s="4" t="s">
        <v>256</v>
      </c>
      <c r="B353" s="4">
        <v>7205</v>
      </c>
      <c r="C353" s="4" t="s">
        <v>1971</v>
      </c>
      <c r="D353" s="4" t="s">
        <v>1972</v>
      </c>
      <c r="E353" s="4" t="s">
        <v>1552</v>
      </c>
      <c r="F353" s="4" t="s">
        <v>1973</v>
      </c>
      <c r="G353" s="4" t="s">
        <v>1974</v>
      </c>
      <c r="H353" s="4" t="s">
        <v>511</v>
      </c>
      <c r="I353" s="4" t="s">
        <v>1121</v>
      </c>
      <c r="J353" s="4" t="s">
        <v>31</v>
      </c>
      <c r="K353" s="4" t="s">
        <v>31</v>
      </c>
      <c r="L353" s="2" t="s">
        <v>517</v>
      </c>
      <c r="M353" s="2" t="s">
        <v>32</v>
      </c>
      <c r="N353" s="4" t="s">
        <v>644</v>
      </c>
      <c r="O353" s="4" t="s">
        <v>312</v>
      </c>
      <c r="P353" s="4" t="s">
        <v>35</v>
      </c>
      <c r="Q353" s="150">
        <v>15179</v>
      </c>
      <c r="R353" s="150">
        <v>1</v>
      </c>
      <c r="S353" s="150">
        <v>1190</v>
      </c>
      <c r="U353" s="150">
        <v>180.63</v>
      </c>
      <c r="V353" s="166">
        <v>9.1E-4</v>
      </c>
      <c r="W353" s="166">
        <v>6.6585865676754602E-4</v>
      </c>
      <c r="X353" s="166">
        <v>9.8207319500419804E-5</v>
      </c>
    </row>
    <row r="354" spans="1:24">
      <c r="A354" s="4" t="s">
        <v>256</v>
      </c>
      <c r="B354" s="4">
        <v>7205</v>
      </c>
      <c r="C354" s="4" t="s">
        <v>1975</v>
      </c>
      <c r="D354" s="4" t="s">
        <v>1976</v>
      </c>
      <c r="E354" s="4" t="s">
        <v>1552</v>
      </c>
      <c r="F354" s="4" t="s">
        <v>1977</v>
      </c>
      <c r="G354" s="4" t="s">
        <v>1978</v>
      </c>
      <c r="H354" s="4" t="s">
        <v>511</v>
      </c>
      <c r="I354" s="4" t="s">
        <v>1121</v>
      </c>
      <c r="J354" s="4" t="s">
        <v>31</v>
      </c>
      <c r="K354" s="4" t="s">
        <v>31</v>
      </c>
      <c r="L354" s="2" t="s">
        <v>517</v>
      </c>
      <c r="M354" s="2" t="s">
        <v>32</v>
      </c>
      <c r="N354" s="4" t="s">
        <v>664</v>
      </c>
      <c r="O354" s="4" t="s">
        <v>312</v>
      </c>
      <c r="P354" s="4" t="s">
        <v>35</v>
      </c>
      <c r="Q354" s="150">
        <v>208462</v>
      </c>
      <c r="R354" s="150">
        <v>1</v>
      </c>
      <c r="S354" s="150">
        <v>2472</v>
      </c>
      <c r="U354" s="150">
        <v>5153.1809999999996</v>
      </c>
      <c r="V354" s="166">
        <v>7.5900000000000002E-4</v>
      </c>
      <c r="W354" s="166">
        <v>1.8996224544142501E-2</v>
      </c>
      <c r="X354" s="166">
        <v>2.8017482000832501E-3</v>
      </c>
    </row>
    <row r="355" spans="1:24">
      <c r="A355" s="4" t="s">
        <v>256</v>
      </c>
      <c r="B355" s="4">
        <v>7205</v>
      </c>
      <c r="C355" s="4" t="s">
        <v>1979</v>
      </c>
      <c r="D355" s="4" t="s">
        <v>1980</v>
      </c>
      <c r="E355" s="4" t="s">
        <v>1552</v>
      </c>
      <c r="F355" s="4" t="s">
        <v>1981</v>
      </c>
      <c r="G355" s="4" t="s">
        <v>1982</v>
      </c>
      <c r="H355" s="4" t="s">
        <v>511</v>
      </c>
      <c r="I355" s="4" t="s">
        <v>1121</v>
      </c>
      <c r="J355" s="4" t="s">
        <v>31</v>
      </c>
      <c r="K355" s="4" t="s">
        <v>31</v>
      </c>
      <c r="L355" s="2" t="s">
        <v>517</v>
      </c>
      <c r="M355" s="2" t="s">
        <v>32</v>
      </c>
      <c r="N355" s="4" t="s">
        <v>647</v>
      </c>
      <c r="O355" s="4" t="s">
        <v>312</v>
      </c>
      <c r="P355" s="4" t="s">
        <v>35</v>
      </c>
      <c r="Q355" s="150">
        <v>91084</v>
      </c>
      <c r="R355" s="150">
        <v>1</v>
      </c>
      <c r="S355" s="150">
        <v>5599</v>
      </c>
      <c r="U355" s="150">
        <v>5099.7929999999997</v>
      </c>
      <c r="V355" s="166">
        <v>7.8200000000000003E-4</v>
      </c>
      <c r="W355" s="166">
        <v>1.8799421709393499E-2</v>
      </c>
      <c r="X355" s="166">
        <v>2.7727218013508001E-3</v>
      </c>
    </row>
    <row r="356" spans="1:24">
      <c r="A356" s="4" t="s">
        <v>256</v>
      </c>
      <c r="B356" s="4">
        <v>7205</v>
      </c>
      <c r="C356" s="4" t="s">
        <v>1983</v>
      </c>
      <c r="D356" s="4" t="s">
        <v>1984</v>
      </c>
      <c r="E356" s="4" t="s">
        <v>1552</v>
      </c>
      <c r="F356" s="4" t="s">
        <v>1985</v>
      </c>
      <c r="G356" s="4" t="s">
        <v>1986</v>
      </c>
      <c r="H356" s="4" t="s">
        <v>511</v>
      </c>
      <c r="I356" s="4" t="s">
        <v>1121</v>
      </c>
      <c r="J356" s="4" t="s">
        <v>31</v>
      </c>
      <c r="K356" s="4" t="s">
        <v>489</v>
      </c>
      <c r="L356" s="2" t="s">
        <v>517</v>
      </c>
      <c r="M356" s="2" t="s">
        <v>32</v>
      </c>
      <c r="N356" s="4" t="s">
        <v>643</v>
      </c>
      <c r="O356" s="4" t="s">
        <v>312</v>
      </c>
      <c r="P356" s="4" t="s">
        <v>35</v>
      </c>
      <c r="Q356" s="150">
        <v>23242</v>
      </c>
      <c r="R356" s="150">
        <v>1</v>
      </c>
      <c r="S356" s="150">
        <v>5620</v>
      </c>
      <c r="U356" s="150">
        <v>1306.2</v>
      </c>
      <c r="V356" s="166">
        <v>2.1699999999999999E-4</v>
      </c>
      <c r="W356" s="166">
        <v>4.8150604124851297E-3</v>
      </c>
      <c r="X356" s="166">
        <v>7.1017200352751901E-4</v>
      </c>
    </row>
    <row r="357" spans="1:24">
      <c r="A357" s="4" t="s">
        <v>256</v>
      </c>
      <c r="B357" s="4">
        <v>7205</v>
      </c>
      <c r="C357" s="4" t="s">
        <v>2078</v>
      </c>
      <c r="D357" s="4" t="s">
        <v>2079</v>
      </c>
      <c r="E357" s="4" t="s">
        <v>1552</v>
      </c>
      <c r="F357" s="4" t="s">
        <v>2080</v>
      </c>
      <c r="G357" s="4" t="s">
        <v>2081</v>
      </c>
      <c r="H357" s="4" t="s">
        <v>511</v>
      </c>
      <c r="I357" s="4" t="s">
        <v>1121</v>
      </c>
      <c r="J357" s="4" t="s">
        <v>31</v>
      </c>
      <c r="K357" s="4" t="s">
        <v>31</v>
      </c>
      <c r="L357" s="2" t="s">
        <v>517</v>
      </c>
      <c r="M357" s="2" t="s">
        <v>32</v>
      </c>
      <c r="N357" s="4" t="s">
        <v>639</v>
      </c>
      <c r="O357" s="4" t="s">
        <v>312</v>
      </c>
      <c r="P357" s="4" t="s">
        <v>35</v>
      </c>
      <c r="Q357" s="150">
        <v>21759</v>
      </c>
      <c r="R357" s="150">
        <v>1</v>
      </c>
      <c r="S357" s="150">
        <v>877</v>
      </c>
      <c r="U357" s="150">
        <v>190.82599999999999</v>
      </c>
      <c r="V357" s="166">
        <v>3.3270000000000001E-3</v>
      </c>
      <c r="W357" s="166">
        <v>7.0344549637931897E-4</v>
      </c>
      <c r="X357" s="166">
        <v>1.03750992664758E-4</v>
      </c>
    </row>
    <row r="358" spans="1:24">
      <c r="A358" s="4" t="s">
        <v>256</v>
      </c>
      <c r="B358" s="4">
        <v>7205</v>
      </c>
      <c r="C358" s="4" t="s">
        <v>1987</v>
      </c>
      <c r="D358" s="4" t="s">
        <v>1988</v>
      </c>
      <c r="E358" s="4" t="s">
        <v>1552</v>
      </c>
      <c r="F358" s="4" t="s">
        <v>1989</v>
      </c>
      <c r="G358" s="4" t="s">
        <v>1990</v>
      </c>
      <c r="H358" s="4" t="s">
        <v>511</v>
      </c>
      <c r="I358" s="4" t="s">
        <v>1121</v>
      </c>
      <c r="J358" s="4" t="s">
        <v>31</v>
      </c>
      <c r="K358" s="4" t="s">
        <v>489</v>
      </c>
      <c r="L358" s="2" t="s">
        <v>517</v>
      </c>
      <c r="M358" s="2" t="s">
        <v>32</v>
      </c>
      <c r="N358" s="4" t="s">
        <v>647</v>
      </c>
      <c r="O358" s="4" t="s">
        <v>312</v>
      </c>
      <c r="P358" s="4" t="s">
        <v>35</v>
      </c>
      <c r="Q358" s="150">
        <v>117558</v>
      </c>
      <c r="R358" s="150">
        <v>1</v>
      </c>
      <c r="S358" s="150">
        <v>1708</v>
      </c>
      <c r="U358" s="150">
        <v>2007.8910000000001</v>
      </c>
      <c r="V358" s="166">
        <v>1.175E-3</v>
      </c>
      <c r="W358" s="166">
        <v>7.4017085994334698E-3</v>
      </c>
      <c r="X358" s="166">
        <v>1.09167606951656E-3</v>
      </c>
    </row>
    <row r="359" spans="1:24">
      <c r="A359" s="4" t="s">
        <v>256</v>
      </c>
      <c r="B359" s="4">
        <v>7205</v>
      </c>
      <c r="C359" s="4" t="s">
        <v>2082</v>
      </c>
      <c r="D359" s="4" t="s">
        <v>2083</v>
      </c>
      <c r="E359" s="4" t="s">
        <v>1552</v>
      </c>
      <c r="F359" s="4" t="s">
        <v>2084</v>
      </c>
      <c r="G359" s="4" t="s">
        <v>2085</v>
      </c>
      <c r="H359" s="4" t="s">
        <v>511</v>
      </c>
      <c r="I359" s="4" t="s">
        <v>1121</v>
      </c>
      <c r="J359" s="4" t="s">
        <v>31</v>
      </c>
      <c r="K359" s="4" t="s">
        <v>31</v>
      </c>
      <c r="L359" s="2" t="s">
        <v>517</v>
      </c>
      <c r="M359" s="2" t="s">
        <v>32</v>
      </c>
      <c r="N359" s="4" t="s">
        <v>635</v>
      </c>
      <c r="O359" s="4" t="s">
        <v>312</v>
      </c>
      <c r="P359" s="4" t="s">
        <v>35</v>
      </c>
      <c r="Q359" s="150">
        <v>23032</v>
      </c>
      <c r="R359" s="150">
        <v>1</v>
      </c>
      <c r="S359" s="150">
        <v>1048</v>
      </c>
      <c r="U359" s="150">
        <v>241.375</v>
      </c>
      <c r="V359" s="166">
        <v>3.6909999999999998E-3</v>
      </c>
      <c r="W359" s="166">
        <v>8.8978455410467395E-4</v>
      </c>
      <c r="X359" s="166">
        <v>1.3123409165498399E-4</v>
      </c>
    </row>
    <row r="360" spans="1:24">
      <c r="A360" s="4" t="s">
        <v>256</v>
      </c>
      <c r="B360" s="4">
        <v>7205</v>
      </c>
      <c r="C360" s="4" t="s">
        <v>2086</v>
      </c>
      <c r="D360" s="4" t="s">
        <v>2087</v>
      </c>
      <c r="E360" s="4" t="s">
        <v>505</v>
      </c>
      <c r="F360" s="4" t="s">
        <v>2088</v>
      </c>
      <c r="G360" s="4" t="s">
        <v>2089</v>
      </c>
      <c r="H360" s="4" t="s">
        <v>511</v>
      </c>
      <c r="I360" s="4" t="s">
        <v>1121</v>
      </c>
      <c r="J360" s="4" t="s">
        <v>154</v>
      </c>
      <c r="K360" s="4" t="s">
        <v>431</v>
      </c>
      <c r="L360" s="2" t="s">
        <v>517</v>
      </c>
      <c r="M360" s="2" t="s">
        <v>557</v>
      </c>
      <c r="N360" s="4" t="s">
        <v>757</v>
      </c>
      <c r="O360" s="4" t="s">
        <v>312</v>
      </c>
      <c r="P360" s="4" t="s">
        <v>169</v>
      </c>
      <c r="Q360" s="150">
        <v>194328.18299999999</v>
      </c>
      <c r="R360" s="150">
        <v>4.0199999999999996</v>
      </c>
      <c r="S360" s="150">
        <v>1.966</v>
      </c>
      <c r="U360" s="150">
        <v>1535.5239999999999</v>
      </c>
      <c r="V360" s="166">
        <v>2.33E-4</v>
      </c>
      <c r="W360" s="166">
        <v>5.6604169833542302E-3</v>
      </c>
      <c r="X360" s="166">
        <v>8.3485342353059903E-4</v>
      </c>
    </row>
    <row r="361" spans="1:24">
      <c r="A361" s="4" t="s">
        <v>256</v>
      </c>
      <c r="B361" s="4">
        <v>7205</v>
      </c>
      <c r="C361" s="4" t="s">
        <v>2090</v>
      </c>
      <c r="D361" s="4" t="s">
        <v>2091</v>
      </c>
      <c r="E361" s="4" t="s">
        <v>505</v>
      </c>
      <c r="F361" s="4" t="s">
        <v>2092</v>
      </c>
      <c r="G361" s="4" t="s">
        <v>2093</v>
      </c>
      <c r="H361" s="4" t="s">
        <v>511</v>
      </c>
      <c r="I361" s="4" t="s">
        <v>1121</v>
      </c>
      <c r="J361" s="4" t="s">
        <v>154</v>
      </c>
      <c r="K361" s="4" t="s">
        <v>426</v>
      </c>
      <c r="L361" s="2" t="s">
        <v>517</v>
      </c>
      <c r="M361" s="2" t="s">
        <v>535</v>
      </c>
      <c r="N361" s="4" t="s">
        <v>723</v>
      </c>
      <c r="O361" s="4" t="s">
        <v>312</v>
      </c>
      <c r="P361" s="4" t="s">
        <v>159</v>
      </c>
      <c r="Q361" s="150">
        <v>9129.9699999999993</v>
      </c>
      <c r="R361" s="150">
        <v>3.7589999999999999</v>
      </c>
      <c r="S361" s="150">
        <v>7799</v>
      </c>
      <c r="U361" s="150">
        <v>2676.5819999999999</v>
      </c>
      <c r="V361" s="166">
        <v>0</v>
      </c>
      <c r="W361" s="166">
        <v>9.8667136537218692E-3</v>
      </c>
      <c r="X361" s="166">
        <v>1.45523902161791E-3</v>
      </c>
    </row>
    <row r="362" spans="1:24">
      <c r="A362" s="4" t="s">
        <v>256</v>
      </c>
      <c r="B362" s="4">
        <v>7205</v>
      </c>
      <c r="C362" s="4" t="s">
        <v>2094</v>
      </c>
      <c r="D362" s="4" t="s">
        <v>2095</v>
      </c>
      <c r="E362" s="4" t="s">
        <v>505</v>
      </c>
      <c r="F362" s="4" t="s">
        <v>2096</v>
      </c>
      <c r="G362" s="4" t="s">
        <v>2097</v>
      </c>
      <c r="H362" s="4" t="s">
        <v>511</v>
      </c>
      <c r="I362" s="4" t="s">
        <v>1121</v>
      </c>
      <c r="J362" s="4" t="s">
        <v>154</v>
      </c>
      <c r="K362" s="4" t="s">
        <v>155</v>
      </c>
      <c r="L362" s="2" t="s">
        <v>517</v>
      </c>
      <c r="M362" s="2" t="s">
        <v>535</v>
      </c>
      <c r="N362" s="4" t="s">
        <v>1999</v>
      </c>
      <c r="O362" s="4" t="s">
        <v>312</v>
      </c>
      <c r="P362" s="4" t="s">
        <v>159</v>
      </c>
      <c r="Q362" s="150">
        <v>18542</v>
      </c>
      <c r="R362" s="150">
        <v>3.7589999999999999</v>
      </c>
      <c r="S362" s="150">
        <v>500</v>
      </c>
      <c r="U362" s="150">
        <v>348.49700000000001</v>
      </c>
      <c r="V362" s="166">
        <v>9.0799999999999995E-4</v>
      </c>
      <c r="W362" s="166">
        <v>1.2846677882759701E-3</v>
      </c>
      <c r="X362" s="166">
        <v>1.8947531680009401E-4</v>
      </c>
    </row>
    <row r="363" spans="1:24">
      <c r="A363" s="4" t="s">
        <v>256</v>
      </c>
      <c r="B363" s="4">
        <v>7205</v>
      </c>
      <c r="C363" s="4" t="s">
        <v>2098</v>
      </c>
      <c r="D363" s="4" t="s">
        <v>2099</v>
      </c>
      <c r="E363" s="4" t="s">
        <v>505</v>
      </c>
      <c r="F363" s="4" t="s">
        <v>2100</v>
      </c>
      <c r="G363" s="4" t="s">
        <v>2101</v>
      </c>
      <c r="H363" s="4" t="s">
        <v>511</v>
      </c>
      <c r="I363" s="4" t="s">
        <v>1121</v>
      </c>
      <c r="J363" s="4" t="s">
        <v>154</v>
      </c>
      <c r="K363" s="4" t="s">
        <v>155</v>
      </c>
      <c r="L363" s="2" t="s">
        <v>517</v>
      </c>
      <c r="M363" s="2" t="s">
        <v>535</v>
      </c>
      <c r="N363" s="4" t="s">
        <v>733</v>
      </c>
      <c r="O363" s="4" t="s">
        <v>312</v>
      </c>
      <c r="P363" s="4" t="s">
        <v>159</v>
      </c>
      <c r="Q363" s="150">
        <v>5300</v>
      </c>
      <c r="R363" s="150">
        <v>3.7589999999999999</v>
      </c>
      <c r="S363" s="150">
        <v>16500</v>
      </c>
      <c r="U363" s="150">
        <v>3287.2449999999999</v>
      </c>
      <c r="V363" s="166">
        <v>5.8E-5</v>
      </c>
      <c r="W363" s="166">
        <v>1.21178080125912E-2</v>
      </c>
      <c r="X363" s="166">
        <v>1.7872523410816801E-3</v>
      </c>
    </row>
    <row r="364" spans="1:24">
      <c r="A364" s="4" t="s">
        <v>256</v>
      </c>
      <c r="B364" s="4">
        <v>7205</v>
      </c>
      <c r="C364" s="4" t="s">
        <v>2102</v>
      </c>
      <c r="D364" s="4" t="s">
        <v>2103</v>
      </c>
      <c r="E364" s="4" t="s">
        <v>505</v>
      </c>
      <c r="F364" s="4" t="s">
        <v>2104</v>
      </c>
      <c r="G364" s="4" t="s">
        <v>2105</v>
      </c>
      <c r="H364" s="4" t="s">
        <v>511</v>
      </c>
      <c r="I364" s="4" t="s">
        <v>1121</v>
      </c>
      <c r="J364" s="4" t="s">
        <v>154</v>
      </c>
      <c r="K364" s="4" t="s">
        <v>155</v>
      </c>
      <c r="L364" s="2" t="s">
        <v>517</v>
      </c>
      <c r="M364" s="2" t="s">
        <v>156</v>
      </c>
      <c r="N364" s="4" t="s">
        <v>725</v>
      </c>
      <c r="O364" s="4" t="s">
        <v>312</v>
      </c>
      <c r="P364" s="4" t="s">
        <v>159</v>
      </c>
      <c r="Q364" s="150">
        <v>14223</v>
      </c>
      <c r="R364" s="150">
        <v>3.7589999999999999</v>
      </c>
      <c r="S364" s="150">
        <v>6346</v>
      </c>
      <c r="T364" s="149">
        <v>2.1999999999999999E-2</v>
      </c>
      <c r="U364" s="150">
        <v>3392.9259999999999</v>
      </c>
      <c r="V364" s="166">
        <v>7.9999999999999996E-6</v>
      </c>
      <c r="W364" s="166">
        <v>1.2507378842701901E-2</v>
      </c>
      <c r="X364" s="166">
        <v>1.8447100411383901E-3</v>
      </c>
    </row>
    <row r="365" spans="1:24">
      <c r="A365" s="4" t="s">
        <v>256</v>
      </c>
      <c r="B365" s="4">
        <v>7205</v>
      </c>
      <c r="C365" s="4" t="s">
        <v>2106</v>
      </c>
      <c r="D365" s="4" t="s">
        <v>2107</v>
      </c>
      <c r="E365" s="4" t="s">
        <v>505</v>
      </c>
      <c r="F365" s="4" t="s">
        <v>2108</v>
      </c>
      <c r="G365" s="4" t="s">
        <v>2109</v>
      </c>
      <c r="H365" s="4" t="s">
        <v>511</v>
      </c>
      <c r="I365" s="4" t="s">
        <v>1121</v>
      </c>
      <c r="J365" s="4" t="s">
        <v>154</v>
      </c>
      <c r="K365" s="4" t="s">
        <v>426</v>
      </c>
      <c r="L365" s="2" t="s">
        <v>517</v>
      </c>
      <c r="M365" s="2" t="s">
        <v>156</v>
      </c>
      <c r="N365" s="4" t="s">
        <v>714</v>
      </c>
      <c r="O365" s="4" t="s">
        <v>312</v>
      </c>
      <c r="P365" s="4" t="s">
        <v>159</v>
      </c>
      <c r="Q365" s="150">
        <v>3000</v>
      </c>
      <c r="R365" s="150">
        <v>3.7589999999999999</v>
      </c>
      <c r="S365" s="150">
        <v>12608</v>
      </c>
      <c r="U365" s="150">
        <v>1421.8040000000001</v>
      </c>
      <c r="V365" s="166">
        <v>0</v>
      </c>
      <c r="W365" s="166">
        <v>5.2412117812264299E-3</v>
      </c>
      <c r="X365" s="166">
        <v>7.7302495767951195E-4</v>
      </c>
    </row>
    <row r="366" spans="1:24">
      <c r="A366" s="4" t="s">
        <v>256</v>
      </c>
      <c r="B366" s="4">
        <v>7205</v>
      </c>
      <c r="C366" s="4" t="s">
        <v>2110</v>
      </c>
      <c r="D366" s="4" t="s">
        <v>2111</v>
      </c>
      <c r="E366" s="4" t="s">
        <v>505</v>
      </c>
      <c r="F366" s="4" t="s">
        <v>2112</v>
      </c>
      <c r="G366" s="4" t="s">
        <v>2113</v>
      </c>
      <c r="H366" s="4" t="s">
        <v>511</v>
      </c>
      <c r="I366" s="4" t="s">
        <v>1121</v>
      </c>
      <c r="J366" s="4" t="s">
        <v>154</v>
      </c>
      <c r="K366" s="4" t="s">
        <v>2114</v>
      </c>
      <c r="L366" s="2" t="s">
        <v>517</v>
      </c>
      <c r="M366" s="2" t="s">
        <v>156</v>
      </c>
      <c r="N366" s="4" t="s">
        <v>723</v>
      </c>
      <c r="O366" s="4" t="s">
        <v>312</v>
      </c>
      <c r="P366" s="4" t="s">
        <v>159</v>
      </c>
      <c r="Q366" s="150">
        <v>5909.6</v>
      </c>
      <c r="R366" s="150">
        <v>3.7589999999999999</v>
      </c>
      <c r="S366" s="150">
        <v>3850</v>
      </c>
      <c r="U366" s="150">
        <v>855.24599999999998</v>
      </c>
      <c r="V366" s="166">
        <v>0</v>
      </c>
      <c r="W366" s="166">
        <v>3.1527030667828E-3</v>
      </c>
      <c r="X366" s="166">
        <v>4.64991352477949E-4</v>
      </c>
    </row>
    <row r="367" spans="1:24">
      <c r="A367" s="4" t="s">
        <v>256</v>
      </c>
      <c r="B367" s="4">
        <v>7205</v>
      </c>
      <c r="C367" s="4" t="s">
        <v>2115</v>
      </c>
      <c r="D367" s="4" t="s">
        <v>2116</v>
      </c>
      <c r="E367" s="4" t="s">
        <v>505</v>
      </c>
      <c r="F367" s="4" t="s">
        <v>2117</v>
      </c>
      <c r="G367" s="4" t="s">
        <v>2118</v>
      </c>
      <c r="H367" s="4" t="s">
        <v>511</v>
      </c>
      <c r="I367" s="4" t="s">
        <v>1121</v>
      </c>
      <c r="J367" s="4" t="s">
        <v>154</v>
      </c>
      <c r="K367" s="4" t="s">
        <v>431</v>
      </c>
      <c r="L367" s="2" t="s">
        <v>517</v>
      </c>
      <c r="M367" s="2" t="s">
        <v>557</v>
      </c>
      <c r="N367" s="4" t="s">
        <v>757</v>
      </c>
      <c r="O367" s="4" t="s">
        <v>312</v>
      </c>
      <c r="P367" s="4" t="s">
        <v>169</v>
      </c>
      <c r="Q367" s="150">
        <v>62729.07</v>
      </c>
      <c r="R367" s="150">
        <v>4.0199999999999996</v>
      </c>
      <c r="S367" s="150">
        <v>1073</v>
      </c>
      <c r="U367" s="150">
        <v>2705.9279999999999</v>
      </c>
      <c r="V367" s="166">
        <v>9.7499999999999996E-4</v>
      </c>
      <c r="W367" s="166">
        <v>9.9748909863858308E-3</v>
      </c>
      <c r="X367" s="166">
        <v>1.4711940681787E-3</v>
      </c>
    </row>
    <row r="368" spans="1:24">
      <c r="A368" s="4" t="s">
        <v>256</v>
      </c>
      <c r="B368" s="4">
        <v>7205</v>
      </c>
      <c r="C368" s="4" t="s">
        <v>2119</v>
      </c>
      <c r="D368" s="4" t="s">
        <v>2120</v>
      </c>
      <c r="E368" s="4" t="s">
        <v>505</v>
      </c>
      <c r="F368" s="4" t="s">
        <v>2121</v>
      </c>
      <c r="G368" s="4" t="s">
        <v>2122</v>
      </c>
      <c r="H368" s="4" t="s">
        <v>511</v>
      </c>
      <c r="I368" s="4" t="s">
        <v>1121</v>
      </c>
      <c r="J368" s="4" t="s">
        <v>154</v>
      </c>
      <c r="K368" s="4" t="s">
        <v>426</v>
      </c>
      <c r="L368" s="2" t="s">
        <v>517</v>
      </c>
      <c r="M368" s="2" t="s">
        <v>156</v>
      </c>
      <c r="N368" s="4" t="s">
        <v>725</v>
      </c>
      <c r="O368" s="4" t="s">
        <v>312</v>
      </c>
      <c r="P368" s="4" t="s">
        <v>159</v>
      </c>
      <c r="Q368" s="150">
        <v>6286.08</v>
      </c>
      <c r="R368" s="150">
        <v>3.7589999999999999</v>
      </c>
      <c r="S368" s="150">
        <v>4350</v>
      </c>
      <c r="U368" s="150">
        <v>1027.8779999999999</v>
      </c>
      <c r="V368" s="166">
        <v>0</v>
      </c>
      <c r="W368" s="166">
        <v>3.78907685619537E-3</v>
      </c>
      <c r="X368" s="166">
        <v>5.5884995658760604E-4</v>
      </c>
    </row>
    <row r="369" spans="1:24">
      <c r="A369" s="4" t="s">
        <v>256</v>
      </c>
      <c r="B369" s="4">
        <v>7205</v>
      </c>
      <c r="C369" s="4" t="s">
        <v>2123</v>
      </c>
      <c r="D369" s="4" t="s">
        <v>2124</v>
      </c>
      <c r="E369" s="4" t="s">
        <v>1552</v>
      </c>
      <c r="F369" s="4" t="s">
        <v>2125</v>
      </c>
      <c r="G369" s="4" t="s">
        <v>2126</v>
      </c>
      <c r="H369" s="4" t="s">
        <v>511</v>
      </c>
      <c r="I369" s="4" t="s">
        <v>1121</v>
      </c>
      <c r="J369" s="4" t="s">
        <v>154</v>
      </c>
      <c r="K369" s="4" t="s">
        <v>155</v>
      </c>
      <c r="L369" s="2" t="s">
        <v>517</v>
      </c>
      <c r="M369" s="2" t="s">
        <v>535</v>
      </c>
      <c r="N369" s="4" t="s">
        <v>719</v>
      </c>
      <c r="O369" s="4" t="s">
        <v>312</v>
      </c>
      <c r="P369" s="4" t="s">
        <v>159</v>
      </c>
      <c r="Q369" s="150">
        <v>9398</v>
      </c>
      <c r="R369" s="150">
        <v>3.7589999999999999</v>
      </c>
      <c r="S369" s="150">
        <v>1824</v>
      </c>
      <c r="U369" s="150">
        <v>644.36599999999999</v>
      </c>
      <c r="V369" s="166">
        <v>1.2300000000000001E-4</v>
      </c>
      <c r="W369" s="166">
        <v>2.3753331423333902E-3</v>
      </c>
      <c r="X369" s="166">
        <v>3.5033726521108897E-4</v>
      </c>
    </row>
    <row r="370" spans="1:24">
      <c r="A370" s="4" t="s">
        <v>256</v>
      </c>
      <c r="B370" s="4">
        <v>7205</v>
      </c>
      <c r="C370" s="4" t="s">
        <v>2127</v>
      </c>
      <c r="D370" s="4" t="s">
        <v>2128</v>
      </c>
      <c r="E370" s="4" t="s">
        <v>505</v>
      </c>
      <c r="F370" s="4" t="s">
        <v>2129</v>
      </c>
      <c r="G370" s="4" t="s">
        <v>2130</v>
      </c>
      <c r="H370" s="4" t="s">
        <v>511</v>
      </c>
      <c r="I370" s="4" t="s">
        <v>1121</v>
      </c>
      <c r="J370" s="4" t="s">
        <v>154</v>
      </c>
      <c r="K370" s="4" t="s">
        <v>155</v>
      </c>
      <c r="L370" s="2" t="s">
        <v>517</v>
      </c>
      <c r="M370" s="2" t="s">
        <v>156</v>
      </c>
      <c r="N370" s="4" t="s">
        <v>678</v>
      </c>
      <c r="O370" s="4" t="s">
        <v>312</v>
      </c>
      <c r="P370" s="4" t="s">
        <v>159</v>
      </c>
      <c r="Q370" s="150">
        <v>8015.46</v>
      </c>
      <c r="R370" s="150">
        <v>3.7589999999999999</v>
      </c>
      <c r="S370" s="150">
        <v>9521</v>
      </c>
      <c r="T370" s="149">
        <v>2.4009999999999998</v>
      </c>
      <c r="U370" s="150">
        <v>2877.7130000000002</v>
      </c>
      <c r="V370" s="166">
        <v>3.1000000000000001E-5</v>
      </c>
      <c r="W370" s="166">
        <v>1.0608143075044801E-2</v>
      </c>
      <c r="X370" s="166">
        <v>1.56459225345896E-3</v>
      </c>
    </row>
    <row r="371" spans="1:24">
      <c r="A371" s="4" t="s">
        <v>256</v>
      </c>
      <c r="B371" s="4">
        <v>7205</v>
      </c>
      <c r="C371" s="4" t="s">
        <v>1991</v>
      </c>
      <c r="D371" s="4" t="s">
        <v>1992</v>
      </c>
      <c r="E371" s="4" t="s">
        <v>505</v>
      </c>
      <c r="F371" s="4" t="s">
        <v>1993</v>
      </c>
      <c r="G371" s="4" t="s">
        <v>1994</v>
      </c>
      <c r="H371" s="4" t="s">
        <v>511</v>
      </c>
      <c r="I371" s="4" t="s">
        <v>1121</v>
      </c>
      <c r="J371" s="4" t="s">
        <v>154</v>
      </c>
      <c r="K371" s="4" t="s">
        <v>155</v>
      </c>
      <c r="L371" s="2" t="s">
        <v>517</v>
      </c>
      <c r="M371" s="2" t="s">
        <v>156</v>
      </c>
      <c r="N371" s="4" t="s">
        <v>723</v>
      </c>
      <c r="O371" s="4" t="s">
        <v>312</v>
      </c>
      <c r="P371" s="4" t="s">
        <v>159</v>
      </c>
      <c r="Q371" s="150">
        <v>3865</v>
      </c>
      <c r="R371" s="150">
        <v>3.7589999999999999</v>
      </c>
      <c r="S371" s="150">
        <v>14616</v>
      </c>
      <c r="U371" s="150">
        <v>2123.491</v>
      </c>
      <c r="V371" s="166">
        <v>1.9999999999999999E-6</v>
      </c>
      <c r="W371" s="166">
        <v>7.8278462388794798E-3</v>
      </c>
      <c r="X371" s="166">
        <v>1.1545269987383699E-3</v>
      </c>
    </row>
    <row r="372" spans="1:24">
      <c r="A372" s="4" t="s">
        <v>256</v>
      </c>
      <c r="B372" s="4">
        <v>7205</v>
      </c>
      <c r="C372" s="4" t="s">
        <v>1995</v>
      </c>
      <c r="D372" s="4" t="s">
        <v>1996</v>
      </c>
      <c r="E372" s="4" t="s">
        <v>1552</v>
      </c>
      <c r="F372" s="4" t="s">
        <v>1997</v>
      </c>
      <c r="G372" s="4" t="s">
        <v>1998</v>
      </c>
      <c r="H372" s="4" t="s">
        <v>511</v>
      </c>
      <c r="I372" s="4" t="s">
        <v>1121</v>
      </c>
      <c r="J372" s="4" t="s">
        <v>31</v>
      </c>
      <c r="K372" s="4" t="s">
        <v>155</v>
      </c>
      <c r="L372" s="2" t="s">
        <v>517</v>
      </c>
      <c r="M372" s="2" t="s">
        <v>535</v>
      </c>
      <c r="N372" s="4" t="s">
        <v>1999</v>
      </c>
      <c r="O372" s="4" t="s">
        <v>312</v>
      </c>
      <c r="P372" s="4" t="s">
        <v>159</v>
      </c>
      <c r="Q372" s="150">
        <v>16288</v>
      </c>
      <c r="R372" s="150">
        <v>3.7589999999999999</v>
      </c>
      <c r="S372" s="150">
        <v>1464</v>
      </c>
      <c r="U372" s="150">
        <v>896.35699999999997</v>
      </c>
      <c r="V372" s="166">
        <v>3.4200000000000002E-4</v>
      </c>
      <c r="W372" s="166">
        <v>3.3042514638639501E-3</v>
      </c>
      <c r="X372" s="166">
        <v>4.8734318600997299E-4</v>
      </c>
    </row>
    <row r="373" spans="1:24">
      <c r="A373" s="4" t="s">
        <v>256</v>
      </c>
      <c r="B373" s="4">
        <v>7205</v>
      </c>
      <c r="C373" s="4" t="s">
        <v>2000</v>
      </c>
      <c r="D373" s="4" t="s">
        <v>2001</v>
      </c>
      <c r="E373" s="4" t="s">
        <v>505</v>
      </c>
      <c r="F373" s="4" t="s">
        <v>2000</v>
      </c>
      <c r="G373" s="4" t="s">
        <v>2002</v>
      </c>
      <c r="H373" s="4" t="s">
        <v>511</v>
      </c>
      <c r="I373" s="4" t="s">
        <v>1121</v>
      </c>
      <c r="J373" s="4" t="s">
        <v>154</v>
      </c>
      <c r="K373" s="4" t="s">
        <v>155</v>
      </c>
      <c r="L373" s="2" t="s">
        <v>517</v>
      </c>
      <c r="M373" s="2" t="s">
        <v>156</v>
      </c>
      <c r="N373" s="4" t="s">
        <v>723</v>
      </c>
      <c r="O373" s="4" t="s">
        <v>312</v>
      </c>
      <c r="P373" s="4" t="s">
        <v>159</v>
      </c>
      <c r="Q373" s="150">
        <v>39750</v>
      </c>
      <c r="R373" s="150">
        <v>3.7589999999999999</v>
      </c>
      <c r="S373" s="150">
        <v>2798</v>
      </c>
      <c r="U373" s="150">
        <v>4180.7790000000005</v>
      </c>
      <c r="V373" s="166">
        <v>6.9999999999999999E-6</v>
      </c>
      <c r="W373" s="166">
        <v>1.5411648554195599E-2</v>
      </c>
      <c r="X373" s="166">
        <v>2.2730600228847899E-3</v>
      </c>
    </row>
    <row r="374" spans="1:24">
      <c r="A374" s="4" t="s">
        <v>256</v>
      </c>
      <c r="B374" s="4">
        <v>7205</v>
      </c>
      <c r="C374" s="4" t="s">
        <v>2003</v>
      </c>
      <c r="D374" s="4" t="s">
        <v>2004</v>
      </c>
      <c r="E374" s="4" t="s">
        <v>1552</v>
      </c>
      <c r="F374" s="4" t="s">
        <v>2005</v>
      </c>
      <c r="G374" s="4" t="s">
        <v>2006</v>
      </c>
      <c r="H374" s="4" t="s">
        <v>511</v>
      </c>
      <c r="I374" s="4" t="s">
        <v>1121</v>
      </c>
      <c r="J374" s="4" t="s">
        <v>31</v>
      </c>
      <c r="K374" s="4" t="s">
        <v>31</v>
      </c>
      <c r="L374" s="2" t="s">
        <v>517</v>
      </c>
      <c r="M374" s="2" t="s">
        <v>535</v>
      </c>
      <c r="N374" s="4" t="s">
        <v>733</v>
      </c>
      <c r="O374" s="4" t="s">
        <v>312</v>
      </c>
      <c r="P374" s="4" t="s">
        <v>159</v>
      </c>
      <c r="Q374" s="150">
        <v>32910</v>
      </c>
      <c r="R374" s="150">
        <v>3.7589999999999999</v>
      </c>
      <c r="S374" s="150">
        <v>935</v>
      </c>
      <c r="U374" s="150">
        <v>1156.6759999999999</v>
      </c>
      <c r="V374" s="166">
        <v>2.5799999999999998E-3</v>
      </c>
      <c r="W374" s="166">
        <v>4.2638679552229096E-3</v>
      </c>
      <c r="X374" s="166">
        <v>6.2887677186475798E-4</v>
      </c>
    </row>
    <row r="375" spans="1:24">
      <c r="A375" s="4" t="s">
        <v>256</v>
      </c>
      <c r="B375" s="4">
        <v>7205</v>
      </c>
      <c r="C375" s="4" t="s">
        <v>2131</v>
      </c>
      <c r="D375" s="4" t="s">
        <v>2132</v>
      </c>
      <c r="E375" s="4" t="s">
        <v>1552</v>
      </c>
      <c r="F375" s="4" t="s">
        <v>2133</v>
      </c>
      <c r="G375" s="4" t="s">
        <v>2134</v>
      </c>
      <c r="H375" s="4" t="s">
        <v>511</v>
      </c>
      <c r="I375" s="4" t="s">
        <v>1121</v>
      </c>
      <c r="J375" s="4" t="s">
        <v>31</v>
      </c>
      <c r="K375" s="4" t="s">
        <v>31</v>
      </c>
      <c r="L375" s="2" t="s">
        <v>517</v>
      </c>
      <c r="M375" s="2" t="s">
        <v>535</v>
      </c>
      <c r="N375" s="4" t="s">
        <v>733</v>
      </c>
      <c r="O375" s="4" t="s">
        <v>312</v>
      </c>
      <c r="P375" s="4" t="s">
        <v>159</v>
      </c>
      <c r="Q375" s="150">
        <v>31793</v>
      </c>
      <c r="R375" s="150">
        <v>3.7589999999999999</v>
      </c>
      <c r="S375" s="150">
        <v>1824</v>
      </c>
      <c r="U375" s="150">
        <v>2179.86</v>
      </c>
      <c r="V375" s="166">
        <v>8.92E-4</v>
      </c>
      <c r="W375" s="166">
        <v>8.0356423275383393E-3</v>
      </c>
      <c r="X375" s="166">
        <v>1.18517478962079E-3</v>
      </c>
    </row>
    <row r="376" spans="1:24">
      <c r="A376" s="4" t="s">
        <v>256</v>
      </c>
      <c r="B376" s="4">
        <v>7205</v>
      </c>
      <c r="C376" s="4" t="s">
        <v>2135</v>
      </c>
      <c r="D376" s="4" t="s">
        <v>2136</v>
      </c>
      <c r="E376" s="4" t="s">
        <v>34</v>
      </c>
      <c r="F376" s="4" t="s">
        <v>2137</v>
      </c>
      <c r="G376" s="4" t="s">
        <v>2138</v>
      </c>
      <c r="H376" s="4" t="s">
        <v>511</v>
      </c>
      <c r="I376" s="4" t="s">
        <v>1121</v>
      </c>
      <c r="J376" s="4" t="s">
        <v>154</v>
      </c>
      <c r="K376" s="4" t="s">
        <v>155</v>
      </c>
      <c r="L376" s="2" t="s">
        <v>517</v>
      </c>
      <c r="M376" s="2" t="s">
        <v>535</v>
      </c>
      <c r="N376" s="4" t="s">
        <v>735</v>
      </c>
      <c r="O376" s="4" t="s">
        <v>312</v>
      </c>
      <c r="P376" s="4" t="s">
        <v>159</v>
      </c>
      <c r="Q376" s="150">
        <v>1700000</v>
      </c>
      <c r="R376" s="150">
        <v>3.7589999999999999</v>
      </c>
      <c r="S376" s="150">
        <v>0</v>
      </c>
      <c r="U376" s="150">
        <v>0</v>
      </c>
      <c r="V376" s="166">
        <v>0</v>
      </c>
      <c r="W376" s="166">
        <v>0</v>
      </c>
      <c r="X376" s="166">
        <v>0</v>
      </c>
    </row>
    <row r="377" spans="1:24">
      <c r="A377" s="4" t="s">
        <v>256</v>
      </c>
      <c r="B377" s="4">
        <v>7205</v>
      </c>
      <c r="C377" s="4" t="s">
        <v>2151</v>
      </c>
      <c r="D377" s="4" t="s">
        <v>2152</v>
      </c>
      <c r="E377" s="4" t="s">
        <v>505</v>
      </c>
      <c r="F377" s="4" t="s">
        <v>2153</v>
      </c>
      <c r="G377" s="4" t="s">
        <v>2154</v>
      </c>
      <c r="H377" s="4" t="s">
        <v>511</v>
      </c>
      <c r="I377" s="4" t="s">
        <v>1121</v>
      </c>
      <c r="J377" s="4" t="s">
        <v>154</v>
      </c>
      <c r="K377" s="4" t="s">
        <v>155</v>
      </c>
      <c r="L377" s="2" t="s">
        <v>517</v>
      </c>
      <c r="M377" s="2" t="s">
        <v>342</v>
      </c>
      <c r="N377" s="4" t="s">
        <v>723</v>
      </c>
      <c r="O377" s="4" t="s">
        <v>312</v>
      </c>
      <c r="P377" s="4" t="s">
        <v>159</v>
      </c>
      <c r="Q377" s="150">
        <v>11125</v>
      </c>
      <c r="R377" s="150">
        <v>3.7589999999999999</v>
      </c>
      <c r="S377" s="150">
        <v>3467</v>
      </c>
      <c r="U377" s="150">
        <v>1449.86</v>
      </c>
      <c r="V377" s="166">
        <v>1.9999999999999999E-6</v>
      </c>
      <c r="W377" s="166">
        <v>5.3446357830034203E-3</v>
      </c>
      <c r="X377" s="166">
        <v>7.8827893670838404E-4</v>
      </c>
    </row>
    <row r="378" spans="1:24">
      <c r="A378" s="4" t="s">
        <v>256</v>
      </c>
      <c r="B378" s="4">
        <v>7205</v>
      </c>
      <c r="C378" s="4" t="s">
        <v>2155</v>
      </c>
      <c r="D378" s="4" t="s">
        <v>2156</v>
      </c>
      <c r="E378" s="4" t="s">
        <v>505</v>
      </c>
      <c r="F378" s="4" t="s">
        <v>2157</v>
      </c>
      <c r="G378" s="4" t="s">
        <v>2158</v>
      </c>
      <c r="H378" s="4" t="s">
        <v>511</v>
      </c>
      <c r="I378" s="4" t="s">
        <v>1121</v>
      </c>
      <c r="J378" s="4" t="s">
        <v>154</v>
      </c>
      <c r="K378" s="4" t="s">
        <v>474</v>
      </c>
      <c r="L378" s="2" t="s">
        <v>517</v>
      </c>
      <c r="M378" s="2" t="s">
        <v>535</v>
      </c>
      <c r="N378" s="4" t="s">
        <v>723</v>
      </c>
      <c r="O378" s="4" t="s">
        <v>312</v>
      </c>
      <c r="P378" s="4" t="s">
        <v>159</v>
      </c>
      <c r="Q378" s="150">
        <v>5729</v>
      </c>
      <c r="R378" s="150">
        <v>3.7589999999999999</v>
      </c>
      <c r="S378" s="150">
        <v>4852</v>
      </c>
      <c r="U378" s="150">
        <v>1044.893</v>
      </c>
      <c r="V378" s="166">
        <v>0</v>
      </c>
      <c r="W378" s="166">
        <v>3.8518012355547699E-3</v>
      </c>
      <c r="X378" s="166">
        <v>5.6810115892853201E-4</v>
      </c>
    </row>
    <row r="379" spans="1:24">
      <c r="A379" s="4" t="s">
        <v>256</v>
      </c>
      <c r="B379" s="4">
        <v>7205</v>
      </c>
      <c r="C379" s="4" t="s">
        <v>2139</v>
      </c>
      <c r="D379" s="4" t="s">
        <v>2140</v>
      </c>
      <c r="E379" s="4" t="s">
        <v>505</v>
      </c>
      <c r="F379" s="4" t="s">
        <v>2141</v>
      </c>
      <c r="G379" s="4" t="s">
        <v>2142</v>
      </c>
      <c r="H379" s="4" t="s">
        <v>511</v>
      </c>
      <c r="I379" s="4" t="s">
        <v>1121</v>
      </c>
      <c r="J379" s="4" t="s">
        <v>154</v>
      </c>
      <c r="K379" s="4" t="s">
        <v>438</v>
      </c>
      <c r="L379" s="2" t="s">
        <v>517</v>
      </c>
      <c r="M379" s="2" t="s">
        <v>156</v>
      </c>
      <c r="N379" s="4" t="s">
        <v>675</v>
      </c>
      <c r="O379" s="4" t="s">
        <v>312</v>
      </c>
      <c r="P379" s="4" t="s">
        <v>159</v>
      </c>
      <c r="Q379" s="150">
        <v>4682.41</v>
      </c>
      <c r="R379" s="150">
        <v>3.7589999999999999</v>
      </c>
      <c r="S379" s="150">
        <v>72.180000000000007</v>
      </c>
      <c r="U379" s="150">
        <v>1270.453</v>
      </c>
      <c r="V379" s="166">
        <v>9.9999999999999995E-7</v>
      </c>
      <c r="W379" s="166">
        <v>4.68328481205719E-3</v>
      </c>
      <c r="X379" s="166">
        <v>6.90736454613263E-4</v>
      </c>
    </row>
    <row r="380" spans="1:24">
      <c r="A380" s="4" t="s">
        <v>256</v>
      </c>
      <c r="B380" s="4">
        <v>7205</v>
      </c>
      <c r="C380" s="4" t="s">
        <v>2143</v>
      </c>
      <c r="D380" s="4" t="s">
        <v>2144</v>
      </c>
      <c r="E380" s="4" t="s">
        <v>1552</v>
      </c>
      <c r="F380" s="4" t="s">
        <v>2145</v>
      </c>
      <c r="G380" s="4" t="s">
        <v>2146</v>
      </c>
      <c r="H380" s="4" t="s">
        <v>511</v>
      </c>
      <c r="I380" s="4" t="s">
        <v>1121</v>
      </c>
      <c r="J380" s="4" t="s">
        <v>31</v>
      </c>
      <c r="K380" s="4" t="s">
        <v>31</v>
      </c>
      <c r="L380" s="2" t="s">
        <v>517</v>
      </c>
      <c r="M380" s="2" t="s">
        <v>535</v>
      </c>
      <c r="N380" s="4" t="s">
        <v>735</v>
      </c>
      <c r="O380" s="4" t="s">
        <v>312</v>
      </c>
      <c r="P380" s="4" t="s">
        <v>159</v>
      </c>
      <c r="Q380" s="150">
        <v>13759</v>
      </c>
      <c r="R380" s="150">
        <v>3.7589999999999999</v>
      </c>
      <c r="S380" s="150">
        <v>1512</v>
      </c>
      <c r="U380" s="150">
        <v>782.00800000000004</v>
      </c>
      <c r="V380" s="166">
        <v>2.627E-3</v>
      </c>
      <c r="W380" s="166">
        <v>2.8827230155884201E-3</v>
      </c>
      <c r="X380" s="166">
        <v>4.2517206519091498E-4</v>
      </c>
    </row>
    <row r="381" spans="1:24">
      <c r="A381" s="4" t="s">
        <v>256</v>
      </c>
      <c r="B381" s="4">
        <v>7205</v>
      </c>
      <c r="C381" s="4" t="s">
        <v>2007</v>
      </c>
      <c r="D381" s="4" t="s">
        <v>2008</v>
      </c>
      <c r="E381" s="4" t="s">
        <v>505</v>
      </c>
      <c r="F381" s="4" t="s">
        <v>2009</v>
      </c>
      <c r="G381" s="4" t="s">
        <v>2010</v>
      </c>
      <c r="H381" s="4" t="s">
        <v>511</v>
      </c>
      <c r="I381" s="4" t="s">
        <v>1121</v>
      </c>
      <c r="J381" s="4" t="s">
        <v>154</v>
      </c>
      <c r="K381" s="4" t="s">
        <v>155</v>
      </c>
      <c r="L381" s="2" t="s">
        <v>517</v>
      </c>
      <c r="M381" s="2" t="s">
        <v>535</v>
      </c>
      <c r="N381" s="4" t="s">
        <v>737</v>
      </c>
      <c r="O381" s="4" t="s">
        <v>312</v>
      </c>
      <c r="P381" s="4" t="s">
        <v>159</v>
      </c>
      <c r="Q381" s="150">
        <v>4477</v>
      </c>
      <c r="R381" s="150">
        <v>3.7589999999999999</v>
      </c>
      <c r="S381" s="150">
        <v>25.26</v>
      </c>
      <c r="U381" s="150">
        <v>425.10199999999998</v>
      </c>
      <c r="V381" s="166">
        <v>7.8999999999999996E-5</v>
      </c>
      <c r="W381" s="166">
        <v>1.5670566411573399E-3</v>
      </c>
      <c r="X381" s="166">
        <v>2.3112477500930001E-4</v>
      </c>
    </row>
    <row r="382" spans="1:24">
      <c r="A382" s="4" t="s">
        <v>256</v>
      </c>
      <c r="B382" s="4">
        <v>7205</v>
      </c>
      <c r="C382" s="4" t="s">
        <v>2147</v>
      </c>
      <c r="D382" s="4" t="s">
        <v>2148</v>
      </c>
      <c r="E382" s="4" t="s">
        <v>505</v>
      </c>
      <c r="F382" s="4" t="s">
        <v>2149</v>
      </c>
      <c r="G382" s="4" t="s">
        <v>2150</v>
      </c>
      <c r="H382" s="4" t="s">
        <v>511</v>
      </c>
      <c r="I382" s="4" t="s">
        <v>1121</v>
      </c>
      <c r="J382" s="4" t="s">
        <v>31</v>
      </c>
      <c r="K382" s="4" t="s">
        <v>31</v>
      </c>
      <c r="L382" s="2" t="s">
        <v>517</v>
      </c>
      <c r="M382" s="2" t="s">
        <v>156</v>
      </c>
      <c r="N382" s="4" t="s">
        <v>698</v>
      </c>
      <c r="O382" s="4" t="s">
        <v>312</v>
      </c>
      <c r="P382" s="4" t="s">
        <v>159</v>
      </c>
      <c r="Q382" s="150">
        <v>4773</v>
      </c>
      <c r="R382" s="150">
        <v>3.7589999999999999</v>
      </c>
      <c r="S382" s="150">
        <v>22.17</v>
      </c>
      <c r="U382" s="150">
        <v>397.76799999999997</v>
      </c>
      <c r="V382" s="166">
        <v>5.1E-5</v>
      </c>
      <c r="W382" s="166">
        <v>1.46629509293271E-3</v>
      </c>
      <c r="X382" s="166">
        <v>2.16263480559977E-4</v>
      </c>
    </row>
    <row r="383" spans="1:24">
      <c r="A383" s="4" t="s">
        <v>256</v>
      </c>
      <c r="B383" s="4">
        <v>7206</v>
      </c>
      <c r="C383" s="4" t="s">
        <v>1602</v>
      </c>
      <c r="D383" s="4" t="s">
        <v>1603</v>
      </c>
      <c r="E383" s="4" t="s">
        <v>1552</v>
      </c>
      <c r="F383" s="4" t="s">
        <v>1604</v>
      </c>
      <c r="G383" s="4" t="s">
        <v>1605</v>
      </c>
      <c r="H383" s="4" t="s">
        <v>511</v>
      </c>
      <c r="I383" s="4" t="s">
        <v>1121</v>
      </c>
      <c r="J383" s="4" t="s">
        <v>31</v>
      </c>
      <c r="K383" s="4" t="s">
        <v>31</v>
      </c>
      <c r="L383" s="2" t="s">
        <v>517</v>
      </c>
      <c r="M383" s="2" t="s">
        <v>32</v>
      </c>
      <c r="N383" s="4" t="s">
        <v>654</v>
      </c>
      <c r="O383" s="4" t="s">
        <v>312</v>
      </c>
      <c r="P383" s="4" t="s">
        <v>35</v>
      </c>
      <c r="Q383" s="150">
        <v>8670</v>
      </c>
      <c r="R383" s="150">
        <v>1</v>
      </c>
      <c r="S383" s="150">
        <v>128.1</v>
      </c>
      <c r="U383" s="150">
        <v>11.106</v>
      </c>
      <c r="V383" s="166">
        <v>2.9E-5</v>
      </c>
      <c r="W383" s="166">
        <v>1.57615836994177E-3</v>
      </c>
      <c r="X383" s="166">
        <v>1.65843029278209E-4</v>
      </c>
    </row>
    <row r="384" spans="1:24">
      <c r="A384" s="4" t="s">
        <v>256</v>
      </c>
      <c r="B384" s="4">
        <v>7206</v>
      </c>
      <c r="C384" s="4" t="s">
        <v>1606</v>
      </c>
      <c r="D384" s="4" t="s">
        <v>1607</v>
      </c>
      <c r="E384" s="4" t="s">
        <v>1552</v>
      </c>
      <c r="F384" s="4" t="s">
        <v>1608</v>
      </c>
      <c r="G384" s="4" t="s">
        <v>1609</v>
      </c>
      <c r="H384" s="4" t="s">
        <v>511</v>
      </c>
      <c r="I384" s="4" t="s">
        <v>1121</v>
      </c>
      <c r="J384" s="4" t="s">
        <v>31</v>
      </c>
      <c r="K384" s="4" t="s">
        <v>31</v>
      </c>
      <c r="L384" s="2" t="s">
        <v>517</v>
      </c>
      <c r="M384" s="2" t="s">
        <v>32</v>
      </c>
      <c r="N384" s="4" t="s">
        <v>628</v>
      </c>
      <c r="O384" s="4" t="s">
        <v>312</v>
      </c>
      <c r="P384" s="4" t="s">
        <v>35</v>
      </c>
      <c r="Q384" s="150">
        <v>3818.89</v>
      </c>
      <c r="R384" s="150">
        <v>1</v>
      </c>
      <c r="S384" s="150">
        <v>2633</v>
      </c>
      <c r="U384" s="150">
        <v>100.551</v>
      </c>
      <c r="V384" s="166">
        <v>1.7E-5</v>
      </c>
      <c r="W384" s="166">
        <v>1.42698574108497E-2</v>
      </c>
      <c r="X384" s="166">
        <v>1.5014711881210601E-3</v>
      </c>
    </row>
    <row r="385" spans="1:24">
      <c r="A385" s="4" t="s">
        <v>256</v>
      </c>
      <c r="B385" s="4">
        <v>7206</v>
      </c>
      <c r="C385" s="4" t="s">
        <v>1610</v>
      </c>
      <c r="D385" s="4" t="s">
        <v>1611</v>
      </c>
      <c r="E385" s="4" t="s">
        <v>1552</v>
      </c>
      <c r="F385" s="4" t="s">
        <v>1612</v>
      </c>
      <c r="G385" s="4" t="s">
        <v>1613</v>
      </c>
      <c r="H385" s="4" t="s">
        <v>511</v>
      </c>
      <c r="I385" s="4" t="s">
        <v>1121</v>
      </c>
      <c r="J385" s="4" t="s">
        <v>31</v>
      </c>
      <c r="K385" s="4" t="s">
        <v>31</v>
      </c>
      <c r="L385" s="2" t="s">
        <v>517</v>
      </c>
      <c r="M385" s="2" t="s">
        <v>32</v>
      </c>
      <c r="N385" s="4" t="s">
        <v>666</v>
      </c>
      <c r="O385" s="4" t="s">
        <v>312</v>
      </c>
      <c r="P385" s="4" t="s">
        <v>35</v>
      </c>
      <c r="Q385" s="150">
        <v>4127.18</v>
      </c>
      <c r="R385" s="150">
        <v>1</v>
      </c>
      <c r="S385" s="150">
        <v>369.3</v>
      </c>
      <c r="T385" s="149">
        <v>7.0000000000000001E-3</v>
      </c>
      <c r="U385" s="150">
        <v>15.249000000000001</v>
      </c>
      <c r="V385" s="166">
        <v>7.4999999999999993E-5</v>
      </c>
      <c r="W385" s="166">
        <v>2.1640238647742901E-3</v>
      </c>
      <c r="X385" s="166">
        <v>2.2769810446000201E-4</v>
      </c>
    </row>
    <row r="386" spans="1:24">
      <c r="A386" s="4" t="s">
        <v>256</v>
      </c>
      <c r="B386" s="4">
        <v>7206</v>
      </c>
      <c r="C386" s="4" t="s">
        <v>1614</v>
      </c>
      <c r="D386" s="4" t="s">
        <v>1615</v>
      </c>
      <c r="E386" s="4" t="s">
        <v>1552</v>
      </c>
      <c r="F386" s="4" t="s">
        <v>1616</v>
      </c>
      <c r="G386" s="4" t="s">
        <v>1617</v>
      </c>
      <c r="H386" s="4" t="s">
        <v>511</v>
      </c>
      <c r="I386" s="4" t="s">
        <v>1121</v>
      </c>
      <c r="J386" s="4" t="s">
        <v>31</v>
      </c>
      <c r="K386" s="4" t="s">
        <v>155</v>
      </c>
      <c r="L386" s="2" t="s">
        <v>517</v>
      </c>
      <c r="M386" s="2" t="s">
        <v>32</v>
      </c>
      <c r="N386" s="4" t="s">
        <v>634</v>
      </c>
      <c r="O386" s="4" t="s">
        <v>312</v>
      </c>
      <c r="P386" s="4" t="s">
        <v>35</v>
      </c>
      <c r="Q386" s="150">
        <v>400</v>
      </c>
      <c r="R386" s="150">
        <v>1</v>
      </c>
      <c r="S386" s="150">
        <v>2219</v>
      </c>
      <c r="U386" s="150">
        <v>8.8759999999999994</v>
      </c>
      <c r="V386" s="166">
        <v>2.0999999999999999E-5</v>
      </c>
      <c r="W386" s="166">
        <v>1.2596471805208301E-3</v>
      </c>
      <c r="X386" s="166">
        <v>1.3253979309645701E-4</v>
      </c>
    </row>
    <row r="387" spans="1:24">
      <c r="A387" s="4" t="s">
        <v>256</v>
      </c>
      <c r="B387" s="4">
        <v>7206</v>
      </c>
      <c r="C387" s="4" t="s">
        <v>1618</v>
      </c>
      <c r="D387" s="4" t="s">
        <v>1619</v>
      </c>
      <c r="E387" s="4" t="s">
        <v>1552</v>
      </c>
      <c r="F387" s="4" t="s">
        <v>1620</v>
      </c>
      <c r="G387" s="4" t="s">
        <v>1621</v>
      </c>
      <c r="H387" s="4" t="s">
        <v>511</v>
      </c>
      <c r="I387" s="4" t="s">
        <v>1121</v>
      </c>
      <c r="J387" s="4" t="s">
        <v>31</v>
      </c>
      <c r="K387" s="4" t="s">
        <v>31</v>
      </c>
      <c r="L387" s="2" t="s">
        <v>517</v>
      </c>
      <c r="M387" s="2" t="s">
        <v>32</v>
      </c>
      <c r="N387" s="4" t="s">
        <v>666</v>
      </c>
      <c r="O387" s="4" t="s">
        <v>312</v>
      </c>
      <c r="P387" s="4" t="s">
        <v>35</v>
      </c>
      <c r="Q387" s="150">
        <v>968</v>
      </c>
      <c r="R387" s="150">
        <v>1</v>
      </c>
      <c r="S387" s="150">
        <v>1710</v>
      </c>
      <c r="U387" s="150">
        <v>16.553000000000001</v>
      </c>
      <c r="V387" s="166">
        <v>5.7000000000000003E-5</v>
      </c>
      <c r="W387" s="166">
        <v>2.3491085905503902E-3</v>
      </c>
      <c r="X387" s="166">
        <v>2.4717267768894E-4</v>
      </c>
    </row>
    <row r="388" spans="1:24">
      <c r="A388" s="4" t="s">
        <v>256</v>
      </c>
      <c r="B388" s="4">
        <v>7206</v>
      </c>
      <c r="C388" s="4" t="s">
        <v>1622</v>
      </c>
      <c r="D388" s="4" t="s">
        <v>1623</v>
      </c>
      <c r="E388" s="4" t="s">
        <v>1552</v>
      </c>
      <c r="F388" s="4" t="s">
        <v>1624</v>
      </c>
      <c r="G388" s="4" t="s">
        <v>1625</v>
      </c>
      <c r="H388" s="4" t="s">
        <v>511</v>
      </c>
      <c r="I388" s="4" t="s">
        <v>1121</v>
      </c>
      <c r="J388" s="4" t="s">
        <v>31</v>
      </c>
      <c r="K388" s="4" t="s">
        <v>31</v>
      </c>
      <c r="L388" s="2" t="s">
        <v>517</v>
      </c>
      <c r="M388" s="2" t="s">
        <v>32</v>
      </c>
      <c r="N388" s="4" t="s">
        <v>635</v>
      </c>
      <c r="O388" s="4" t="s">
        <v>312</v>
      </c>
      <c r="P388" s="4" t="s">
        <v>35</v>
      </c>
      <c r="Q388" s="150">
        <v>1816</v>
      </c>
      <c r="R388" s="150">
        <v>1</v>
      </c>
      <c r="S388" s="150">
        <v>1549</v>
      </c>
      <c r="U388" s="150">
        <v>28.13</v>
      </c>
      <c r="V388" s="166">
        <v>9.0000000000000002E-6</v>
      </c>
      <c r="W388" s="166">
        <v>3.9920767963612198E-3</v>
      </c>
      <c r="X388" s="166">
        <v>4.2004542287476702E-4</v>
      </c>
    </row>
    <row r="389" spans="1:24">
      <c r="A389" s="4" t="s">
        <v>256</v>
      </c>
      <c r="B389" s="4">
        <v>7206</v>
      </c>
      <c r="C389" s="4" t="s">
        <v>1626</v>
      </c>
      <c r="D389" s="4" t="s">
        <v>1627</v>
      </c>
      <c r="E389" s="4" t="s">
        <v>1552</v>
      </c>
      <c r="F389" s="4" t="s">
        <v>1628</v>
      </c>
      <c r="G389" s="4" t="s">
        <v>1629</v>
      </c>
      <c r="H389" s="4" t="s">
        <v>511</v>
      </c>
      <c r="I389" s="4" t="s">
        <v>1121</v>
      </c>
      <c r="J389" s="4" t="s">
        <v>31</v>
      </c>
      <c r="K389" s="4" t="s">
        <v>31</v>
      </c>
      <c r="L389" s="2" t="s">
        <v>517</v>
      </c>
      <c r="M389" s="2" t="s">
        <v>32</v>
      </c>
      <c r="N389" s="4" t="s">
        <v>633</v>
      </c>
      <c r="O389" s="4" t="s">
        <v>312</v>
      </c>
      <c r="P389" s="4" t="s">
        <v>35</v>
      </c>
      <c r="Q389" s="150">
        <v>15</v>
      </c>
      <c r="R389" s="150">
        <v>1</v>
      </c>
      <c r="S389" s="150">
        <v>9863</v>
      </c>
      <c r="U389" s="150">
        <v>1.4790000000000001</v>
      </c>
      <c r="V389" s="166">
        <v>9.9999999999999995E-7</v>
      </c>
      <c r="W389" s="166">
        <v>2.09957753630188E-4</v>
      </c>
      <c r="X389" s="166">
        <v>2.20917076269212E-5</v>
      </c>
    </row>
    <row r="390" spans="1:24">
      <c r="A390" s="4" t="s">
        <v>256</v>
      </c>
      <c r="B390" s="4">
        <v>7206</v>
      </c>
      <c r="C390" s="4" t="s">
        <v>2011</v>
      </c>
      <c r="D390" s="4" t="s">
        <v>2012</v>
      </c>
      <c r="E390" s="4" t="s">
        <v>1552</v>
      </c>
      <c r="F390" s="4" t="s">
        <v>2013</v>
      </c>
      <c r="G390" s="4" t="s">
        <v>2014</v>
      </c>
      <c r="H390" s="4" t="s">
        <v>511</v>
      </c>
      <c r="I390" s="4" t="s">
        <v>1121</v>
      </c>
      <c r="J390" s="4" t="s">
        <v>31</v>
      </c>
      <c r="K390" s="4" t="s">
        <v>31</v>
      </c>
      <c r="L390" s="2" t="s">
        <v>517</v>
      </c>
      <c r="M390" s="2" t="s">
        <v>32</v>
      </c>
      <c r="N390" s="4" t="s">
        <v>662</v>
      </c>
      <c r="O390" s="4" t="s">
        <v>312</v>
      </c>
      <c r="P390" s="4" t="s">
        <v>35</v>
      </c>
      <c r="Q390" s="150">
        <v>3470</v>
      </c>
      <c r="R390" s="150">
        <v>1</v>
      </c>
      <c r="S390" s="150">
        <v>39</v>
      </c>
      <c r="U390" s="150">
        <v>1.353</v>
      </c>
      <c r="V390" s="166">
        <v>9.7999999999999997E-5</v>
      </c>
      <c r="W390" s="166">
        <v>1.9205503936444801E-4</v>
      </c>
      <c r="X390" s="166">
        <v>2.0207988057394699E-5</v>
      </c>
    </row>
    <row r="391" spans="1:24">
      <c r="A391" s="4" t="s">
        <v>256</v>
      </c>
      <c r="B391" s="4">
        <v>7206</v>
      </c>
      <c r="C391" s="4" t="s">
        <v>1630</v>
      </c>
      <c r="D391" s="4" t="s">
        <v>1631</v>
      </c>
      <c r="E391" s="4" t="s">
        <v>1552</v>
      </c>
      <c r="F391" s="4" t="s">
        <v>1632</v>
      </c>
      <c r="G391" s="4" t="s">
        <v>1633</v>
      </c>
      <c r="H391" s="4" t="s">
        <v>511</v>
      </c>
      <c r="I391" s="4" t="s">
        <v>1121</v>
      </c>
      <c r="J391" s="4" t="s">
        <v>31</v>
      </c>
      <c r="K391" s="4" t="s">
        <v>31</v>
      </c>
      <c r="L391" s="2" t="s">
        <v>517</v>
      </c>
      <c r="M391" s="2" t="s">
        <v>32</v>
      </c>
      <c r="N391" s="4" t="s">
        <v>650</v>
      </c>
      <c r="O391" s="4" t="s">
        <v>312</v>
      </c>
      <c r="P391" s="4" t="s">
        <v>35</v>
      </c>
      <c r="Q391" s="150">
        <v>115.72</v>
      </c>
      <c r="R391" s="150">
        <v>1</v>
      </c>
      <c r="S391" s="150">
        <v>6381</v>
      </c>
      <c r="U391" s="150">
        <v>7.3840000000000003</v>
      </c>
      <c r="V391" s="166">
        <v>1.0000000000000001E-5</v>
      </c>
      <c r="W391" s="166">
        <v>1.0479216065889E-3</v>
      </c>
      <c r="X391" s="166">
        <v>1.10262075814889E-4</v>
      </c>
    </row>
    <row r="392" spans="1:24">
      <c r="A392" s="4" t="s">
        <v>256</v>
      </c>
      <c r="B392" s="4">
        <v>7206</v>
      </c>
      <c r="C392" s="4" t="s">
        <v>1634</v>
      </c>
      <c r="D392" s="4" t="s">
        <v>1635</v>
      </c>
      <c r="E392" s="4" t="s">
        <v>1552</v>
      </c>
      <c r="F392" s="4" t="s">
        <v>1636</v>
      </c>
      <c r="G392" s="4" t="s">
        <v>1637</v>
      </c>
      <c r="H392" s="4" t="s">
        <v>511</v>
      </c>
      <c r="I392" s="4" t="s">
        <v>1121</v>
      </c>
      <c r="J392" s="4" t="s">
        <v>31</v>
      </c>
      <c r="K392" s="4" t="s">
        <v>31</v>
      </c>
      <c r="L392" s="2" t="s">
        <v>517</v>
      </c>
      <c r="M392" s="2" t="s">
        <v>32</v>
      </c>
      <c r="N392" s="4" t="s">
        <v>651</v>
      </c>
      <c r="O392" s="4" t="s">
        <v>312</v>
      </c>
      <c r="P392" s="4" t="s">
        <v>35</v>
      </c>
      <c r="Q392" s="150">
        <v>1500</v>
      </c>
      <c r="R392" s="150">
        <v>1</v>
      </c>
      <c r="S392" s="150">
        <v>990.44799999999998</v>
      </c>
      <c r="U392" s="150">
        <v>14.856999999999999</v>
      </c>
      <c r="V392" s="166">
        <v>0</v>
      </c>
      <c r="W392" s="166">
        <v>2.1084078819428899E-3</v>
      </c>
      <c r="X392" s="166">
        <v>2.21846203252013E-4</v>
      </c>
    </row>
    <row r="393" spans="1:24">
      <c r="A393" s="4" t="s">
        <v>256</v>
      </c>
      <c r="B393" s="4">
        <v>7206</v>
      </c>
      <c r="C393" s="4" t="s">
        <v>1638</v>
      </c>
      <c r="D393" s="4" t="s">
        <v>1639</v>
      </c>
      <c r="E393" s="4" t="s">
        <v>1552</v>
      </c>
      <c r="F393" s="4" t="s">
        <v>1640</v>
      </c>
      <c r="G393" s="4" t="s">
        <v>1641</v>
      </c>
      <c r="H393" s="4" t="s">
        <v>511</v>
      </c>
      <c r="I393" s="4" t="s">
        <v>1121</v>
      </c>
      <c r="J393" s="4" t="s">
        <v>31</v>
      </c>
      <c r="K393" s="4" t="s">
        <v>31</v>
      </c>
      <c r="L393" s="2" t="s">
        <v>517</v>
      </c>
      <c r="M393" s="2" t="s">
        <v>32</v>
      </c>
      <c r="N393" s="4" t="s">
        <v>649</v>
      </c>
      <c r="O393" s="4" t="s">
        <v>312</v>
      </c>
      <c r="P393" s="4" t="s">
        <v>35</v>
      </c>
      <c r="Q393" s="150">
        <v>90</v>
      </c>
      <c r="R393" s="150">
        <v>1</v>
      </c>
      <c r="S393" s="150">
        <v>6972</v>
      </c>
      <c r="U393" s="150">
        <v>6.2750000000000004</v>
      </c>
      <c r="V393" s="166">
        <v>6.0000000000000002E-6</v>
      </c>
      <c r="W393" s="166">
        <v>8.9049505727040699E-4</v>
      </c>
      <c r="X393" s="166">
        <v>9.3697689693741199E-5</v>
      </c>
    </row>
    <row r="394" spans="1:24">
      <c r="A394" s="4" t="s">
        <v>256</v>
      </c>
      <c r="B394" s="4">
        <v>7206</v>
      </c>
      <c r="C394" s="4" t="s">
        <v>1642</v>
      </c>
      <c r="D394" s="4" t="s">
        <v>1643</v>
      </c>
      <c r="E394" s="4" t="s">
        <v>1552</v>
      </c>
      <c r="F394" s="4" t="s">
        <v>1644</v>
      </c>
      <c r="G394" s="4" t="s">
        <v>1645</v>
      </c>
      <c r="H394" s="4" t="s">
        <v>511</v>
      </c>
      <c r="I394" s="4" t="s">
        <v>1121</v>
      </c>
      <c r="J394" s="4" t="s">
        <v>31</v>
      </c>
      <c r="K394" s="4" t="s">
        <v>31</v>
      </c>
      <c r="L394" s="2" t="s">
        <v>517</v>
      </c>
      <c r="M394" s="2" t="s">
        <v>32</v>
      </c>
      <c r="N394" s="4" t="s">
        <v>634</v>
      </c>
      <c r="O394" s="4" t="s">
        <v>312</v>
      </c>
      <c r="P394" s="4" t="s">
        <v>35</v>
      </c>
      <c r="Q394" s="150">
        <v>144</v>
      </c>
      <c r="R394" s="150">
        <v>1</v>
      </c>
      <c r="S394" s="150">
        <v>66410</v>
      </c>
      <c r="T394" s="149">
        <v>0.27100000000000002</v>
      </c>
      <c r="U394" s="150">
        <v>95.900999999999996</v>
      </c>
      <c r="V394" s="166">
        <v>3.0000000000000001E-6</v>
      </c>
      <c r="W394" s="166">
        <v>1.36099016720919E-2</v>
      </c>
      <c r="X394" s="166">
        <v>1.4320307936833E-3</v>
      </c>
    </row>
    <row r="395" spans="1:24">
      <c r="A395" s="4" t="s">
        <v>256</v>
      </c>
      <c r="B395" s="4">
        <v>7206</v>
      </c>
      <c r="C395" s="4" t="s">
        <v>1646</v>
      </c>
      <c r="D395" s="4" t="s">
        <v>1647</v>
      </c>
      <c r="E395" s="4" t="s">
        <v>1552</v>
      </c>
      <c r="F395" s="4" t="s">
        <v>1648</v>
      </c>
      <c r="G395" s="4" t="s">
        <v>1649</v>
      </c>
      <c r="H395" s="4" t="s">
        <v>511</v>
      </c>
      <c r="I395" s="4" t="s">
        <v>1121</v>
      </c>
      <c r="J395" s="4" t="s">
        <v>31</v>
      </c>
      <c r="K395" s="4" t="s">
        <v>31</v>
      </c>
      <c r="L395" s="2" t="s">
        <v>517</v>
      </c>
      <c r="M395" s="2" t="s">
        <v>32</v>
      </c>
      <c r="N395" s="4" t="s">
        <v>629</v>
      </c>
      <c r="O395" s="4" t="s">
        <v>312</v>
      </c>
      <c r="P395" s="4" t="s">
        <v>35</v>
      </c>
      <c r="Q395" s="150">
        <v>1516</v>
      </c>
      <c r="R395" s="150">
        <v>1</v>
      </c>
      <c r="S395" s="150">
        <v>4400</v>
      </c>
      <c r="U395" s="150">
        <v>66.703999999999994</v>
      </c>
      <c r="V395" s="166">
        <v>1.18E-4</v>
      </c>
      <c r="W395" s="166">
        <v>9.4663706094481395E-3</v>
      </c>
      <c r="X395" s="166">
        <v>9.9604938696553095E-4</v>
      </c>
    </row>
    <row r="396" spans="1:24">
      <c r="A396" s="4" t="s">
        <v>256</v>
      </c>
      <c r="B396" s="4">
        <v>7206</v>
      </c>
      <c r="C396" s="4" t="s">
        <v>1650</v>
      </c>
      <c r="D396" s="4" t="s">
        <v>1651</v>
      </c>
      <c r="E396" s="4" t="s">
        <v>1552</v>
      </c>
      <c r="F396" s="4" t="s">
        <v>1652</v>
      </c>
      <c r="G396" s="4" t="s">
        <v>1653</v>
      </c>
      <c r="H396" s="4" t="s">
        <v>511</v>
      </c>
      <c r="I396" s="4" t="s">
        <v>1121</v>
      </c>
      <c r="J396" s="4" t="s">
        <v>31</v>
      </c>
      <c r="K396" s="4" t="s">
        <v>31</v>
      </c>
      <c r="L396" s="2" t="s">
        <v>517</v>
      </c>
      <c r="M396" s="2" t="s">
        <v>32</v>
      </c>
      <c r="N396" s="4" t="s">
        <v>652</v>
      </c>
      <c r="O396" s="4" t="s">
        <v>312</v>
      </c>
      <c r="P396" s="4" t="s">
        <v>35</v>
      </c>
      <c r="Q396" s="150">
        <v>4400</v>
      </c>
      <c r="R396" s="150">
        <v>1</v>
      </c>
      <c r="S396" s="150">
        <v>2350</v>
      </c>
      <c r="U396" s="150">
        <v>103.4</v>
      </c>
      <c r="V396" s="166">
        <v>2.4000000000000001E-5</v>
      </c>
      <c r="W396" s="166">
        <v>1.46741233062026E-2</v>
      </c>
      <c r="X396" s="166">
        <v>1.5440079547288899E-3</v>
      </c>
    </row>
    <row r="397" spans="1:24">
      <c r="A397" s="4" t="s">
        <v>256</v>
      </c>
      <c r="B397" s="4">
        <v>7206</v>
      </c>
      <c r="C397" s="4" t="s">
        <v>1654</v>
      </c>
      <c r="D397" s="4" t="s">
        <v>1655</v>
      </c>
      <c r="E397" s="4" t="s">
        <v>1552</v>
      </c>
      <c r="F397" s="4" t="s">
        <v>1656</v>
      </c>
      <c r="G397" s="4" t="s">
        <v>1657</v>
      </c>
      <c r="H397" s="4" t="s">
        <v>511</v>
      </c>
      <c r="I397" s="4" t="s">
        <v>1121</v>
      </c>
      <c r="J397" s="4" t="s">
        <v>31</v>
      </c>
      <c r="K397" s="4" t="s">
        <v>31</v>
      </c>
      <c r="L397" s="2" t="s">
        <v>517</v>
      </c>
      <c r="M397" s="2" t="s">
        <v>32</v>
      </c>
      <c r="N397" s="4" t="s">
        <v>667</v>
      </c>
      <c r="O397" s="4" t="s">
        <v>312</v>
      </c>
      <c r="P397" s="4" t="s">
        <v>35</v>
      </c>
      <c r="Q397" s="150">
        <v>4050</v>
      </c>
      <c r="R397" s="150">
        <v>1</v>
      </c>
      <c r="S397" s="150">
        <v>482.7</v>
      </c>
      <c r="U397" s="150">
        <v>19.548999999999999</v>
      </c>
      <c r="V397" s="166">
        <v>2.0999999999999999E-5</v>
      </c>
      <c r="W397" s="166">
        <v>2.7743672384536902E-3</v>
      </c>
      <c r="X397" s="166">
        <v>2.91918296999799E-4</v>
      </c>
    </row>
    <row r="398" spans="1:24">
      <c r="A398" s="4" t="s">
        <v>256</v>
      </c>
      <c r="B398" s="4">
        <v>7206</v>
      </c>
      <c r="C398" s="4" t="s">
        <v>1658</v>
      </c>
      <c r="D398" s="4" t="s">
        <v>1659</v>
      </c>
      <c r="E398" s="4" t="s">
        <v>1552</v>
      </c>
      <c r="F398" s="4" t="s">
        <v>1660</v>
      </c>
      <c r="G398" s="4" t="s">
        <v>1661</v>
      </c>
      <c r="H398" s="4" t="s">
        <v>511</v>
      </c>
      <c r="I398" s="4" t="s">
        <v>1121</v>
      </c>
      <c r="J398" s="4" t="s">
        <v>31</v>
      </c>
      <c r="K398" s="4" t="s">
        <v>31</v>
      </c>
      <c r="L398" s="2" t="s">
        <v>517</v>
      </c>
      <c r="M398" s="2" t="s">
        <v>32</v>
      </c>
      <c r="N398" s="4" t="s">
        <v>639</v>
      </c>
      <c r="O398" s="4" t="s">
        <v>312</v>
      </c>
      <c r="P398" s="4" t="s">
        <v>35</v>
      </c>
      <c r="Q398" s="150">
        <v>585</v>
      </c>
      <c r="R398" s="150">
        <v>1</v>
      </c>
      <c r="S398" s="150">
        <v>10000</v>
      </c>
      <c r="U398" s="150">
        <v>58.5</v>
      </c>
      <c r="V398" s="166">
        <v>1.7E-5</v>
      </c>
      <c r="W398" s="166">
        <v>8.3020910388090109E-3</v>
      </c>
      <c r="X398" s="166">
        <v>8.73544152336945E-4</v>
      </c>
    </row>
    <row r="399" spans="1:24">
      <c r="A399" s="4" t="s">
        <v>256</v>
      </c>
      <c r="B399" s="4">
        <v>7206</v>
      </c>
      <c r="C399" s="4" t="s">
        <v>1662</v>
      </c>
      <c r="D399" s="4" t="s">
        <v>1663</v>
      </c>
      <c r="E399" s="4" t="s">
        <v>1552</v>
      </c>
      <c r="F399" s="4" t="s">
        <v>1664</v>
      </c>
      <c r="G399" s="4" t="s">
        <v>1665</v>
      </c>
      <c r="H399" s="4" t="s">
        <v>511</v>
      </c>
      <c r="I399" s="4" t="s">
        <v>1121</v>
      </c>
      <c r="J399" s="4" t="s">
        <v>31</v>
      </c>
      <c r="K399" s="4" t="s">
        <v>31</v>
      </c>
      <c r="L399" s="2" t="s">
        <v>517</v>
      </c>
      <c r="M399" s="2" t="s">
        <v>32</v>
      </c>
      <c r="N399" s="4" t="s">
        <v>653</v>
      </c>
      <c r="O399" s="4" t="s">
        <v>312</v>
      </c>
      <c r="P399" s="4" t="s">
        <v>35</v>
      </c>
      <c r="Q399" s="150">
        <v>536</v>
      </c>
      <c r="R399" s="150">
        <v>1</v>
      </c>
      <c r="S399" s="150">
        <v>3254</v>
      </c>
      <c r="U399" s="150">
        <v>17.440999999999999</v>
      </c>
      <c r="V399" s="166">
        <v>1.0000000000000001E-5</v>
      </c>
      <c r="W399" s="166">
        <v>2.47522090133205E-3</v>
      </c>
      <c r="X399" s="166">
        <v>2.6044218667240502E-4</v>
      </c>
    </row>
    <row r="400" spans="1:24">
      <c r="A400" s="4" t="s">
        <v>256</v>
      </c>
      <c r="B400" s="4">
        <v>7206</v>
      </c>
      <c r="C400" s="4" t="s">
        <v>2015</v>
      </c>
      <c r="D400" s="4" t="s">
        <v>2016</v>
      </c>
      <c r="E400" s="4" t="s">
        <v>1552</v>
      </c>
      <c r="F400" s="4" t="s">
        <v>2017</v>
      </c>
      <c r="G400" s="4" t="s">
        <v>2018</v>
      </c>
      <c r="H400" s="4" t="s">
        <v>511</v>
      </c>
      <c r="I400" s="4" t="s">
        <v>1121</v>
      </c>
      <c r="J400" s="4" t="s">
        <v>31</v>
      </c>
      <c r="K400" s="4" t="s">
        <v>31</v>
      </c>
      <c r="L400" s="2" t="s">
        <v>517</v>
      </c>
      <c r="M400" s="2" t="s">
        <v>32</v>
      </c>
      <c r="N400" s="4" t="s">
        <v>628</v>
      </c>
      <c r="O400" s="4" t="s">
        <v>312</v>
      </c>
      <c r="P400" s="4" t="s">
        <v>35</v>
      </c>
      <c r="Q400" s="150">
        <v>740</v>
      </c>
      <c r="R400" s="150">
        <v>1</v>
      </c>
      <c r="S400" s="150">
        <v>1731</v>
      </c>
      <c r="U400" s="150">
        <v>12.808999999999999</v>
      </c>
      <c r="V400" s="166">
        <v>4.6E-5</v>
      </c>
      <c r="W400" s="166">
        <v>1.8178599137182901E-3</v>
      </c>
      <c r="X400" s="166">
        <v>1.91274811366579E-4</v>
      </c>
    </row>
    <row r="401" spans="1:24">
      <c r="A401" s="4" t="s">
        <v>256</v>
      </c>
      <c r="B401" s="4">
        <v>7206</v>
      </c>
      <c r="C401" s="4" t="s">
        <v>1666</v>
      </c>
      <c r="D401" s="4" t="s">
        <v>1667</v>
      </c>
      <c r="E401" s="4" t="s">
        <v>1552</v>
      </c>
      <c r="F401" s="4" t="s">
        <v>1668</v>
      </c>
      <c r="G401" s="4" t="s">
        <v>1669</v>
      </c>
      <c r="H401" s="4" t="s">
        <v>511</v>
      </c>
      <c r="I401" s="4" t="s">
        <v>1121</v>
      </c>
      <c r="J401" s="4" t="s">
        <v>31</v>
      </c>
      <c r="K401" s="4" t="s">
        <v>31</v>
      </c>
      <c r="L401" s="2" t="s">
        <v>517</v>
      </c>
      <c r="M401" s="2" t="s">
        <v>32</v>
      </c>
      <c r="N401" s="4" t="s">
        <v>664</v>
      </c>
      <c r="O401" s="4" t="s">
        <v>312</v>
      </c>
      <c r="P401" s="4" t="s">
        <v>35</v>
      </c>
      <c r="Q401" s="150">
        <v>154</v>
      </c>
      <c r="R401" s="150">
        <v>1</v>
      </c>
      <c r="S401" s="150">
        <v>7427</v>
      </c>
      <c r="U401" s="150">
        <v>11.438000000000001</v>
      </c>
      <c r="V401" s="166">
        <v>6.9999999999999999E-6</v>
      </c>
      <c r="W401" s="166">
        <v>1.6231765884386501E-3</v>
      </c>
      <c r="X401" s="166">
        <v>1.7079027565617099E-4</v>
      </c>
    </row>
    <row r="402" spans="1:24">
      <c r="A402" s="4" t="s">
        <v>256</v>
      </c>
      <c r="B402" s="4">
        <v>7206</v>
      </c>
      <c r="C402" s="4" t="s">
        <v>1670</v>
      </c>
      <c r="D402" s="4" t="s">
        <v>1671</v>
      </c>
      <c r="E402" s="4" t="s">
        <v>1552</v>
      </c>
      <c r="F402" s="4" t="s">
        <v>1672</v>
      </c>
      <c r="G402" s="4" t="s">
        <v>1673</v>
      </c>
      <c r="H402" s="4" t="s">
        <v>511</v>
      </c>
      <c r="I402" s="4" t="s">
        <v>1121</v>
      </c>
      <c r="J402" s="4" t="s">
        <v>31</v>
      </c>
      <c r="K402" s="4" t="s">
        <v>31</v>
      </c>
      <c r="L402" s="2" t="s">
        <v>517</v>
      </c>
      <c r="M402" s="2" t="s">
        <v>32</v>
      </c>
      <c r="N402" s="4" t="s">
        <v>652</v>
      </c>
      <c r="O402" s="4" t="s">
        <v>312</v>
      </c>
      <c r="P402" s="4" t="s">
        <v>35</v>
      </c>
      <c r="Q402" s="150">
        <v>3205</v>
      </c>
      <c r="R402" s="150">
        <v>1</v>
      </c>
      <c r="S402" s="150">
        <v>1510</v>
      </c>
      <c r="U402" s="150">
        <v>48.395000000000003</v>
      </c>
      <c r="V402" s="166">
        <v>6.9999999999999999E-6</v>
      </c>
      <c r="W402" s="166">
        <v>6.8680999464731897E-3</v>
      </c>
      <c r="X402" s="166">
        <v>7.2265993204141199E-4</v>
      </c>
    </row>
    <row r="403" spans="1:24">
      <c r="A403" s="4" t="s">
        <v>256</v>
      </c>
      <c r="B403" s="4">
        <v>7206</v>
      </c>
      <c r="C403" s="4" t="s">
        <v>1674</v>
      </c>
      <c r="D403" s="4" t="s">
        <v>1675</v>
      </c>
      <c r="E403" s="4" t="s">
        <v>1552</v>
      </c>
      <c r="F403" s="4" t="s">
        <v>1676</v>
      </c>
      <c r="G403" s="4" t="s">
        <v>1677</v>
      </c>
      <c r="H403" s="4" t="s">
        <v>511</v>
      </c>
      <c r="I403" s="4" t="s">
        <v>1121</v>
      </c>
      <c r="J403" s="4" t="s">
        <v>31</v>
      </c>
      <c r="K403" s="4" t="s">
        <v>155</v>
      </c>
      <c r="L403" s="2" t="s">
        <v>517</v>
      </c>
      <c r="M403" s="2" t="s">
        <v>32</v>
      </c>
      <c r="N403" s="4" t="s">
        <v>629</v>
      </c>
      <c r="O403" s="4" t="s">
        <v>312</v>
      </c>
      <c r="P403" s="4" t="s">
        <v>35</v>
      </c>
      <c r="Q403" s="150">
        <v>5477.9</v>
      </c>
      <c r="R403" s="150">
        <v>1</v>
      </c>
      <c r="S403" s="150">
        <v>5985</v>
      </c>
      <c r="U403" s="150">
        <v>327.85199999999998</v>
      </c>
      <c r="V403" s="166">
        <v>4.6E-5</v>
      </c>
      <c r="W403" s="166">
        <v>4.65275173746032E-2</v>
      </c>
      <c r="X403" s="166">
        <v>4.89561491621162E-3</v>
      </c>
    </row>
    <row r="404" spans="1:24">
      <c r="A404" s="4" t="s">
        <v>256</v>
      </c>
      <c r="B404" s="4">
        <v>7206</v>
      </c>
      <c r="C404" s="4" t="s">
        <v>1678</v>
      </c>
      <c r="D404" s="4" t="s">
        <v>1679</v>
      </c>
      <c r="E404" s="4" t="s">
        <v>505</v>
      </c>
      <c r="F404" s="4" t="s">
        <v>1680</v>
      </c>
      <c r="G404" s="4" t="s">
        <v>1681</v>
      </c>
      <c r="H404" s="4" t="s">
        <v>511</v>
      </c>
      <c r="I404" s="4" t="s">
        <v>1121</v>
      </c>
      <c r="J404" s="4" t="s">
        <v>154</v>
      </c>
      <c r="K404" s="4" t="s">
        <v>426</v>
      </c>
      <c r="L404" s="2" t="s">
        <v>517</v>
      </c>
      <c r="M404" s="2" t="s">
        <v>32</v>
      </c>
      <c r="N404" s="4" t="s">
        <v>642</v>
      </c>
      <c r="O404" s="4" t="s">
        <v>312</v>
      </c>
      <c r="P404" s="4" t="s">
        <v>35</v>
      </c>
      <c r="Q404" s="150">
        <v>325</v>
      </c>
      <c r="R404" s="150">
        <v>1</v>
      </c>
      <c r="S404" s="150">
        <v>4611</v>
      </c>
      <c r="T404" s="149">
        <v>0.36699999999999999</v>
      </c>
      <c r="U404" s="150">
        <v>15.352</v>
      </c>
      <c r="V404" s="166">
        <v>1.9999999999999999E-6</v>
      </c>
      <c r="W404" s="166">
        <v>2.1787315881330498E-3</v>
      </c>
      <c r="X404" s="166">
        <v>2.29245647804705E-4</v>
      </c>
    </row>
    <row r="405" spans="1:24">
      <c r="A405" s="4" t="s">
        <v>256</v>
      </c>
      <c r="B405" s="4">
        <v>7206</v>
      </c>
      <c r="C405" s="4" t="s">
        <v>1682</v>
      </c>
      <c r="D405" s="4" t="s">
        <v>1683</v>
      </c>
      <c r="E405" s="4" t="s">
        <v>1552</v>
      </c>
      <c r="F405" s="4" t="s">
        <v>1684</v>
      </c>
      <c r="G405" s="4" t="s">
        <v>1685</v>
      </c>
      <c r="H405" s="4" t="s">
        <v>511</v>
      </c>
      <c r="I405" s="4" t="s">
        <v>1121</v>
      </c>
      <c r="J405" s="4" t="s">
        <v>31</v>
      </c>
      <c r="K405" s="4" t="s">
        <v>31</v>
      </c>
      <c r="L405" s="2" t="s">
        <v>517</v>
      </c>
      <c r="M405" s="2" t="s">
        <v>32</v>
      </c>
      <c r="N405" s="4" t="s">
        <v>639</v>
      </c>
      <c r="O405" s="4" t="s">
        <v>312</v>
      </c>
      <c r="P405" s="4" t="s">
        <v>35</v>
      </c>
      <c r="Q405" s="150">
        <v>320.64</v>
      </c>
      <c r="R405" s="150">
        <v>1</v>
      </c>
      <c r="S405" s="150">
        <v>10800</v>
      </c>
      <c r="U405" s="150">
        <v>34.628999999999998</v>
      </c>
      <c r="V405" s="166">
        <v>9.0000000000000002E-6</v>
      </c>
      <c r="W405" s="166">
        <v>4.9144291766468704E-3</v>
      </c>
      <c r="X405" s="166">
        <v>5.1709513293289502E-4</v>
      </c>
    </row>
    <row r="406" spans="1:24">
      <c r="A406" s="4" t="s">
        <v>256</v>
      </c>
      <c r="B406" s="4">
        <v>7206</v>
      </c>
      <c r="C406" s="4" t="s">
        <v>1686</v>
      </c>
      <c r="D406" s="4" t="s">
        <v>1687</v>
      </c>
      <c r="E406" s="4" t="s">
        <v>1552</v>
      </c>
      <c r="F406" s="4" t="s">
        <v>1688</v>
      </c>
      <c r="G406" s="4" t="s">
        <v>1689</v>
      </c>
      <c r="H406" s="4" t="s">
        <v>511</v>
      </c>
      <c r="I406" s="4" t="s">
        <v>1121</v>
      </c>
      <c r="J406" s="4" t="s">
        <v>31</v>
      </c>
      <c r="K406" s="4" t="s">
        <v>31</v>
      </c>
      <c r="L406" s="2" t="s">
        <v>517</v>
      </c>
      <c r="M406" s="2" t="s">
        <v>32</v>
      </c>
      <c r="N406" s="4" t="s">
        <v>629</v>
      </c>
      <c r="O406" s="4" t="s">
        <v>312</v>
      </c>
      <c r="P406" s="4" t="s">
        <v>35</v>
      </c>
      <c r="Q406" s="150">
        <v>446</v>
      </c>
      <c r="R406" s="150">
        <v>1</v>
      </c>
      <c r="S406" s="150">
        <v>1526</v>
      </c>
      <c r="U406" s="150">
        <v>6.806</v>
      </c>
      <c r="V406" s="166">
        <v>1.0000000000000001E-5</v>
      </c>
      <c r="W406" s="166">
        <v>9.6587520558107001E-4</v>
      </c>
      <c r="X406" s="166">
        <v>1.0162917194938701E-4</v>
      </c>
    </row>
    <row r="407" spans="1:24">
      <c r="A407" s="4" t="s">
        <v>256</v>
      </c>
      <c r="B407" s="4">
        <v>7206</v>
      </c>
      <c r="C407" s="4" t="s">
        <v>1690</v>
      </c>
      <c r="D407" s="4" t="s">
        <v>1691</v>
      </c>
      <c r="E407" s="4" t="s">
        <v>1552</v>
      </c>
      <c r="F407" s="4" t="s">
        <v>1692</v>
      </c>
      <c r="G407" s="4" t="s">
        <v>1693</v>
      </c>
      <c r="H407" s="4" t="s">
        <v>511</v>
      </c>
      <c r="I407" s="4" t="s">
        <v>1121</v>
      </c>
      <c r="J407" s="4" t="s">
        <v>31</v>
      </c>
      <c r="K407" s="4" t="s">
        <v>489</v>
      </c>
      <c r="L407" s="2" t="s">
        <v>517</v>
      </c>
      <c r="M407" s="2" t="s">
        <v>32</v>
      </c>
      <c r="N407" s="4" t="s">
        <v>627</v>
      </c>
      <c r="O407" s="4" t="s">
        <v>312</v>
      </c>
      <c r="P407" s="4" t="s">
        <v>35</v>
      </c>
      <c r="Q407" s="150">
        <v>1458</v>
      </c>
      <c r="R407" s="150">
        <v>1</v>
      </c>
      <c r="S407" s="150">
        <v>4596</v>
      </c>
      <c r="U407" s="150">
        <v>67.010000000000005</v>
      </c>
      <c r="V407" s="166">
        <v>5.8999999999999998E-5</v>
      </c>
      <c r="W407" s="166">
        <v>9.5097515186574298E-3</v>
      </c>
      <c r="X407" s="166">
        <v>1.00061391647812E-3</v>
      </c>
    </row>
    <row r="408" spans="1:24">
      <c r="A408" s="4" t="s">
        <v>256</v>
      </c>
      <c r="B408" s="4">
        <v>7206</v>
      </c>
      <c r="C408" s="4" t="s">
        <v>1694</v>
      </c>
      <c r="D408" s="4" t="s">
        <v>1695</v>
      </c>
      <c r="E408" s="4" t="s">
        <v>1552</v>
      </c>
      <c r="F408" s="4" t="s">
        <v>1696</v>
      </c>
      <c r="G408" s="4" t="s">
        <v>1697</v>
      </c>
      <c r="H408" s="4" t="s">
        <v>511</v>
      </c>
      <c r="I408" s="4" t="s">
        <v>1121</v>
      </c>
      <c r="J408" s="4" t="s">
        <v>31</v>
      </c>
      <c r="K408" s="4" t="s">
        <v>31</v>
      </c>
      <c r="L408" s="2" t="s">
        <v>517</v>
      </c>
      <c r="M408" s="2" t="s">
        <v>32</v>
      </c>
      <c r="N408" s="4" t="s">
        <v>652</v>
      </c>
      <c r="O408" s="4" t="s">
        <v>312</v>
      </c>
      <c r="P408" s="4" t="s">
        <v>35</v>
      </c>
      <c r="Q408" s="150">
        <v>1800</v>
      </c>
      <c r="R408" s="150">
        <v>1</v>
      </c>
      <c r="S408" s="150">
        <v>210.4</v>
      </c>
      <c r="U408" s="150">
        <v>3.7869999999999999</v>
      </c>
      <c r="V408" s="166">
        <v>6.0000000000000002E-6</v>
      </c>
      <c r="W408" s="166">
        <v>5.3746460140474401E-4</v>
      </c>
      <c r="X408" s="166">
        <v>5.6551904508213298E-5</v>
      </c>
    </row>
    <row r="409" spans="1:24">
      <c r="A409" s="4" t="s">
        <v>256</v>
      </c>
      <c r="B409" s="4">
        <v>7206</v>
      </c>
      <c r="C409" s="4" t="s">
        <v>1698</v>
      </c>
      <c r="D409" s="4" t="s">
        <v>1699</v>
      </c>
      <c r="E409" s="4" t="s">
        <v>1552</v>
      </c>
      <c r="F409" s="4" t="s">
        <v>1700</v>
      </c>
      <c r="G409" s="4" t="s">
        <v>1701</v>
      </c>
      <c r="H409" s="4" t="s">
        <v>511</v>
      </c>
      <c r="I409" s="4" t="s">
        <v>1121</v>
      </c>
      <c r="J409" s="4" t="s">
        <v>31</v>
      </c>
      <c r="K409" s="4" t="s">
        <v>31</v>
      </c>
      <c r="L409" s="2" t="s">
        <v>517</v>
      </c>
      <c r="M409" s="2" t="s">
        <v>32</v>
      </c>
      <c r="N409" s="4" t="s">
        <v>628</v>
      </c>
      <c r="O409" s="4" t="s">
        <v>312</v>
      </c>
      <c r="P409" s="4" t="s">
        <v>35</v>
      </c>
      <c r="Q409" s="150">
        <v>35770</v>
      </c>
      <c r="R409" s="150">
        <v>1</v>
      </c>
      <c r="S409" s="150">
        <v>86.7</v>
      </c>
      <c r="U409" s="150">
        <v>31.013000000000002</v>
      </c>
      <c r="V409" s="166">
        <v>1.1E-5</v>
      </c>
      <c r="W409" s="166">
        <v>4.4011853936625298E-3</v>
      </c>
      <c r="X409" s="166">
        <v>4.6309173749270401E-4</v>
      </c>
    </row>
    <row r="410" spans="1:24">
      <c r="A410" s="4" t="s">
        <v>256</v>
      </c>
      <c r="B410" s="4">
        <v>7206</v>
      </c>
      <c r="C410" s="4" t="s">
        <v>1702</v>
      </c>
      <c r="D410" s="4" t="s">
        <v>1703</v>
      </c>
      <c r="E410" s="4" t="s">
        <v>1552</v>
      </c>
      <c r="F410" s="4" t="s">
        <v>1704</v>
      </c>
      <c r="G410" s="4" t="s">
        <v>1705</v>
      </c>
      <c r="H410" s="4" t="s">
        <v>511</v>
      </c>
      <c r="I410" s="4" t="s">
        <v>1121</v>
      </c>
      <c r="J410" s="4" t="s">
        <v>31</v>
      </c>
      <c r="K410" s="4" t="s">
        <v>31</v>
      </c>
      <c r="L410" s="2" t="s">
        <v>517</v>
      </c>
      <c r="M410" s="2" t="s">
        <v>32</v>
      </c>
      <c r="N410" s="4" t="s">
        <v>673</v>
      </c>
      <c r="O410" s="4" t="s">
        <v>312</v>
      </c>
      <c r="P410" s="4" t="s">
        <v>35</v>
      </c>
      <c r="Q410" s="150">
        <v>39487</v>
      </c>
      <c r="R410" s="150">
        <v>1</v>
      </c>
      <c r="S410" s="150">
        <v>423.6</v>
      </c>
      <c r="U410" s="150">
        <v>167.267</v>
      </c>
      <c r="V410" s="166">
        <v>1.4E-5</v>
      </c>
      <c r="W410" s="166">
        <v>2.3737868328996201E-2</v>
      </c>
      <c r="X410" s="166">
        <v>2.4976931679990002E-3</v>
      </c>
    </row>
    <row r="411" spans="1:24">
      <c r="A411" s="4" t="s">
        <v>256</v>
      </c>
      <c r="B411" s="4">
        <v>7206</v>
      </c>
      <c r="C411" s="4" t="s">
        <v>1706</v>
      </c>
      <c r="D411" s="4" t="s">
        <v>1707</v>
      </c>
      <c r="E411" s="4" t="s">
        <v>1552</v>
      </c>
      <c r="F411" s="4" t="s">
        <v>1708</v>
      </c>
      <c r="G411" s="4" t="s">
        <v>1709</v>
      </c>
      <c r="H411" s="4" t="s">
        <v>511</v>
      </c>
      <c r="I411" s="4" t="s">
        <v>1121</v>
      </c>
      <c r="J411" s="4" t="s">
        <v>31</v>
      </c>
      <c r="K411" s="4" t="s">
        <v>31</v>
      </c>
      <c r="L411" s="2" t="s">
        <v>517</v>
      </c>
      <c r="M411" s="2" t="s">
        <v>32</v>
      </c>
      <c r="N411" s="4" t="s">
        <v>652</v>
      </c>
      <c r="O411" s="4" t="s">
        <v>312</v>
      </c>
      <c r="P411" s="4" t="s">
        <v>35</v>
      </c>
      <c r="Q411" s="150">
        <v>278.77</v>
      </c>
      <c r="R411" s="150">
        <v>1</v>
      </c>
      <c r="S411" s="150">
        <v>35740</v>
      </c>
      <c r="U411" s="150">
        <v>99.632000000000005</v>
      </c>
      <c r="V411" s="166">
        <v>1.1E-5</v>
      </c>
      <c r="W411" s="166">
        <v>1.4139439976253901E-2</v>
      </c>
      <c r="X411" s="166">
        <v>1.4877486949779E-3</v>
      </c>
    </row>
    <row r="412" spans="1:24">
      <c r="A412" s="4" t="s">
        <v>256</v>
      </c>
      <c r="B412" s="4">
        <v>7206</v>
      </c>
      <c r="C412" s="4" t="s">
        <v>1710</v>
      </c>
      <c r="D412" s="4" t="s">
        <v>1711</v>
      </c>
      <c r="E412" s="4" t="s">
        <v>1552</v>
      </c>
      <c r="F412" s="4" t="s">
        <v>1712</v>
      </c>
      <c r="G412" s="4" t="s">
        <v>1713</v>
      </c>
      <c r="H412" s="4" t="s">
        <v>511</v>
      </c>
      <c r="I412" s="4" t="s">
        <v>1121</v>
      </c>
      <c r="J412" s="4" t="s">
        <v>31</v>
      </c>
      <c r="K412" s="4" t="s">
        <v>31</v>
      </c>
      <c r="L412" s="2" t="s">
        <v>517</v>
      </c>
      <c r="M412" s="2" t="s">
        <v>32</v>
      </c>
      <c r="N412" s="4" t="s">
        <v>644</v>
      </c>
      <c r="O412" s="4" t="s">
        <v>312</v>
      </c>
      <c r="P412" s="4" t="s">
        <v>35</v>
      </c>
      <c r="Q412" s="150">
        <v>107</v>
      </c>
      <c r="R412" s="150">
        <v>1</v>
      </c>
      <c r="S412" s="150">
        <v>835.6</v>
      </c>
      <c r="U412" s="150">
        <v>0.89400000000000002</v>
      </c>
      <c r="V412" s="166">
        <v>3.0000000000000001E-6</v>
      </c>
      <c r="W412" s="166">
        <v>1.26886037283262E-4</v>
      </c>
      <c r="X412" s="166">
        <v>1.3350920311987099E-5</v>
      </c>
    </row>
    <row r="413" spans="1:24">
      <c r="A413" s="4" t="s">
        <v>256</v>
      </c>
      <c r="B413" s="4">
        <v>7206</v>
      </c>
      <c r="C413" s="4" t="s">
        <v>1714</v>
      </c>
      <c r="D413" s="4" t="s">
        <v>1715</v>
      </c>
      <c r="E413" s="4" t="s">
        <v>1552</v>
      </c>
      <c r="F413" s="4" t="s">
        <v>1716</v>
      </c>
      <c r="G413" s="4" t="s">
        <v>1717</v>
      </c>
      <c r="H413" s="4" t="s">
        <v>511</v>
      </c>
      <c r="I413" s="4" t="s">
        <v>1121</v>
      </c>
      <c r="J413" s="4" t="s">
        <v>31</v>
      </c>
      <c r="K413" s="4" t="s">
        <v>489</v>
      </c>
      <c r="L413" s="2" t="s">
        <v>517</v>
      </c>
      <c r="M413" s="2" t="s">
        <v>32</v>
      </c>
      <c r="N413" s="4" t="s">
        <v>653</v>
      </c>
      <c r="O413" s="4" t="s">
        <v>312</v>
      </c>
      <c r="P413" s="4" t="s">
        <v>35</v>
      </c>
      <c r="Q413" s="150">
        <v>1660.8</v>
      </c>
      <c r="R413" s="150">
        <v>1</v>
      </c>
      <c r="S413" s="150">
        <v>881.8</v>
      </c>
      <c r="U413" s="150">
        <v>14.645</v>
      </c>
      <c r="V413" s="166">
        <v>9.0000000000000002E-6</v>
      </c>
      <c r="W413" s="166">
        <v>2.0783517717296702E-3</v>
      </c>
      <c r="X413" s="166">
        <v>2.1868370609364401E-4</v>
      </c>
    </row>
    <row r="414" spans="1:24">
      <c r="A414" s="4" t="s">
        <v>256</v>
      </c>
      <c r="B414" s="4">
        <v>7206</v>
      </c>
      <c r="C414" s="4" t="s">
        <v>1718</v>
      </c>
      <c r="D414" s="4" t="s">
        <v>1719</v>
      </c>
      <c r="E414" s="4" t="s">
        <v>1552</v>
      </c>
      <c r="F414" s="4" t="s">
        <v>1720</v>
      </c>
      <c r="G414" s="4" t="s">
        <v>1721</v>
      </c>
      <c r="H414" s="4" t="s">
        <v>511</v>
      </c>
      <c r="I414" s="4" t="s">
        <v>1121</v>
      </c>
      <c r="J414" s="4" t="s">
        <v>31</v>
      </c>
      <c r="K414" s="4" t="s">
        <v>155</v>
      </c>
      <c r="L414" s="2" t="s">
        <v>517</v>
      </c>
      <c r="M414" s="2" t="s">
        <v>32</v>
      </c>
      <c r="N414" s="4" t="s">
        <v>657</v>
      </c>
      <c r="O414" s="4" t="s">
        <v>312</v>
      </c>
      <c r="P414" s="4" t="s">
        <v>35</v>
      </c>
      <c r="Q414" s="150">
        <v>678</v>
      </c>
      <c r="R414" s="150">
        <v>1</v>
      </c>
      <c r="S414" s="150">
        <v>1681</v>
      </c>
      <c r="U414" s="150">
        <v>11.397</v>
      </c>
      <c r="V414" s="166">
        <v>1.2E-5</v>
      </c>
      <c r="W414" s="166">
        <v>1.6174431785588601E-3</v>
      </c>
      <c r="X414" s="166">
        <v>1.70187007557805E-4</v>
      </c>
    </row>
    <row r="415" spans="1:24">
      <c r="A415" s="4" t="s">
        <v>256</v>
      </c>
      <c r="B415" s="4">
        <v>7206</v>
      </c>
      <c r="C415" s="4" t="s">
        <v>1722</v>
      </c>
      <c r="D415" s="4" t="s">
        <v>1723</v>
      </c>
      <c r="E415" s="4" t="s">
        <v>1552</v>
      </c>
      <c r="F415" s="4" t="s">
        <v>1724</v>
      </c>
      <c r="G415" s="4" t="s">
        <v>1725</v>
      </c>
      <c r="H415" s="4" t="s">
        <v>511</v>
      </c>
      <c r="I415" s="4" t="s">
        <v>1121</v>
      </c>
      <c r="J415" s="4" t="s">
        <v>31</v>
      </c>
      <c r="K415" s="4" t="s">
        <v>31</v>
      </c>
      <c r="L415" s="2" t="s">
        <v>517</v>
      </c>
      <c r="M415" s="2" t="s">
        <v>32</v>
      </c>
      <c r="N415" s="4" t="s">
        <v>669</v>
      </c>
      <c r="O415" s="4" t="s">
        <v>312</v>
      </c>
      <c r="P415" s="4" t="s">
        <v>35</v>
      </c>
      <c r="Q415" s="150">
        <v>219</v>
      </c>
      <c r="R415" s="150">
        <v>1</v>
      </c>
      <c r="S415" s="150">
        <v>3905</v>
      </c>
      <c r="U415" s="150">
        <v>8.5519999999999996</v>
      </c>
      <c r="V415" s="166">
        <v>1.9000000000000001E-5</v>
      </c>
      <c r="W415" s="166">
        <v>1.2136592728092799E-3</v>
      </c>
      <c r="X415" s="166">
        <v>1.2770095578765699E-4</v>
      </c>
    </row>
    <row r="416" spans="1:24">
      <c r="A416" s="4" t="s">
        <v>256</v>
      </c>
      <c r="B416" s="4">
        <v>7206</v>
      </c>
      <c r="C416" s="4" t="s">
        <v>1726</v>
      </c>
      <c r="D416" s="4" t="s">
        <v>1727</v>
      </c>
      <c r="E416" s="4" t="s">
        <v>1552</v>
      </c>
      <c r="F416" s="4" t="s">
        <v>1728</v>
      </c>
      <c r="G416" s="4" t="s">
        <v>1729</v>
      </c>
      <c r="H416" s="4" t="s">
        <v>511</v>
      </c>
      <c r="I416" s="4" t="s">
        <v>1121</v>
      </c>
      <c r="J416" s="4" t="s">
        <v>31</v>
      </c>
      <c r="K416" s="4" t="s">
        <v>31</v>
      </c>
      <c r="L416" s="2" t="s">
        <v>517</v>
      </c>
      <c r="M416" s="2" t="s">
        <v>32</v>
      </c>
      <c r="N416" s="4" t="s">
        <v>650</v>
      </c>
      <c r="O416" s="4" t="s">
        <v>312</v>
      </c>
      <c r="P416" s="4" t="s">
        <v>35</v>
      </c>
      <c r="Q416" s="150">
        <v>46.25</v>
      </c>
      <c r="R416" s="150">
        <v>1</v>
      </c>
      <c r="S416" s="150">
        <v>39460</v>
      </c>
      <c r="U416" s="150">
        <v>18.25</v>
      </c>
      <c r="V416" s="166">
        <v>3.8000000000000002E-5</v>
      </c>
      <c r="W416" s="166">
        <v>2.5900040509576798E-3</v>
      </c>
      <c r="X416" s="166">
        <v>2.7251964386644999E-4</v>
      </c>
    </row>
    <row r="417" spans="1:24">
      <c r="A417" s="4" t="s">
        <v>256</v>
      </c>
      <c r="B417" s="4">
        <v>7206</v>
      </c>
      <c r="C417" s="4" t="s">
        <v>1730</v>
      </c>
      <c r="D417" s="4" t="s">
        <v>1731</v>
      </c>
      <c r="E417" s="4" t="s">
        <v>1552</v>
      </c>
      <c r="F417" s="4" t="s">
        <v>1732</v>
      </c>
      <c r="G417" s="4" t="s">
        <v>1733</v>
      </c>
      <c r="H417" s="4" t="s">
        <v>511</v>
      </c>
      <c r="I417" s="4" t="s">
        <v>1121</v>
      </c>
      <c r="J417" s="4" t="s">
        <v>31</v>
      </c>
      <c r="K417" s="4" t="s">
        <v>31</v>
      </c>
      <c r="L417" s="2" t="s">
        <v>517</v>
      </c>
      <c r="M417" s="2" t="s">
        <v>32</v>
      </c>
      <c r="N417" s="4" t="s">
        <v>644</v>
      </c>
      <c r="O417" s="4" t="s">
        <v>312</v>
      </c>
      <c r="P417" s="4" t="s">
        <v>35</v>
      </c>
      <c r="Q417" s="150">
        <v>2065</v>
      </c>
      <c r="R417" s="150">
        <v>1</v>
      </c>
      <c r="S417" s="150">
        <v>947.8</v>
      </c>
      <c r="U417" s="150">
        <v>19.571999999999999</v>
      </c>
      <c r="V417" s="166">
        <v>1.36E-4</v>
      </c>
      <c r="W417" s="166">
        <v>2.7775915719306398E-3</v>
      </c>
      <c r="X417" s="166">
        <v>2.92257560643237E-4</v>
      </c>
    </row>
    <row r="418" spans="1:24">
      <c r="A418" s="4" t="s">
        <v>256</v>
      </c>
      <c r="B418" s="4">
        <v>7206</v>
      </c>
      <c r="C418" s="4" t="s">
        <v>1734</v>
      </c>
      <c r="D418" s="4" t="s">
        <v>1735</v>
      </c>
      <c r="E418" s="4" t="s">
        <v>1552</v>
      </c>
      <c r="F418" s="4" t="s">
        <v>1736</v>
      </c>
      <c r="G418" s="4" t="s">
        <v>1737</v>
      </c>
      <c r="H418" s="4" t="s">
        <v>511</v>
      </c>
      <c r="I418" s="4" t="s">
        <v>1121</v>
      </c>
      <c r="J418" s="4" t="s">
        <v>31</v>
      </c>
      <c r="K418" s="4" t="s">
        <v>31</v>
      </c>
      <c r="L418" s="2" t="s">
        <v>517</v>
      </c>
      <c r="M418" s="2" t="s">
        <v>32</v>
      </c>
      <c r="N418" s="4" t="s">
        <v>659</v>
      </c>
      <c r="O418" s="4" t="s">
        <v>312</v>
      </c>
      <c r="P418" s="4" t="s">
        <v>35</v>
      </c>
      <c r="Q418" s="150">
        <v>2176</v>
      </c>
      <c r="R418" s="150">
        <v>1</v>
      </c>
      <c r="S418" s="150">
        <v>72.900000000000006</v>
      </c>
      <c r="U418" s="150">
        <v>1.5860000000000001</v>
      </c>
      <c r="V418" s="166">
        <v>2.0000000000000002E-5</v>
      </c>
      <c r="W418" s="166">
        <v>2.2512205509789599E-4</v>
      </c>
      <c r="X418" s="166">
        <v>2.36872920175847E-5</v>
      </c>
    </row>
    <row r="419" spans="1:24">
      <c r="A419" s="4" t="s">
        <v>256</v>
      </c>
      <c r="B419" s="4">
        <v>7206</v>
      </c>
      <c r="C419" s="4" t="s">
        <v>1738</v>
      </c>
      <c r="D419" s="4" t="s">
        <v>1739</v>
      </c>
      <c r="E419" s="4" t="s">
        <v>1552</v>
      </c>
      <c r="F419" s="4" t="s">
        <v>1740</v>
      </c>
      <c r="G419" s="4" t="s">
        <v>1741</v>
      </c>
      <c r="H419" s="4" t="s">
        <v>511</v>
      </c>
      <c r="I419" s="4" t="s">
        <v>1121</v>
      </c>
      <c r="J419" s="4" t="s">
        <v>31</v>
      </c>
      <c r="K419" s="4" t="s">
        <v>31</v>
      </c>
      <c r="L419" s="2" t="s">
        <v>517</v>
      </c>
      <c r="M419" s="2" t="s">
        <v>32</v>
      </c>
      <c r="N419" s="4" t="s">
        <v>629</v>
      </c>
      <c r="O419" s="4" t="s">
        <v>312</v>
      </c>
      <c r="P419" s="4" t="s">
        <v>35</v>
      </c>
      <c r="Q419" s="150">
        <v>990</v>
      </c>
      <c r="R419" s="150">
        <v>1</v>
      </c>
      <c r="S419" s="150">
        <v>995.7</v>
      </c>
      <c r="U419" s="150">
        <v>9.8569999999999993</v>
      </c>
      <c r="V419" s="166">
        <v>6.0000000000000002E-6</v>
      </c>
      <c r="W419" s="166">
        <v>1.39892788493482E-3</v>
      </c>
      <c r="X419" s="166">
        <v>1.4719487749693599E-4</v>
      </c>
    </row>
    <row r="420" spans="1:24">
      <c r="A420" s="4" t="s">
        <v>256</v>
      </c>
      <c r="B420" s="4">
        <v>7206</v>
      </c>
      <c r="C420" s="4" t="s">
        <v>1742</v>
      </c>
      <c r="D420" s="4" t="s">
        <v>1743</v>
      </c>
      <c r="E420" s="4" t="s">
        <v>1552</v>
      </c>
      <c r="F420" s="4" t="s">
        <v>1744</v>
      </c>
      <c r="G420" s="4" t="s">
        <v>1745</v>
      </c>
      <c r="H420" s="4" t="s">
        <v>511</v>
      </c>
      <c r="I420" s="4" t="s">
        <v>1121</v>
      </c>
      <c r="J420" s="4" t="s">
        <v>31</v>
      </c>
      <c r="K420" s="4" t="s">
        <v>31</v>
      </c>
      <c r="L420" s="2" t="s">
        <v>517</v>
      </c>
      <c r="M420" s="2" t="s">
        <v>32</v>
      </c>
      <c r="N420" s="4" t="s">
        <v>636</v>
      </c>
      <c r="O420" s="4" t="s">
        <v>312</v>
      </c>
      <c r="P420" s="4" t="s">
        <v>35</v>
      </c>
      <c r="Q420" s="150">
        <v>11705</v>
      </c>
      <c r="R420" s="150">
        <v>1</v>
      </c>
      <c r="S420" s="150">
        <v>1909</v>
      </c>
      <c r="U420" s="150">
        <v>223.44800000000001</v>
      </c>
      <c r="V420" s="166">
        <v>9.0000000000000002E-6</v>
      </c>
      <c r="W420" s="166">
        <v>3.1710929476594298E-2</v>
      </c>
      <c r="X420" s="166">
        <v>3.33661686916674E-3</v>
      </c>
    </row>
    <row r="421" spans="1:24">
      <c r="A421" s="4" t="s">
        <v>256</v>
      </c>
      <c r="B421" s="4">
        <v>7206</v>
      </c>
      <c r="C421" s="4" t="s">
        <v>1746</v>
      </c>
      <c r="D421" s="4" t="s">
        <v>1747</v>
      </c>
      <c r="E421" s="4" t="s">
        <v>1552</v>
      </c>
      <c r="F421" s="4" t="s">
        <v>1748</v>
      </c>
      <c r="G421" s="4" t="s">
        <v>1749</v>
      </c>
      <c r="H421" s="4" t="s">
        <v>511</v>
      </c>
      <c r="I421" s="4" t="s">
        <v>1121</v>
      </c>
      <c r="J421" s="4" t="s">
        <v>31</v>
      </c>
      <c r="K421" s="4" t="s">
        <v>31</v>
      </c>
      <c r="L421" s="2" t="s">
        <v>517</v>
      </c>
      <c r="M421" s="2" t="s">
        <v>32</v>
      </c>
      <c r="N421" s="4" t="s">
        <v>650</v>
      </c>
      <c r="O421" s="4" t="s">
        <v>312</v>
      </c>
      <c r="P421" s="4" t="s">
        <v>35</v>
      </c>
      <c r="Q421" s="150">
        <v>1158</v>
      </c>
      <c r="R421" s="150">
        <v>1</v>
      </c>
      <c r="S421" s="150">
        <v>3081</v>
      </c>
      <c r="U421" s="150">
        <v>35.677999999999997</v>
      </c>
      <c r="V421" s="166">
        <v>4.1999999999999998E-5</v>
      </c>
      <c r="W421" s="166">
        <v>5.0632792827488404E-3</v>
      </c>
      <c r="X421" s="166">
        <v>5.3275710762725598E-4</v>
      </c>
    </row>
    <row r="422" spans="1:24">
      <c r="A422" s="4" t="s">
        <v>256</v>
      </c>
      <c r="B422" s="4">
        <v>7206</v>
      </c>
      <c r="C422" s="4" t="s">
        <v>1750</v>
      </c>
      <c r="D422" s="4" t="s">
        <v>1751</v>
      </c>
      <c r="E422" s="4" t="s">
        <v>1552</v>
      </c>
      <c r="F422" s="4" t="s">
        <v>1752</v>
      </c>
      <c r="G422" s="4" t="s">
        <v>1753</v>
      </c>
      <c r="H422" s="4" t="s">
        <v>511</v>
      </c>
      <c r="I422" s="4" t="s">
        <v>1121</v>
      </c>
      <c r="J422" s="4" t="s">
        <v>31</v>
      </c>
      <c r="K422" s="4" t="s">
        <v>31</v>
      </c>
      <c r="L422" s="2" t="s">
        <v>517</v>
      </c>
      <c r="M422" s="2" t="s">
        <v>32</v>
      </c>
      <c r="N422" s="4" t="s">
        <v>650</v>
      </c>
      <c r="O422" s="4" t="s">
        <v>312</v>
      </c>
      <c r="P422" s="4" t="s">
        <v>35</v>
      </c>
      <c r="Q422" s="150">
        <v>830</v>
      </c>
      <c r="R422" s="150">
        <v>1</v>
      </c>
      <c r="S422" s="150">
        <v>1897</v>
      </c>
      <c r="U422" s="150">
        <v>15.744999999999999</v>
      </c>
      <c r="V422" s="166">
        <v>9.0000000000000002E-6</v>
      </c>
      <c r="W422" s="166">
        <v>2.23448296778037E-3</v>
      </c>
      <c r="X422" s="166">
        <v>2.3511179543522101E-4</v>
      </c>
    </row>
    <row r="423" spans="1:24">
      <c r="A423" s="4" t="s">
        <v>256</v>
      </c>
      <c r="B423" s="4">
        <v>7206</v>
      </c>
      <c r="C423" s="4" t="s">
        <v>1754</v>
      </c>
      <c r="D423" s="4" t="s">
        <v>1755</v>
      </c>
      <c r="E423" s="4" t="s">
        <v>1552</v>
      </c>
      <c r="F423" s="4" t="s">
        <v>1756</v>
      </c>
      <c r="G423" s="4" t="s">
        <v>1757</v>
      </c>
      <c r="H423" s="4" t="s">
        <v>511</v>
      </c>
      <c r="I423" s="4" t="s">
        <v>1121</v>
      </c>
      <c r="J423" s="4" t="s">
        <v>31</v>
      </c>
      <c r="K423" s="4" t="s">
        <v>31</v>
      </c>
      <c r="L423" s="2" t="s">
        <v>517</v>
      </c>
      <c r="M423" s="2" t="s">
        <v>32</v>
      </c>
      <c r="N423" s="4" t="s">
        <v>635</v>
      </c>
      <c r="O423" s="4" t="s">
        <v>312</v>
      </c>
      <c r="P423" s="4" t="s">
        <v>35</v>
      </c>
      <c r="Q423" s="150">
        <v>203</v>
      </c>
      <c r="R423" s="150">
        <v>1</v>
      </c>
      <c r="S423" s="150">
        <v>27830</v>
      </c>
      <c r="U423" s="150">
        <v>56.494999999999997</v>
      </c>
      <c r="V423" s="166">
        <v>1.1E-5</v>
      </c>
      <c r="W423" s="166">
        <v>8.0175350945027608E-3</v>
      </c>
      <c r="X423" s="166">
        <v>8.43603239860863E-4</v>
      </c>
    </row>
    <row r="424" spans="1:24">
      <c r="A424" s="4" t="s">
        <v>256</v>
      </c>
      <c r="B424" s="4">
        <v>7206</v>
      </c>
      <c r="C424" s="4" t="s">
        <v>1758</v>
      </c>
      <c r="D424" s="4" t="s">
        <v>1759</v>
      </c>
      <c r="E424" s="4" t="s">
        <v>1552</v>
      </c>
      <c r="F424" s="4" t="s">
        <v>1760</v>
      </c>
      <c r="G424" s="4" t="s">
        <v>1761</v>
      </c>
      <c r="H424" s="4" t="s">
        <v>511</v>
      </c>
      <c r="I424" s="4" t="s">
        <v>1121</v>
      </c>
      <c r="J424" s="4" t="s">
        <v>31</v>
      </c>
      <c r="K424" s="4" t="s">
        <v>31</v>
      </c>
      <c r="L424" s="2" t="s">
        <v>517</v>
      </c>
      <c r="M424" s="2" t="s">
        <v>32</v>
      </c>
      <c r="N424" s="4" t="s">
        <v>666</v>
      </c>
      <c r="O424" s="4" t="s">
        <v>312</v>
      </c>
      <c r="P424" s="4" t="s">
        <v>35</v>
      </c>
      <c r="Q424" s="150">
        <v>100</v>
      </c>
      <c r="R424" s="150">
        <v>1</v>
      </c>
      <c r="S424" s="150">
        <v>30090</v>
      </c>
      <c r="U424" s="150">
        <v>30.09</v>
      </c>
      <c r="V424" s="166">
        <v>1.7E-5</v>
      </c>
      <c r="W424" s="166">
        <v>4.2702550317566404E-3</v>
      </c>
      <c r="X424" s="166">
        <v>4.4931527425331102E-4</v>
      </c>
    </row>
    <row r="425" spans="1:24">
      <c r="A425" s="4" t="s">
        <v>256</v>
      </c>
      <c r="B425" s="4">
        <v>7206</v>
      </c>
      <c r="C425" s="4" t="s">
        <v>2027</v>
      </c>
      <c r="D425" s="4" t="s">
        <v>2028</v>
      </c>
      <c r="E425" s="4" t="s">
        <v>1552</v>
      </c>
      <c r="F425" s="4" t="s">
        <v>2029</v>
      </c>
      <c r="G425" s="4" t="s">
        <v>2030</v>
      </c>
      <c r="H425" s="4" t="s">
        <v>511</v>
      </c>
      <c r="I425" s="4" t="s">
        <v>1121</v>
      </c>
      <c r="J425" s="4" t="s">
        <v>31</v>
      </c>
      <c r="K425" s="4" t="s">
        <v>31</v>
      </c>
      <c r="L425" s="2" t="s">
        <v>517</v>
      </c>
      <c r="M425" s="2" t="s">
        <v>32</v>
      </c>
      <c r="N425" s="4" t="s">
        <v>662</v>
      </c>
      <c r="O425" s="4" t="s">
        <v>312</v>
      </c>
      <c r="P425" s="4" t="s">
        <v>35</v>
      </c>
      <c r="Q425" s="150">
        <v>400</v>
      </c>
      <c r="R425" s="150">
        <v>1</v>
      </c>
      <c r="S425" s="150">
        <v>120.4</v>
      </c>
      <c r="U425" s="150">
        <v>0.48199999999999998</v>
      </c>
      <c r="V425" s="166">
        <v>2.1999999999999999E-5</v>
      </c>
      <c r="W425" s="166">
        <v>6.8346787081887498E-5</v>
      </c>
      <c r="X425" s="166">
        <v>7.1914335686405603E-6</v>
      </c>
    </row>
    <row r="426" spans="1:24">
      <c r="A426" s="4" t="s">
        <v>256</v>
      </c>
      <c r="B426" s="4">
        <v>7206</v>
      </c>
      <c r="C426" s="4" t="s">
        <v>1762</v>
      </c>
      <c r="D426" s="4" t="s">
        <v>1763</v>
      </c>
      <c r="E426" s="4" t="s">
        <v>1552</v>
      </c>
      <c r="F426" s="4" t="s">
        <v>1764</v>
      </c>
      <c r="G426" s="4" t="s">
        <v>1765</v>
      </c>
      <c r="H426" s="4" t="s">
        <v>511</v>
      </c>
      <c r="I426" s="4" t="s">
        <v>1121</v>
      </c>
      <c r="J426" s="4" t="s">
        <v>31</v>
      </c>
      <c r="K426" s="4" t="s">
        <v>31</v>
      </c>
      <c r="L426" s="2" t="s">
        <v>517</v>
      </c>
      <c r="M426" s="2" t="s">
        <v>32</v>
      </c>
      <c r="N426" s="4" t="s">
        <v>633</v>
      </c>
      <c r="O426" s="4" t="s">
        <v>312</v>
      </c>
      <c r="P426" s="4" t="s">
        <v>35</v>
      </c>
      <c r="Q426" s="150">
        <v>2716</v>
      </c>
      <c r="R426" s="150">
        <v>1</v>
      </c>
      <c r="S426" s="150">
        <v>3419</v>
      </c>
      <c r="U426" s="150">
        <v>92.86</v>
      </c>
      <c r="V426" s="166">
        <v>1.0000000000000001E-5</v>
      </c>
      <c r="W426" s="166">
        <v>1.31783334349991E-2</v>
      </c>
      <c r="X426" s="166">
        <v>1.3866212808166601E-3</v>
      </c>
    </row>
    <row r="427" spans="1:24">
      <c r="A427" s="4" t="s">
        <v>256</v>
      </c>
      <c r="B427" s="4">
        <v>7206</v>
      </c>
      <c r="C427" s="4" t="s">
        <v>1766</v>
      </c>
      <c r="D427" s="4" t="s">
        <v>1767</v>
      </c>
      <c r="E427" s="4" t="s">
        <v>1552</v>
      </c>
      <c r="F427" s="4" t="s">
        <v>1768</v>
      </c>
      <c r="G427" s="4" t="s">
        <v>1769</v>
      </c>
      <c r="H427" s="4" t="s">
        <v>511</v>
      </c>
      <c r="I427" s="4" t="s">
        <v>1121</v>
      </c>
      <c r="J427" s="4" t="s">
        <v>31</v>
      </c>
      <c r="K427" s="4" t="s">
        <v>31</v>
      </c>
      <c r="L427" s="2" t="s">
        <v>517</v>
      </c>
      <c r="M427" s="2" t="s">
        <v>32</v>
      </c>
      <c r="N427" s="4" t="s">
        <v>633</v>
      </c>
      <c r="O427" s="4" t="s">
        <v>312</v>
      </c>
      <c r="P427" s="4" t="s">
        <v>35</v>
      </c>
      <c r="Q427" s="150">
        <v>3689</v>
      </c>
      <c r="R427" s="150">
        <v>1</v>
      </c>
      <c r="S427" s="150">
        <v>2997</v>
      </c>
      <c r="U427" s="150">
        <v>110.559</v>
      </c>
      <c r="V427" s="166">
        <v>1.8E-5</v>
      </c>
      <c r="W427" s="166">
        <v>1.5690147399140701E-2</v>
      </c>
      <c r="X427" s="166">
        <v>1.65091378132975E-3</v>
      </c>
    </row>
    <row r="428" spans="1:24">
      <c r="A428" s="4" t="s">
        <v>256</v>
      </c>
      <c r="B428" s="4">
        <v>7206</v>
      </c>
      <c r="C428" s="4" t="s">
        <v>1770</v>
      </c>
      <c r="D428" s="4" t="s">
        <v>1771</v>
      </c>
      <c r="E428" s="4" t="s">
        <v>1552</v>
      </c>
      <c r="F428" s="4" t="s">
        <v>1772</v>
      </c>
      <c r="G428" s="4" t="s">
        <v>1773</v>
      </c>
      <c r="H428" s="4" t="s">
        <v>511</v>
      </c>
      <c r="I428" s="4" t="s">
        <v>1121</v>
      </c>
      <c r="J428" s="4" t="s">
        <v>31</v>
      </c>
      <c r="K428" s="4" t="s">
        <v>31</v>
      </c>
      <c r="L428" s="2" t="s">
        <v>517</v>
      </c>
      <c r="M428" s="2" t="s">
        <v>32</v>
      </c>
      <c r="N428" s="4" t="s">
        <v>665</v>
      </c>
      <c r="O428" s="4" t="s">
        <v>312</v>
      </c>
      <c r="P428" s="4" t="s">
        <v>35</v>
      </c>
      <c r="Q428" s="150">
        <v>1360</v>
      </c>
      <c r="R428" s="150">
        <v>1</v>
      </c>
      <c r="S428" s="150">
        <v>4545</v>
      </c>
      <c r="U428" s="150">
        <v>61.811999999999998</v>
      </c>
      <c r="V428" s="166">
        <v>1.9000000000000001E-5</v>
      </c>
      <c r="W428" s="166">
        <v>8.77211711608312E-3</v>
      </c>
      <c r="X428" s="166">
        <v>9.2300019050002102E-4</v>
      </c>
    </row>
    <row r="429" spans="1:24">
      <c r="A429" s="4" t="s">
        <v>256</v>
      </c>
      <c r="B429" s="4">
        <v>7206</v>
      </c>
      <c r="C429" s="4" t="s">
        <v>1774</v>
      </c>
      <c r="D429" s="4" t="s">
        <v>1775</v>
      </c>
      <c r="E429" s="4" t="s">
        <v>1552</v>
      </c>
      <c r="F429" s="4" t="s">
        <v>1776</v>
      </c>
      <c r="G429" s="4" t="s">
        <v>1777</v>
      </c>
      <c r="H429" s="4" t="s">
        <v>511</v>
      </c>
      <c r="I429" s="4" t="s">
        <v>1121</v>
      </c>
      <c r="J429" s="4" t="s">
        <v>31</v>
      </c>
      <c r="K429" s="4" t="s">
        <v>31</v>
      </c>
      <c r="L429" s="2" t="s">
        <v>517</v>
      </c>
      <c r="M429" s="2" t="s">
        <v>32</v>
      </c>
      <c r="N429" s="4" t="s">
        <v>664</v>
      </c>
      <c r="O429" s="4" t="s">
        <v>312</v>
      </c>
      <c r="P429" s="4" t="s">
        <v>35</v>
      </c>
      <c r="Q429" s="150">
        <v>338</v>
      </c>
      <c r="R429" s="150">
        <v>1</v>
      </c>
      <c r="S429" s="150">
        <v>3744</v>
      </c>
      <c r="U429" s="150">
        <v>12.654999999999999</v>
      </c>
      <c r="V429" s="166">
        <v>2.3E-5</v>
      </c>
      <c r="W429" s="166">
        <v>1.79590833351517E-3</v>
      </c>
      <c r="X429" s="166">
        <v>1.88965071033528E-4</v>
      </c>
    </row>
    <row r="430" spans="1:24">
      <c r="A430" s="4" t="s">
        <v>256</v>
      </c>
      <c r="B430" s="4">
        <v>7206</v>
      </c>
      <c r="C430" s="4" t="s">
        <v>1778</v>
      </c>
      <c r="D430" s="4" t="s">
        <v>1779</v>
      </c>
      <c r="E430" s="4" t="s">
        <v>1552</v>
      </c>
      <c r="F430" s="4" t="s">
        <v>1780</v>
      </c>
      <c r="G430" s="4" t="s">
        <v>1781</v>
      </c>
      <c r="H430" s="4" t="s">
        <v>511</v>
      </c>
      <c r="I430" s="4" t="s">
        <v>1121</v>
      </c>
      <c r="J430" s="4" t="s">
        <v>31</v>
      </c>
      <c r="K430" s="4" t="s">
        <v>31</v>
      </c>
      <c r="L430" s="2" t="s">
        <v>517</v>
      </c>
      <c r="M430" s="2" t="s">
        <v>32</v>
      </c>
      <c r="N430" s="4" t="s">
        <v>639</v>
      </c>
      <c r="O430" s="4" t="s">
        <v>312</v>
      </c>
      <c r="P430" s="4" t="s">
        <v>35</v>
      </c>
      <c r="Q430" s="150">
        <v>251</v>
      </c>
      <c r="R430" s="150">
        <v>1</v>
      </c>
      <c r="S430" s="150">
        <v>83740</v>
      </c>
      <c r="U430" s="150">
        <v>210.18700000000001</v>
      </c>
      <c r="V430" s="166">
        <v>3.3000000000000003E-5</v>
      </c>
      <c r="W430" s="166">
        <v>2.98289731625738E-2</v>
      </c>
      <c r="X430" s="166">
        <v>3.1385978489727601E-3</v>
      </c>
    </row>
    <row r="431" spans="1:24">
      <c r="A431" s="4" t="s">
        <v>256</v>
      </c>
      <c r="B431" s="4">
        <v>7206</v>
      </c>
      <c r="C431" s="4" t="s">
        <v>1782</v>
      </c>
      <c r="D431" s="4" t="s">
        <v>1783</v>
      </c>
      <c r="E431" s="4" t="s">
        <v>1552</v>
      </c>
      <c r="F431" s="4" t="s">
        <v>1784</v>
      </c>
      <c r="G431" s="4" t="s">
        <v>1785</v>
      </c>
      <c r="H431" s="4" t="s">
        <v>511</v>
      </c>
      <c r="I431" s="4" t="s">
        <v>1121</v>
      </c>
      <c r="J431" s="4" t="s">
        <v>31</v>
      </c>
      <c r="K431" s="4" t="s">
        <v>489</v>
      </c>
      <c r="L431" s="2" t="s">
        <v>517</v>
      </c>
      <c r="M431" s="2" t="s">
        <v>32</v>
      </c>
      <c r="N431" s="4" t="s">
        <v>646</v>
      </c>
      <c r="O431" s="4" t="s">
        <v>312</v>
      </c>
      <c r="P431" s="4" t="s">
        <v>35</v>
      </c>
      <c r="Q431" s="150">
        <v>793</v>
      </c>
      <c r="R431" s="150">
        <v>1</v>
      </c>
      <c r="S431" s="150">
        <v>14820</v>
      </c>
      <c r="U431" s="150">
        <v>117.523</v>
      </c>
      <c r="V431" s="166">
        <v>6.9999999999999999E-6</v>
      </c>
      <c r="W431" s="166">
        <v>1.66783474242314E-2</v>
      </c>
      <c r="X431" s="166">
        <v>1.7548919657681E-3</v>
      </c>
    </row>
    <row r="432" spans="1:24">
      <c r="A432" s="4" t="s">
        <v>256</v>
      </c>
      <c r="B432" s="4">
        <v>7206</v>
      </c>
      <c r="C432" s="4" t="s">
        <v>1786</v>
      </c>
      <c r="D432" s="4" t="s">
        <v>1787</v>
      </c>
      <c r="E432" s="4" t="s">
        <v>1552</v>
      </c>
      <c r="F432" s="4" t="s">
        <v>1788</v>
      </c>
      <c r="G432" s="4" t="s">
        <v>1789</v>
      </c>
      <c r="H432" s="4" t="s">
        <v>511</v>
      </c>
      <c r="I432" s="4" t="s">
        <v>1121</v>
      </c>
      <c r="J432" s="4" t="s">
        <v>31</v>
      </c>
      <c r="K432" s="4" t="s">
        <v>155</v>
      </c>
      <c r="L432" s="2" t="s">
        <v>517</v>
      </c>
      <c r="M432" s="2" t="s">
        <v>32</v>
      </c>
      <c r="N432" s="4" t="s">
        <v>655</v>
      </c>
      <c r="O432" s="4" t="s">
        <v>312</v>
      </c>
      <c r="P432" s="4" t="s">
        <v>35</v>
      </c>
      <c r="Q432" s="150">
        <v>2538</v>
      </c>
      <c r="R432" s="150">
        <v>1</v>
      </c>
      <c r="S432" s="150">
        <v>6120</v>
      </c>
      <c r="U432" s="150">
        <v>155.32599999999999</v>
      </c>
      <c r="V432" s="166">
        <v>1.9999999999999999E-6</v>
      </c>
      <c r="W432" s="166">
        <v>2.2043201228335599E-2</v>
      </c>
      <c r="X432" s="166">
        <v>2.3193806767218398E-3</v>
      </c>
    </row>
    <row r="433" spans="1:24">
      <c r="A433" s="4" t="s">
        <v>256</v>
      </c>
      <c r="B433" s="4">
        <v>7206</v>
      </c>
      <c r="C433" s="4" t="s">
        <v>1790</v>
      </c>
      <c r="D433" s="4" t="s">
        <v>1791</v>
      </c>
      <c r="E433" s="4" t="s">
        <v>1552</v>
      </c>
      <c r="F433" s="4" t="s">
        <v>1792</v>
      </c>
      <c r="G433" s="4" t="s">
        <v>1793</v>
      </c>
      <c r="H433" s="4" t="s">
        <v>511</v>
      </c>
      <c r="I433" s="4" t="s">
        <v>1121</v>
      </c>
      <c r="J433" s="4" t="s">
        <v>31</v>
      </c>
      <c r="K433" s="4" t="s">
        <v>31</v>
      </c>
      <c r="L433" s="2" t="s">
        <v>517</v>
      </c>
      <c r="M433" s="2" t="s">
        <v>32</v>
      </c>
      <c r="N433" s="4" t="s">
        <v>667</v>
      </c>
      <c r="O433" s="4" t="s">
        <v>312</v>
      </c>
      <c r="P433" s="4" t="s">
        <v>35</v>
      </c>
      <c r="Q433" s="150">
        <v>6553</v>
      </c>
      <c r="R433" s="150">
        <v>1</v>
      </c>
      <c r="S433" s="150">
        <v>1257</v>
      </c>
      <c r="U433" s="150">
        <v>82.370999999999995</v>
      </c>
      <c r="V433" s="166">
        <v>3.3000000000000003E-5</v>
      </c>
      <c r="W433" s="166">
        <v>1.1689799733279599E-2</v>
      </c>
      <c r="X433" s="166">
        <v>1.22999809942596E-3</v>
      </c>
    </row>
    <row r="434" spans="1:24">
      <c r="A434" s="4" t="s">
        <v>256</v>
      </c>
      <c r="B434" s="4">
        <v>7206</v>
      </c>
      <c r="C434" s="4" t="s">
        <v>1794</v>
      </c>
      <c r="D434" s="4" t="s">
        <v>1795</v>
      </c>
      <c r="E434" s="4" t="s">
        <v>1552</v>
      </c>
      <c r="F434" s="4" t="s">
        <v>1796</v>
      </c>
      <c r="G434" s="4" t="s">
        <v>1797</v>
      </c>
      <c r="H434" s="4" t="s">
        <v>511</v>
      </c>
      <c r="I434" s="4" t="s">
        <v>1121</v>
      </c>
      <c r="J434" s="4" t="s">
        <v>31</v>
      </c>
      <c r="K434" s="4" t="s">
        <v>31</v>
      </c>
      <c r="L434" s="2" t="s">
        <v>517</v>
      </c>
      <c r="M434" s="2" t="s">
        <v>32</v>
      </c>
      <c r="N434" s="4" t="s">
        <v>642</v>
      </c>
      <c r="O434" s="4" t="s">
        <v>312</v>
      </c>
      <c r="P434" s="4" t="s">
        <v>35</v>
      </c>
      <c r="Q434" s="150">
        <v>38170.9</v>
      </c>
      <c r="R434" s="150">
        <v>1</v>
      </c>
      <c r="S434" s="150">
        <v>147.19999999999999</v>
      </c>
      <c r="U434" s="150">
        <v>56.188000000000002</v>
      </c>
      <c r="V434" s="166">
        <v>1.5E-5</v>
      </c>
      <c r="W434" s="166">
        <v>7.9739192857877002E-3</v>
      </c>
      <c r="X434" s="166">
        <v>8.3901399427509704E-4</v>
      </c>
    </row>
    <row r="435" spans="1:24">
      <c r="A435" s="4" t="s">
        <v>256</v>
      </c>
      <c r="B435" s="4">
        <v>7206</v>
      </c>
      <c r="C435" s="4" t="s">
        <v>2035</v>
      </c>
      <c r="D435" s="4" t="s">
        <v>2036</v>
      </c>
      <c r="E435" s="4" t="s">
        <v>1552</v>
      </c>
      <c r="F435" s="4" t="s">
        <v>2037</v>
      </c>
      <c r="G435" s="4" t="s">
        <v>2038</v>
      </c>
      <c r="H435" s="4" t="s">
        <v>511</v>
      </c>
      <c r="I435" s="4" t="s">
        <v>1121</v>
      </c>
      <c r="J435" s="4" t="s">
        <v>31</v>
      </c>
      <c r="K435" s="4" t="s">
        <v>31</v>
      </c>
      <c r="L435" s="2" t="s">
        <v>517</v>
      </c>
      <c r="M435" s="2" t="s">
        <v>32</v>
      </c>
      <c r="N435" s="4" t="s">
        <v>649</v>
      </c>
      <c r="O435" s="4" t="s">
        <v>312</v>
      </c>
      <c r="P435" s="4" t="s">
        <v>35</v>
      </c>
      <c r="Q435" s="150">
        <v>53</v>
      </c>
      <c r="R435" s="150">
        <v>1</v>
      </c>
      <c r="S435" s="150">
        <v>8151</v>
      </c>
      <c r="U435" s="150">
        <v>4.32</v>
      </c>
      <c r="V435" s="166">
        <v>9.9999999999999995E-7</v>
      </c>
      <c r="W435" s="166">
        <v>6.1308174957925004E-4</v>
      </c>
      <c r="X435" s="166">
        <v>6.4508323836242205E-5</v>
      </c>
    </row>
    <row r="436" spans="1:24">
      <c r="A436" s="4" t="s">
        <v>256</v>
      </c>
      <c r="B436" s="4">
        <v>7206</v>
      </c>
      <c r="C436" s="4" t="s">
        <v>2039</v>
      </c>
      <c r="D436" s="4" t="s">
        <v>2040</v>
      </c>
      <c r="E436" s="4" t="s">
        <v>1552</v>
      </c>
      <c r="F436" s="4" t="s">
        <v>2041</v>
      </c>
      <c r="G436" s="4" t="s">
        <v>2042</v>
      </c>
      <c r="H436" s="4" t="s">
        <v>511</v>
      </c>
      <c r="I436" s="4" t="s">
        <v>1121</v>
      </c>
      <c r="J436" s="4" t="s">
        <v>31</v>
      </c>
      <c r="K436" s="4" t="s">
        <v>31</v>
      </c>
      <c r="L436" s="2" t="s">
        <v>517</v>
      </c>
      <c r="M436" s="2" t="s">
        <v>32</v>
      </c>
      <c r="N436" s="4" t="s">
        <v>652</v>
      </c>
      <c r="O436" s="4" t="s">
        <v>312</v>
      </c>
      <c r="P436" s="4" t="s">
        <v>35</v>
      </c>
      <c r="Q436" s="150">
        <v>43</v>
      </c>
      <c r="R436" s="150">
        <v>1</v>
      </c>
      <c r="S436" s="150">
        <v>28570</v>
      </c>
      <c r="U436" s="150">
        <v>12.285</v>
      </c>
      <c r="V436" s="166">
        <v>0</v>
      </c>
      <c r="W436" s="166">
        <v>1.7434533097585099E-3</v>
      </c>
      <c r="X436" s="166">
        <v>1.8344576522862601E-4</v>
      </c>
    </row>
    <row r="437" spans="1:24">
      <c r="A437" s="4" t="s">
        <v>256</v>
      </c>
      <c r="B437" s="4">
        <v>7206</v>
      </c>
      <c r="C437" s="4" t="s">
        <v>1798</v>
      </c>
      <c r="D437" s="4" t="s">
        <v>1799</v>
      </c>
      <c r="E437" s="4" t="s">
        <v>1552</v>
      </c>
      <c r="F437" s="4" t="s">
        <v>1800</v>
      </c>
      <c r="G437" s="4" t="s">
        <v>1801</v>
      </c>
      <c r="H437" s="4" t="s">
        <v>511</v>
      </c>
      <c r="I437" s="4" t="s">
        <v>1121</v>
      </c>
      <c r="J437" s="4" t="s">
        <v>31</v>
      </c>
      <c r="K437" s="4" t="s">
        <v>31</v>
      </c>
      <c r="L437" s="2" t="s">
        <v>517</v>
      </c>
      <c r="M437" s="2" t="s">
        <v>32</v>
      </c>
      <c r="N437" s="4" t="s">
        <v>633</v>
      </c>
      <c r="O437" s="4" t="s">
        <v>312</v>
      </c>
      <c r="P437" s="4" t="s">
        <v>35</v>
      </c>
      <c r="Q437" s="150">
        <v>1285</v>
      </c>
      <c r="R437" s="150">
        <v>1</v>
      </c>
      <c r="S437" s="150">
        <v>5291</v>
      </c>
      <c r="U437" s="150">
        <v>67.989000000000004</v>
      </c>
      <c r="V437" s="166">
        <v>1.5999999999999999E-5</v>
      </c>
      <c r="W437" s="166">
        <v>9.6487824507598199E-3</v>
      </c>
      <c r="X437" s="166">
        <v>1.01524271989213E-3</v>
      </c>
    </row>
    <row r="438" spans="1:24">
      <c r="A438" s="4" t="s">
        <v>256</v>
      </c>
      <c r="B438" s="4">
        <v>7206</v>
      </c>
      <c r="C438" s="4" t="s">
        <v>2043</v>
      </c>
      <c r="D438" s="4" t="s">
        <v>2044</v>
      </c>
      <c r="E438" s="4" t="s">
        <v>1552</v>
      </c>
      <c r="F438" s="4" t="s">
        <v>2045</v>
      </c>
      <c r="G438" s="4" t="s">
        <v>2046</v>
      </c>
      <c r="H438" s="4" t="s">
        <v>511</v>
      </c>
      <c r="I438" s="4" t="s">
        <v>1121</v>
      </c>
      <c r="J438" s="4" t="s">
        <v>31</v>
      </c>
      <c r="K438" s="4" t="s">
        <v>31</v>
      </c>
      <c r="L438" s="2" t="s">
        <v>517</v>
      </c>
      <c r="M438" s="2" t="s">
        <v>32</v>
      </c>
      <c r="N438" s="4" t="s">
        <v>644</v>
      </c>
      <c r="O438" s="4" t="s">
        <v>312</v>
      </c>
      <c r="P438" s="4" t="s">
        <v>35</v>
      </c>
      <c r="Q438" s="150">
        <v>133</v>
      </c>
      <c r="R438" s="150">
        <v>1</v>
      </c>
      <c r="S438" s="150">
        <v>1940</v>
      </c>
      <c r="U438" s="150">
        <v>2.58</v>
      </c>
      <c r="V438" s="166">
        <v>6.0000000000000002E-6</v>
      </c>
      <c r="W438" s="166">
        <v>3.6617188544162398E-4</v>
      </c>
      <c r="X438" s="166">
        <v>3.8528523450594597E-5</v>
      </c>
    </row>
    <row r="439" spans="1:24">
      <c r="A439" s="4" t="s">
        <v>256</v>
      </c>
      <c r="B439" s="4">
        <v>7206</v>
      </c>
      <c r="C439" s="4" t="s">
        <v>362</v>
      </c>
      <c r="D439" s="4" t="s">
        <v>1802</v>
      </c>
      <c r="E439" s="4" t="s">
        <v>1552</v>
      </c>
      <c r="F439" s="4" t="s">
        <v>1486</v>
      </c>
      <c r="G439" s="4" t="s">
        <v>1803</v>
      </c>
      <c r="H439" s="4" t="s">
        <v>511</v>
      </c>
      <c r="I439" s="4" t="s">
        <v>1121</v>
      </c>
      <c r="J439" s="4" t="s">
        <v>31</v>
      </c>
      <c r="K439" s="4" t="s">
        <v>31</v>
      </c>
      <c r="L439" s="2" t="s">
        <v>517</v>
      </c>
      <c r="M439" s="2" t="s">
        <v>32</v>
      </c>
      <c r="N439" s="4" t="s">
        <v>636</v>
      </c>
      <c r="O439" s="4" t="s">
        <v>312</v>
      </c>
      <c r="P439" s="4" t="s">
        <v>35</v>
      </c>
      <c r="Q439" s="150">
        <v>14740</v>
      </c>
      <c r="R439" s="150">
        <v>1</v>
      </c>
      <c r="S439" s="150">
        <v>3110</v>
      </c>
      <c r="U439" s="150">
        <v>458.41399999999999</v>
      </c>
      <c r="V439" s="166">
        <v>9.0000000000000002E-6</v>
      </c>
      <c r="W439" s="166">
        <v>6.5056320708796495E-2</v>
      </c>
      <c r="X439" s="166">
        <v>6.8452114367416796E-3</v>
      </c>
    </row>
    <row r="440" spans="1:24">
      <c r="A440" s="4" t="s">
        <v>256</v>
      </c>
      <c r="B440" s="4">
        <v>7206</v>
      </c>
      <c r="C440" s="4" t="s">
        <v>1804</v>
      </c>
      <c r="D440" s="4" t="s">
        <v>1805</v>
      </c>
      <c r="E440" s="4" t="s">
        <v>1552</v>
      </c>
      <c r="F440" s="4" t="s">
        <v>1806</v>
      </c>
      <c r="G440" s="4" t="s">
        <v>1807</v>
      </c>
      <c r="H440" s="4" t="s">
        <v>511</v>
      </c>
      <c r="I440" s="4" t="s">
        <v>1121</v>
      </c>
      <c r="J440" s="4" t="s">
        <v>31</v>
      </c>
      <c r="K440" s="4" t="s">
        <v>31</v>
      </c>
      <c r="L440" s="2" t="s">
        <v>517</v>
      </c>
      <c r="M440" s="2" t="s">
        <v>32</v>
      </c>
      <c r="N440" s="4" t="s">
        <v>639</v>
      </c>
      <c r="O440" s="4" t="s">
        <v>312</v>
      </c>
      <c r="P440" s="4" t="s">
        <v>35</v>
      </c>
      <c r="Q440" s="150">
        <v>17621</v>
      </c>
      <c r="R440" s="150">
        <v>1</v>
      </c>
      <c r="S440" s="150">
        <v>316.8</v>
      </c>
      <c r="U440" s="150">
        <v>55.823</v>
      </c>
      <c r="V440" s="166">
        <v>7.3999999999999996E-5</v>
      </c>
      <c r="W440" s="166">
        <v>7.9222282247059204E-3</v>
      </c>
      <c r="X440" s="166">
        <v>8.3357507245106395E-4</v>
      </c>
    </row>
    <row r="441" spans="1:24">
      <c r="A441" s="4" t="s">
        <v>256</v>
      </c>
      <c r="B441" s="4">
        <v>7206</v>
      </c>
      <c r="C441" s="4" t="s">
        <v>1436</v>
      </c>
      <c r="D441" s="4" t="s">
        <v>2047</v>
      </c>
      <c r="E441" s="4" t="s">
        <v>1552</v>
      </c>
      <c r="F441" s="4" t="s">
        <v>2048</v>
      </c>
      <c r="G441" s="4" t="s">
        <v>2049</v>
      </c>
      <c r="H441" s="4" t="s">
        <v>511</v>
      </c>
      <c r="I441" s="4" t="s">
        <v>1121</v>
      </c>
      <c r="J441" s="4" t="s">
        <v>31</v>
      </c>
      <c r="K441" s="4" t="s">
        <v>31</v>
      </c>
      <c r="L441" s="2" t="s">
        <v>517</v>
      </c>
      <c r="M441" s="2" t="s">
        <v>32</v>
      </c>
      <c r="N441" s="4" t="s">
        <v>633</v>
      </c>
      <c r="O441" s="4" t="s">
        <v>312</v>
      </c>
      <c r="P441" s="4" t="s">
        <v>35</v>
      </c>
      <c r="Q441" s="150">
        <v>430</v>
      </c>
      <c r="R441" s="150">
        <v>1</v>
      </c>
      <c r="S441" s="150">
        <v>454</v>
      </c>
      <c r="U441" s="150">
        <v>1.952</v>
      </c>
      <c r="V441" s="166">
        <v>1.0000000000000001E-5</v>
      </c>
      <c r="W441" s="166">
        <v>2.7704858334979399E-4</v>
      </c>
      <c r="X441" s="166">
        <v>2.9150989644310799E-5</v>
      </c>
    </row>
    <row r="442" spans="1:24">
      <c r="A442" s="4" t="s">
        <v>256</v>
      </c>
      <c r="B442" s="4">
        <v>7206</v>
      </c>
      <c r="C442" s="4" t="s">
        <v>1808</v>
      </c>
      <c r="D442" s="4" t="s">
        <v>1809</v>
      </c>
      <c r="E442" s="4" t="s">
        <v>1552</v>
      </c>
      <c r="F442" s="4" t="s">
        <v>1810</v>
      </c>
      <c r="G442" s="4" t="s">
        <v>1811</v>
      </c>
      <c r="H442" s="4" t="s">
        <v>511</v>
      </c>
      <c r="I442" s="4" t="s">
        <v>1121</v>
      </c>
      <c r="J442" s="4" t="s">
        <v>31</v>
      </c>
      <c r="K442" s="4" t="s">
        <v>31</v>
      </c>
      <c r="L442" s="2" t="s">
        <v>517</v>
      </c>
      <c r="M442" s="2" t="s">
        <v>32</v>
      </c>
      <c r="N442" s="4" t="s">
        <v>639</v>
      </c>
      <c r="O442" s="4" t="s">
        <v>312</v>
      </c>
      <c r="P442" s="4" t="s">
        <v>35</v>
      </c>
      <c r="Q442" s="150">
        <v>222</v>
      </c>
      <c r="R442" s="150">
        <v>1</v>
      </c>
      <c r="S442" s="150">
        <v>5126</v>
      </c>
      <c r="U442" s="150">
        <v>11.38</v>
      </c>
      <c r="V442" s="166">
        <v>3.0000000000000001E-6</v>
      </c>
      <c r="W442" s="166">
        <v>1.61496532369497E-3</v>
      </c>
      <c r="X442" s="166">
        <v>1.6992628822618401E-4</v>
      </c>
    </row>
    <row r="443" spans="1:24">
      <c r="A443" s="4" t="s">
        <v>256</v>
      </c>
      <c r="B443" s="4">
        <v>7206</v>
      </c>
      <c r="C443" s="4" t="s">
        <v>1812</v>
      </c>
      <c r="D443" s="4" t="s">
        <v>1813</v>
      </c>
      <c r="E443" s="4" t="s">
        <v>1552</v>
      </c>
      <c r="F443" s="4" t="s">
        <v>1814</v>
      </c>
      <c r="G443" s="4" t="s">
        <v>1815</v>
      </c>
      <c r="H443" s="4" t="s">
        <v>511</v>
      </c>
      <c r="I443" s="4" t="s">
        <v>1121</v>
      </c>
      <c r="J443" s="4" t="s">
        <v>31</v>
      </c>
      <c r="K443" s="4" t="s">
        <v>31</v>
      </c>
      <c r="L443" s="2" t="s">
        <v>517</v>
      </c>
      <c r="M443" s="2" t="s">
        <v>32</v>
      </c>
      <c r="N443" s="4" t="s">
        <v>664</v>
      </c>
      <c r="O443" s="4" t="s">
        <v>312</v>
      </c>
      <c r="P443" s="4" t="s">
        <v>35</v>
      </c>
      <c r="Q443" s="150">
        <v>39</v>
      </c>
      <c r="R443" s="150">
        <v>1</v>
      </c>
      <c r="S443" s="150">
        <v>17990</v>
      </c>
      <c r="U443" s="150">
        <v>7.016</v>
      </c>
      <c r="V443" s="166">
        <v>3.0000000000000001E-6</v>
      </c>
      <c r="W443" s="166">
        <v>9.956974519211609E-4</v>
      </c>
      <c r="X443" s="166">
        <v>1.0476706200361099E-4</v>
      </c>
    </row>
    <row r="444" spans="1:24">
      <c r="A444" s="4" t="s">
        <v>256</v>
      </c>
      <c r="B444" s="4">
        <v>7206</v>
      </c>
      <c r="C444" s="4" t="s">
        <v>1816</v>
      </c>
      <c r="D444" s="4" t="s">
        <v>1817</v>
      </c>
      <c r="E444" s="4" t="s">
        <v>1552</v>
      </c>
      <c r="F444" s="4" t="s">
        <v>1818</v>
      </c>
      <c r="G444" s="4" t="s">
        <v>1819</v>
      </c>
      <c r="H444" s="4" t="s">
        <v>511</v>
      </c>
      <c r="I444" s="4" t="s">
        <v>1121</v>
      </c>
      <c r="J444" s="4" t="s">
        <v>31</v>
      </c>
      <c r="K444" s="4" t="s">
        <v>31</v>
      </c>
      <c r="L444" s="2" t="s">
        <v>517</v>
      </c>
      <c r="M444" s="2" t="s">
        <v>32</v>
      </c>
      <c r="N444" s="4" t="s">
        <v>639</v>
      </c>
      <c r="O444" s="4" t="s">
        <v>312</v>
      </c>
      <c r="P444" s="4" t="s">
        <v>35</v>
      </c>
      <c r="Q444" s="150">
        <v>530</v>
      </c>
      <c r="R444" s="150">
        <v>1</v>
      </c>
      <c r="S444" s="150">
        <v>13990</v>
      </c>
      <c r="U444" s="150">
        <v>74.147000000000006</v>
      </c>
      <c r="V444" s="166">
        <v>5.0000000000000002E-5</v>
      </c>
      <c r="W444" s="166">
        <v>1.05226520385397E-2</v>
      </c>
      <c r="X444" s="166">
        <v>1.1071910814244E-3</v>
      </c>
    </row>
    <row r="445" spans="1:24">
      <c r="A445" s="4" t="s">
        <v>256</v>
      </c>
      <c r="B445" s="4">
        <v>7206</v>
      </c>
      <c r="C445" s="4" t="s">
        <v>1820</v>
      </c>
      <c r="D445" s="4" t="s">
        <v>1821</v>
      </c>
      <c r="E445" s="4" t="s">
        <v>1552</v>
      </c>
      <c r="F445" s="4" t="s">
        <v>1822</v>
      </c>
      <c r="G445" s="4" t="s">
        <v>1823</v>
      </c>
      <c r="H445" s="4" t="s">
        <v>511</v>
      </c>
      <c r="I445" s="4" t="s">
        <v>1121</v>
      </c>
      <c r="J445" s="4" t="s">
        <v>31</v>
      </c>
      <c r="K445" s="4" t="s">
        <v>31</v>
      </c>
      <c r="L445" s="2" t="s">
        <v>517</v>
      </c>
      <c r="M445" s="2" t="s">
        <v>32</v>
      </c>
      <c r="N445" s="4" t="s">
        <v>652</v>
      </c>
      <c r="O445" s="4" t="s">
        <v>312</v>
      </c>
      <c r="P445" s="4" t="s">
        <v>35</v>
      </c>
      <c r="Q445" s="150">
        <v>5680.08</v>
      </c>
      <c r="R445" s="150">
        <v>1</v>
      </c>
      <c r="S445" s="150">
        <v>881</v>
      </c>
      <c r="U445" s="150">
        <v>50.042000000000002</v>
      </c>
      <c r="V445" s="166">
        <v>7.9999999999999996E-6</v>
      </c>
      <c r="W445" s="166">
        <v>7.1016945054461203E-3</v>
      </c>
      <c r="X445" s="166">
        <v>7.4723869901164404E-4</v>
      </c>
    </row>
    <row r="446" spans="1:24">
      <c r="A446" s="4" t="s">
        <v>256</v>
      </c>
      <c r="B446" s="4">
        <v>7206</v>
      </c>
      <c r="C446" s="4" t="s">
        <v>1824</v>
      </c>
      <c r="D446" s="4" t="s">
        <v>1825</v>
      </c>
      <c r="E446" s="4" t="s">
        <v>1552</v>
      </c>
      <c r="F446" s="4" t="s">
        <v>1826</v>
      </c>
      <c r="G446" s="4" t="s">
        <v>1827</v>
      </c>
      <c r="H446" s="4" t="s">
        <v>511</v>
      </c>
      <c r="I446" s="4" t="s">
        <v>1121</v>
      </c>
      <c r="J446" s="4" t="s">
        <v>31</v>
      </c>
      <c r="K446" s="4" t="s">
        <v>31</v>
      </c>
      <c r="L446" s="2" t="s">
        <v>517</v>
      </c>
      <c r="M446" s="2" t="s">
        <v>32</v>
      </c>
      <c r="N446" s="4" t="s">
        <v>633</v>
      </c>
      <c r="O446" s="4" t="s">
        <v>312</v>
      </c>
      <c r="P446" s="4" t="s">
        <v>35</v>
      </c>
      <c r="Q446" s="150">
        <v>12470</v>
      </c>
      <c r="R446" s="150">
        <v>1</v>
      </c>
      <c r="S446" s="150">
        <v>422.2</v>
      </c>
      <c r="U446" s="150">
        <v>52.648000000000003</v>
      </c>
      <c r="V446" s="166">
        <v>1.2E-5</v>
      </c>
      <c r="W446" s="166">
        <v>7.4716463542251303E-3</v>
      </c>
      <c r="X446" s="166">
        <v>7.8616494935465403E-4</v>
      </c>
    </row>
    <row r="447" spans="1:24">
      <c r="A447" s="4" t="s">
        <v>256</v>
      </c>
      <c r="B447" s="4">
        <v>7206</v>
      </c>
      <c r="C447" s="4" t="s">
        <v>1828</v>
      </c>
      <c r="D447" s="4" t="s">
        <v>1829</v>
      </c>
      <c r="E447" s="4" t="s">
        <v>1552</v>
      </c>
      <c r="F447" s="4" t="s">
        <v>1830</v>
      </c>
      <c r="G447" s="4" t="s">
        <v>1831</v>
      </c>
      <c r="H447" s="4" t="s">
        <v>511</v>
      </c>
      <c r="I447" s="4" t="s">
        <v>1121</v>
      </c>
      <c r="J447" s="4" t="s">
        <v>31</v>
      </c>
      <c r="K447" s="4" t="s">
        <v>31</v>
      </c>
      <c r="L447" s="2" t="s">
        <v>517</v>
      </c>
      <c r="M447" s="2" t="s">
        <v>32</v>
      </c>
      <c r="N447" s="4" t="s">
        <v>652</v>
      </c>
      <c r="O447" s="4" t="s">
        <v>312</v>
      </c>
      <c r="P447" s="4" t="s">
        <v>35</v>
      </c>
      <c r="Q447" s="150">
        <v>1664</v>
      </c>
      <c r="R447" s="150">
        <v>1</v>
      </c>
      <c r="S447" s="150">
        <v>9151</v>
      </c>
      <c r="U447" s="150">
        <v>152.273</v>
      </c>
      <c r="V447" s="166">
        <v>4.6E-5</v>
      </c>
      <c r="W447" s="166">
        <v>2.1609937094013501E-2</v>
      </c>
      <c r="X447" s="166">
        <v>2.2737927219300602E-3</v>
      </c>
    </row>
    <row r="448" spans="1:24">
      <c r="A448" s="4" t="s">
        <v>256</v>
      </c>
      <c r="B448" s="4">
        <v>7206</v>
      </c>
      <c r="C448" s="4" t="s">
        <v>1832</v>
      </c>
      <c r="D448" s="4" t="s">
        <v>1833</v>
      </c>
      <c r="E448" s="4" t="s">
        <v>1552</v>
      </c>
      <c r="F448" s="4" t="s">
        <v>1834</v>
      </c>
      <c r="G448" s="4" t="s">
        <v>1835</v>
      </c>
      <c r="H448" s="4" t="s">
        <v>511</v>
      </c>
      <c r="I448" s="4" t="s">
        <v>1121</v>
      </c>
      <c r="J448" s="4" t="s">
        <v>31</v>
      </c>
      <c r="K448" s="4" t="s">
        <v>31</v>
      </c>
      <c r="L448" s="2" t="s">
        <v>517</v>
      </c>
      <c r="M448" s="2" t="s">
        <v>32</v>
      </c>
      <c r="N448" s="4" t="s">
        <v>669</v>
      </c>
      <c r="O448" s="4" t="s">
        <v>312</v>
      </c>
      <c r="P448" s="4" t="s">
        <v>35</v>
      </c>
      <c r="Q448" s="150">
        <v>955</v>
      </c>
      <c r="R448" s="150">
        <v>1</v>
      </c>
      <c r="S448" s="150">
        <v>3667</v>
      </c>
      <c r="T448" s="149">
        <v>0.76900000000000002</v>
      </c>
      <c r="U448" s="150">
        <v>35.789000000000001</v>
      </c>
      <c r="V448" s="166">
        <v>1.9000000000000001E-5</v>
      </c>
      <c r="W448" s="166">
        <v>5.0790759622963604E-3</v>
      </c>
      <c r="X448" s="166">
        <v>5.3441923069728404E-4</v>
      </c>
    </row>
    <row r="449" spans="1:24">
      <c r="A449" s="4" t="s">
        <v>256</v>
      </c>
      <c r="B449" s="4">
        <v>7206</v>
      </c>
      <c r="C449" s="4" t="s">
        <v>1836</v>
      </c>
      <c r="D449" s="4" t="s">
        <v>1837</v>
      </c>
      <c r="E449" s="4" t="s">
        <v>1552</v>
      </c>
      <c r="F449" s="4" t="s">
        <v>1838</v>
      </c>
      <c r="G449" s="4" t="s">
        <v>1839</v>
      </c>
      <c r="H449" s="4" t="s">
        <v>511</v>
      </c>
      <c r="I449" s="4" t="s">
        <v>1121</v>
      </c>
      <c r="J449" s="4" t="s">
        <v>31</v>
      </c>
      <c r="K449" s="4" t="s">
        <v>31</v>
      </c>
      <c r="L449" s="2" t="s">
        <v>517</v>
      </c>
      <c r="M449" s="2" t="s">
        <v>32</v>
      </c>
      <c r="N449" s="4" t="s">
        <v>647</v>
      </c>
      <c r="O449" s="4" t="s">
        <v>312</v>
      </c>
      <c r="P449" s="4" t="s">
        <v>35</v>
      </c>
      <c r="Q449" s="150">
        <v>141</v>
      </c>
      <c r="R449" s="150">
        <v>1</v>
      </c>
      <c r="S449" s="150">
        <v>14490</v>
      </c>
      <c r="U449" s="150">
        <v>20.431000000000001</v>
      </c>
      <c r="V449" s="166">
        <v>4.1999999999999998E-5</v>
      </c>
      <c r="W449" s="166">
        <v>2.8994733641846699E-3</v>
      </c>
      <c r="X449" s="166">
        <v>3.0508193541847701E-4</v>
      </c>
    </row>
    <row r="450" spans="1:24">
      <c r="A450" s="4" t="s">
        <v>256</v>
      </c>
      <c r="B450" s="4">
        <v>7206</v>
      </c>
      <c r="C450" s="4" t="s">
        <v>1840</v>
      </c>
      <c r="D450" s="4" t="s">
        <v>1841</v>
      </c>
      <c r="E450" s="4" t="s">
        <v>1552</v>
      </c>
      <c r="F450" s="4" t="s">
        <v>1842</v>
      </c>
      <c r="G450" s="4" t="s">
        <v>1843</v>
      </c>
      <c r="H450" s="4" t="s">
        <v>511</v>
      </c>
      <c r="I450" s="4" t="s">
        <v>1121</v>
      </c>
      <c r="J450" s="4" t="s">
        <v>31</v>
      </c>
      <c r="K450" s="4" t="s">
        <v>31</v>
      </c>
      <c r="L450" s="2" t="s">
        <v>517</v>
      </c>
      <c r="M450" s="2" t="s">
        <v>32</v>
      </c>
      <c r="N450" s="4" t="s">
        <v>636</v>
      </c>
      <c r="O450" s="4" t="s">
        <v>312</v>
      </c>
      <c r="P450" s="4" t="s">
        <v>35</v>
      </c>
      <c r="Q450" s="150">
        <v>1020.3</v>
      </c>
      <c r="R450" s="150">
        <v>1</v>
      </c>
      <c r="S450" s="150">
        <v>13080</v>
      </c>
      <c r="U450" s="150">
        <v>133.45500000000001</v>
      </c>
      <c r="V450" s="166">
        <v>3.9999999999999998E-6</v>
      </c>
      <c r="W450" s="166">
        <v>1.89394453348052E-2</v>
      </c>
      <c r="X450" s="166">
        <v>1.9928041794995501E-3</v>
      </c>
    </row>
    <row r="451" spans="1:24">
      <c r="A451" s="4" t="s">
        <v>256</v>
      </c>
      <c r="B451" s="4">
        <v>7206</v>
      </c>
      <c r="C451" s="4" t="s">
        <v>1844</v>
      </c>
      <c r="D451" s="4" t="s">
        <v>1845</v>
      </c>
      <c r="E451" s="4" t="s">
        <v>1552</v>
      </c>
      <c r="F451" s="4" t="s">
        <v>1846</v>
      </c>
      <c r="G451" s="4" t="s">
        <v>1847</v>
      </c>
      <c r="H451" s="4" t="s">
        <v>511</v>
      </c>
      <c r="I451" s="4" t="s">
        <v>1121</v>
      </c>
      <c r="J451" s="4" t="s">
        <v>31</v>
      </c>
      <c r="K451" s="4" t="s">
        <v>31</v>
      </c>
      <c r="L451" s="2" t="s">
        <v>517</v>
      </c>
      <c r="M451" s="2" t="s">
        <v>32</v>
      </c>
      <c r="N451" s="4" t="s">
        <v>665</v>
      </c>
      <c r="O451" s="4" t="s">
        <v>312</v>
      </c>
      <c r="P451" s="4" t="s">
        <v>35</v>
      </c>
      <c r="Q451" s="150">
        <v>46</v>
      </c>
      <c r="R451" s="150">
        <v>1</v>
      </c>
      <c r="S451" s="150">
        <v>25420</v>
      </c>
      <c r="U451" s="150">
        <v>11.693</v>
      </c>
      <c r="V451" s="166">
        <v>1.0000000000000001E-5</v>
      </c>
      <c r="W451" s="166">
        <v>1.6594531783761001E-3</v>
      </c>
      <c r="X451" s="166">
        <v>1.7460729029241599E-4</v>
      </c>
    </row>
    <row r="452" spans="1:24">
      <c r="A452" s="4" t="s">
        <v>256</v>
      </c>
      <c r="B452" s="4">
        <v>7206</v>
      </c>
      <c r="C452" s="4" t="s">
        <v>1848</v>
      </c>
      <c r="D452" s="4" t="s">
        <v>1849</v>
      </c>
      <c r="E452" s="4" t="s">
        <v>1552</v>
      </c>
      <c r="F452" s="4" t="s">
        <v>1850</v>
      </c>
      <c r="G452" s="4" t="s">
        <v>1851</v>
      </c>
      <c r="H452" s="4" t="s">
        <v>511</v>
      </c>
      <c r="I452" s="4" t="s">
        <v>1121</v>
      </c>
      <c r="J452" s="4" t="s">
        <v>31</v>
      </c>
      <c r="K452" s="4" t="s">
        <v>155</v>
      </c>
      <c r="L452" s="2" t="s">
        <v>517</v>
      </c>
      <c r="M452" s="2" t="s">
        <v>32</v>
      </c>
      <c r="N452" s="4" t="s">
        <v>662</v>
      </c>
      <c r="O452" s="4" t="s">
        <v>312</v>
      </c>
      <c r="P452" s="4" t="s">
        <v>35</v>
      </c>
      <c r="Q452" s="150">
        <v>375</v>
      </c>
      <c r="R452" s="150">
        <v>1</v>
      </c>
      <c r="S452" s="150">
        <v>1408</v>
      </c>
      <c r="U452" s="150">
        <v>5.28</v>
      </c>
      <c r="V452" s="166">
        <v>3.0000000000000001E-6</v>
      </c>
      <c r="W452" s="166">
        <v>7.4931693478481399E-4</v>
      </c>
      <c r="X452" s="166">
        <v>7.8842959390411395E-5</v>
      </c>
    </row>
    <row r="453" spans="1:24">
      <c r="A453" s="4" t="s">
        <v>256</v>
      </c>
      <c r="B453" s="4">
        <v>7206</v>
      </c>
      <c r="C453" s="4" t="s">
        <v>1852</v>
      </c>
      <c r="D453" s="4" t="s">
        <v>1853</v>
      </c>
      <c r="E453" s="4" t="s">
        <v>1552</v>
      </c>
      <c r="F453" s="4" t="s">
        <v>1854</v>
      </c>
      <c r="G453" s="4" t="s">
        <v>1855</v>
      </c>
      <c r="H453" s="4" t="s">
        <v>511</v>
      </c>
      <c r="I453" s="4" t="s">
        <v>1121</v>
      </c>
      <c r="J453" s="4" t="s">
        <v>31</v>
      </c>
      <c r="K453" s="4" t="s">
        <v>31</v>
      </c>
      <c r="L453" s="2" t="s">
        <v>517</v>
      </c>
      <c r="M453" s="2" t="s">
        <v>32</v>
      </c>
      <c r="N453" s="4" t="s">
        <v>652</v>
      </c>
      <c r="O453" s="4" t="s">
        <v>312</v>
      </c>
      <c r="P453" s="4" t="s">
        <v>35</v>
      </c>
      <c r="Q453" s="150">
        <v>496</v>
      </c>
      <c r="R453" s="150">
        <v>1</v>
      </c>
      <c r="S453" s="150">
        <v>24710</v>
      </c>
      <c r="U453" s="150">
        <v>122.562</v>
      </c>
      <c r="V453" s="166">
        <v>1.0000000000000001E-5</v>
      </c>
      <c r="W453" s="166">
        <v>1.7393462582258001E-2</v>
      </c>
      <c r="X453" s="166">
        <v>1.8301362218984599E-3</v>
      </c>
    </row>
    <row r="454" spans="1:24">
      <c r="A454" s="4" t="s">
        <v>256</v>
      </c>
      <c r="B454" s="4">
        <v>7206</v>
      </c>
      <c r="C454" s="4" t="s">
        <v>1856</v>
      </c>
      <c r="D454" s="4" t="s">
        <v>1857</v>
      </c>
      <c r="E454" s="4" t="s">
        <v>1552</v>
      </c>
      <c r="F454" s="4" t="s">
        <v>1858</v>
      </c>
      <c r="G454" s="4" t="s">
        <v>1859</v>
      </c>
      <c r="H454" s="4" t="s">
        <v>511</v>
      </c>
      <c r="I454" s="4" t="s">
        <v>1121</v>
      </c>
      <c r="J454" s="4" t="s">
        <v>31</v>
      </c>
      <c r="K454" s="4" t="s">
        <v>31</v>
      </c>
      <c r="L454" s="2" t="s">
        <v>517</v>
      </c>
      <c r="M454" s="2" t="s">
        <v>32</v>
      </c>
      <c r="N454" s="4" t="s">
        <v>665</v>
      </c>
      <c r="O454" s="4" t="s">
        <v>312</v>
      </c>
      <c r="P454" s="4" t="s">
        <v>35</v>
      </c>
      <c r="Q454" s="150">
        <v>93</v>
      </c>
      <c r="R454" s="150">
        <v>1</v>
      </c>
      <c r="S454" s="150">
        <v>5741</v>
      </c>
      <c r="U454" s="150">
        <v>5.3390000000000004</v>
      </c>
      <c r="V454" s="166">
        <v>3.9999999999999998E-6</v>
      </c>
      <c r="W454" s="166">
        <v>7.5770843295788596E-4</v>
      </c>
      <c r="X454" s="166">
        <v>7.9725910941312006E-5</v>
      </c>
    </row>
    <row r="455" spans="1:24">
      <c r="A455" s="4" t="s">
        <v>256</v>
      </c>
      <c r="B455" s="4">
        <v>7206</v>
      </c>
      <c r="C455" s="4" t="s">
        <v>1860</v>
      </c>
      <c r="D455" s="4" t="s">
        <v>1861</v>
      </c>
      <c r="E455" s="4" t="s">
        <v>1552</v>
      </c>
      <c r="F455" s="4" t="s">
        <v>1862</v>
      </c>
      <c r="G455" s="4" t="s">
        <v>1863</v>
      </c>
      <c r="H455" s="4" t="s">
        <v>511</v>
      </c>
      <c r="I455" s="4" t="s">
        <v>1121</v>
      </c>
      <c r="J455" s="4" t="s">
        <v>31</v>
      </c>
      <c r="K455" s="4" t="s">
        <v>31</v>
      </c>
      <c r="L455" s="2" t="s">
        <v>517</v>
      </c>
      <c r="M455" s="2" t="s">
        <v>32</v>
      </c>
      <c r="N455" s="4" t="s">
        <v>652</v>
      </c>
      <c r="O455" s="4" t="s">
        <v>312</v>
      </c>
      <c r="P455" s="4" t="s">
        <v>35</v>
      </c>
      <c r="Q455" s="150">
        <v>17031</v>
      </c>
      <c r="R455" s="150">
        <v>1</v>
      </c>
      <c r="S455" s="150">
        <v>159.4</v>
      </c>
      <c r="U455" s="150">
        <v>27.146999999999998</v>
      </c>
      <c r="V455" s="166">
        <v>2.5000000000000001E-5</v>
      </c>
      <c r="W455" s="166">
        <v>3.8526547435254401E-3</v>
      </c>
      <c r="X455" s="166">
        <v>4.0537546582513002E-4</v>
      </c>
    </row>
    <row r="456" spans="1:24">
      <c r="A456" s="4" t="s">
        <v>256</v>
      </c>
      <c r="B456" s="4">
        <v>7206</v>
      </c>
      <c r="C456" s="4" t="s">
        <v>2050</v>
      </c>
      <c r="D456" s="4" t="s">
        <v>2051</v>
      </c>
      <c r="E456" s="4" t="s">
        <v>1552</v>
      </c>
      <c r="F456" s="4" t="s">
        <v>2052</v>
      </c>
      <c r="G456" s="4" t="s">
        <v>2053</v>
      </c>
      <c r="H456" s="4" t="s">
        <v>511</v>
      </c>
      <c r="I456" s="4" t="s">
        <v>1121</v>
      </c>
      <c r="J456" s="4" t="s">
        <v>31</v>
      </c>
      <c r="K456" s="4" t="s">
        <v>31</v>
      </c>
      <c r="L456" s="2" t="s">
        <v>517</v>
      </c>
      <c r="M456" s="2" t="s">
        <v>32</v>
      </c>
      <c r="N456" s="4" t="s">
        <v>628</v>
      </c>
      <c r="O456" s="4" t="s">
        <v>312</v>
      </c>
      <c r="P456" s="4" t="s">
        <v>35</v>
      </c>
      <c r="Q456" s="150">
        <v>2900</v>
      </c>
      <c r="R456" s="150">
        <v>1</v>
      </c>
      <c r="S456" s="150">
        <v>250.9</v>
      </c>
      <c r="U456" s="150">
        <v>7.2759999999999998</v>
      </c>
      <c r="V456" s="166">
        <v>5.0000000000000004E-6</v>
      </c>
      <c r="W456" s="166">
        <v>1.0325956343158701E-3</v>
      </c>
      <c r="X456" s="166">
        <v>1.08649480458442E-4</v>
      </c>
    </row>
    <row r="457" spans="1:24">
      <c r="A457" s="4" t="s">
        <v>256</v>
      </c>
      <c r="B457" s="4">
        <v>7206</v>
      </c>
      <c r="C457" s="4" t="s">
        <v>1864</v>
      </c>
      <c r="D457" s="4" t="s">
        <v>1865</v>
      </c>
      <c r="E457" s="4" t="s">
        <v>1552</v>
      </c>
      <c r="F457" s="4" t="s">
        <v>1866</v>
      </c>
      <c r="G457" s="4" t="s">
        <v>1867</v>
      </c>
      <c r="H457" s="4" t="s">
        <v>511</v>
      </c>
      <c r="I457" s="4" t="s">
        <v>1121</v>
      </c>
      <c r="J457" s="4" t="s">
        <v>31</v>
      </c>
      <c r="K457" s="4" t="s">
        <v>31</v>
      </c>
      <c r="L457" s="2" t="s">
        <v>517</v>
      </c>
      <c r="M457" s="2" t="s">
        <v>32</v>
      </c>
      <c r="N457" s="4" t="s">
        <v>669</v>
      </c>
      <c r="O457" s="4" t="s">
        <v>312</v>
      </c>
      <c r="P457" s="4" t="s">
        <v>35</v>
      </c>
      <c r="Q457" s="150">
        <v>131</v>
      </c>
      <c r="R457" s="150">
        <v>1</v>
      </c>
      <c r="S457" s="150">
        <v>8000</v>
      </c>
      <c r="U457" s="150">
        <v>10.48</v>
      </c>
      <c r="V457" s="166">
        <v>3.9999999999999998E-6</v>
      </c>
      <c r="W457" s="166">
        <v>1.4872805826789499E-3</v>
      </c>
      <c r="X457" s="166">
        <v>1.56491328487029E-4</v>
      </c>
    </row>
    <row r="458" spans="1:24">
      <c r="A458" s="4" t="s">
        <v>256</v>
      </c>
      <c r="B458" s="4">
        <v>7206</v>
      </c>
      <c r="C458" s="4" t="s">
        <v>1868</v>
      </c>
      <c r="D458" s="4" t="s">
        <v>1869</v>
      </c>
      <c r="E458" s="4" t="s">
        <v>1552</v>
      </c>
      <c r="F458" s="4" t="s">
        <v>1870</v>
      </c>
      <c r="G458" s="4" t="s">
        <v>1871</v>
      </c>
      <c r="H458" s="4" t="s">
        <v>511</v>
      </c>
      <c r="I458" s="4" t="s">
        <v>1121</v>
      </c>
      <c r="J458" s="4" t="s">
        <v>31</v>
      </c>
      <c r="K458" s="4" t="s">
        <v>489</v>
      </c>
      <c r="L458" s="2" t="s">
        <v>517</v>
      </c>
      <c r="M458" s="2" t="s">
        <v>32</v>
      </c>
      <c r="N458" s="4" t="s">
        <v>646</v>
      </c>
      <c r="O458" s="4" t="s">
        <v>312</v>
      </c>
      <c r="P458" s="4" t="s">
        <v>35</v>
      </c>
      <c r="Q458" s="150">
        <v>182</v>
      </c>
      <c r="R458" s="150">
        <v>1</v>
      </c>
      <c r="S458" s="150">
        <v>87800</v>
      </c>
      <c r="U458" s="150">
        <v>159.79599999999999</v>
      </c>
      <c r="V458" s="166">
        <v>6.0000000000000002E-6</v>
      </c>
      <c r="W458" s="166">
        <v>2.2677622899786799E-2</v>
      </c>
      <c r="X458" s="166">
        <v>2.38613438233905E-3</v>
      </c>
    </row>
    <row r="459" spans="1:24">
      <c r="A459" s="4" t="s">
        <v>256</v>
      </c>
      <c r="B459" s="4">
        <v>7206</v>
      </c>
      <c r="C459" s="4" t="s">
        <v>1872</v>
      </c>
      <c r="D459" s="4" t="s">
        <v>1873</v>
      </c>
      <c r="E459" s="4" t="s">
        <v>1552</v>
      </c>
      <c r="F459" s="4" t="s">
        <v>1874</v>
      </c>
      <c r="G459" s="4" t="s">
        <v>1875</v>
      </c>
      <c r="H459" s="4" t="s">
        <v>511</v>
      </c>
      <c r="I459" s="4" t="s">
        <v>1121</v>
      </c>
      <c r="J459" s="4" t="s">
        <v>31</v>
      </c>
      <c r="K459" s="4" t="s">
        <v>31</v>
      </c>
      <c r="L459" s="2" t="s">
        <v>517</v>
      </c>
      <c r="M459" s="2" t="s">
        <v>32</v>
      </c>
      <c r="N459" s="4" t="s">
        <v>666</v>
      </c>
      <c r="O459" s="4" t="s">
        <v>312</v>
      </c>
      <c r="P459" s="4" t="s">
        <v>35</v>
      </c>
      <c r="Q459" s="150">
        <v>15048</v>
      </c>
      <c r="R459" s="150">
        <v>1</v>
      </c>
      <c r="S459" s="150">
        <v>150.9</v>
      </c>
      <c r="U459" s="150">
        <v>22.707000000000001</v>
      </c>
      <c r="V459" s="166">
        <v>2.9E-5</v>
      </c>
      <c r="W459" s="166">
        <v>3.2225498755823101E-3</v>
      </c>
      <c r="X459" s="166">
        <v>3.3907597330237298E-4</v>
      </c>
    </row>
    <row r="460" spans="1:24">
      <c r="A460" s="4" t="s">
        <v>256</v>
      </c>
      <c r="B460" s="4">
        <v>7206</v>
      </c>
      <c r="C460" s="4" t="s">
        <v>1876</v>
      </c>
      <c r="D460" s="4" t="s">
        <v>1877</v>
      </c>
      <c r="E460" s="4" t="s">
        <v>1552</v>
      </c>
      <c r="F460" s="4" t="s">
        <v>1878</v>
      </c>
      <c r="G460" s="4" t="s">
        <v>1879</v>
      </c>
      <c r="H460" s="4" t="s">
        <v>511</v>
      </c>
      <c r="I460" s="4" t="s">
        <v>1121</v>
      </c>
      <c r="J460" s="4" t="s">
        <v>31</v>
      </c>
      <c r="K460" s="4" t="s">
        <v>31</v>
      </c>
      <c r="L460" s="2" t="s">
        <v>517</v>
      </c>
      <c r="M460" s="2" t="s">
        <v>32</v>
      </c>
      <c r="N460" s="4" t="s">
        <v>650</v>
      </c>
      <c r="O460" s="4" t="s">
        <v>312</v>
      </c>
      <c r="P460" s="4" t="s">
        <v>35</v>
      </c>
      <c r="Q460" s="150">
        <v>410</v>
      </c>
      <c r="R460" s="150">
        <v>1</v>
      </c>
      <c r="S460" s="150">
        <v>5893</v>
      </c>
      <c r="U460" s="150">
        <v>24.161000000000001</v>
      </c>
      <c r="V460" s="166">
        <v>2.0000000000000002E-5</v>
      </c>
      <c r="W460" s="166">
        <v>3.4288771318970301E-3</v>
      </c>
      <c r="X460" s="166">
        <v>3.6078568081809599E-4</v>
      </c>
    </row>
    <row r="461" spans="1:24">
      <c r="A461" s="4" t="s">
        <v>256</v>
      </c>
      <c r="B461" s="4">
        <v>7206</v>
      </c>
      <c r="C461" s="4" t="s">
        <v>1880</v>
      </c>
      <c r="D461" s="4" t="s">
        <v>1881</v>
      </c>
      <c r="E461" s="4" t="s">
        <v>1552</v>
      </c>
      <c r="F461" s="4" t="s">
        <v>1882</v>
      </c>
      <c r="G461" s="4" t="s">
        <v>1883</v>
      </c>
      <c r="H461" s="4" t="s">
        <v>511</v>
      </c>
      <c r="I461" s="4" t="s">
        <v>1121</v>
      </c>
      <c r="J461" s="4" t="s">
        <v>31</v>
      </c>
      <c r="K461" s="4" t="s">
        <v>31</v>
      </c>
      <c r="L461" s="2" t="s">
        <v>517</v>
      </c>
      <c r="M461" s="2" t="s">
        <v>32</v>
      </c>
      <c r="N461" s="4" t="s">
        <v>642</v>
      </c>
      <c r="O461" s="4" t="s">
        <v>312</v>
      </c>
      <c r="P461" s="4" t="s">
        <v>35</v>
      </c>
      <c r="Q461" s="150">
        <v>2260.94</v>
      </c>
      <c r="R461" s="150">
        <v>1</v>
      </c>
      <c r="S461" s="150">
        <v>895.6</v>
      </c>
      <c r="U461" s="150">
        <v>20.248999999999999</v>
      </c>
      <c r="V461" s="166">
        <v>1.9999999999999999E-6</v>
      </c>
      <c r="W461" s="166">
        <v>2.8736557967893898E-3</v>
      </c>
      <c r="X461" s="166">
        <v>3.0236541678235399E-4</v>
      </c>
    </row>
    <row r="462" spans="1:24">
      <c r="A462" s="4" t="s">
        <v>256</v>
      </c>
      <c r="B462" s="4">
        <v>7206</v>
      </c>
      <c r="C462" s="4" t="s">
        <v>1884</v>
      </c>
      <c r="D462" s="4" t="s">
        <v>1885</v>
      </c>
      <c r="E462" s="4" t="s">
        <v>1552</v>
      </c>
      <c r="F462" s="4" t="s">
        <v>1886</v>
      </c>
      <c r="G462" s="4" t="s">
        <v>1887</v>
      </c>
      <c r="H462" s="4" t="s">
        <v>511</v>
      </c>
      <c r="I462" s="4" t="s">
        <v>1121</v>
      </c>
      <c r="J462" s="4" t="s">
        <v>31</v>
      </c>
      <c r="K462" s="4" t="s">
        <v>155</v>
      </c>
      <c r="L462" s="2" t="s">
        <v>517</v>
      </c>
      <c r="M462" s="2" t="s">
        <v>32</v>
      </c>
      <c r="N462" s="4" t="s">
        <v>669</v>
      </c>
      <c r="O462" s="4" t="s">
        <v>312</v>
      </c>
      <c r="P462" s="4" t="s">
        <v>35</v>
      </c>
      <c r="Q462" s="150">
        <v>360</v>
      </c>
      <c r="R462" s="150">
        <v>1</v>
      </c>
      <c r="S462" s="150">
        <v>64400</v>
      </c>
      <c r="U462" s="150">
        <v>231.84</v>
      </c>
      <c r="V462" s="166">
        <v>6.0000000000000002E-6</v>
      </c>
      <c r="W462" s="166">
        <v>3.29018254091877E-2</v>
      </c>
      <c r="X462" s="166">
        <v>3.4619226714153401E-3</v>
      </c>
    </row>
    <row r="463" spans="1:24">
      <c r="A463" s="4" t="s">
        <v>256</v>
      </c>
      <c r="B463" s="4">
        <v>7206</v>
      </c>
      <c r="C463" s="4" t="s">
        <v>2054</v>
      </c>
      <c r="D463" s="4" t="s">
        <v>2055</v>
      </c>
      <c r="E463" s="4" t="s">
        <v>1552</v>
      </c>
      <c r="F463" s="4" t="s">
        <v>2056</v>
      </c>
      <c r="G463" s="4" t="s">
        <v>2057</v>
      </c>
      <c r="H463" s="4" t="s">
        <v>511</v>
      </c>
      <c r="I463" s="4" t="s">
        <v>1121</v>
      </c>
      <c r="J463" s="4" t="s">
        <v>31</v>
      </c>
      <c r="K463" s="4" t="s">
        <v>31</v>
      </c>
      <c r="L463" s="2" t="s">
        <v>517</v>
      </c>
      <c r="M463" s="2" t="s">
        <v>32</v>
      </c>
      <c r="N463" s="4" t="s">
        <v>654</v>
      </c>
      <c r="O463" s="4" t="s">
        <v>312</v>
      </c>
      <c r="P463" s="4" t="s">
        <v>35</v>
      </c>
      <c r="Q463" s="150">
        <v>366</v>
      </c>
      <c r="R463" s="150">
        <v>1</v>
      </c>
      <c r="S463" s="150">
        <v>1516</v>
      </c>
      <c r="U463" s="150">
        <v>5.5490000000000004</v>
      </c>
      <c r="V463" s="166">
        <v>3.8999999999999999E-5</v>
      </c>
      <c r="W463" s="166">
        <v>7.8742991887682302E-4</v>
      </c>
      <c r="X463" s="166">
        <v>8.2853199006678203E-5</v>
      </c>
    </row>
    <row r="464" spans="1:24">
      <c r="A464" s="4" t="s">
        <v>256</v>
      </c>
      <c r="B464" s="4">
        <v>7206</v>
      </c>
      <c r="C464" s="4" t="s">
        <v>1888</v>
      </c>
      <c r="D464" s="4" t="s">
        <v>1889</v>
      </c>
      <c r="E464" s="4" t="s">
        <v>1552</v>
      </c>
      <c r="F464" s="4" t="s">
        <v>1890</v>
      </c>
      <c r="G464" s="4" t="s">
        <v>1891</v>
      </c>
      <c r="H464" s="4" t="s">
        <v>511</v>
      </c>
      <c r="I464" s="4" t="s">
        <v>1121</v>
      </c>
      <c r="J464" s="4" t="s">
        <v>31</v>
      </c>
      <c r="K464" s="4" t="s">
        <v>489</v>
      </c>
      <c r="L464" s="2" t="s">
        <v>517</v>
      </c>
      <c r="M464" s="2" t="s">
        <v>32</v>
      </c>
      <c r="N464" s="4" t="s">
        <v>653</v>
      </c>
      <c r="O464" s="4" t="s">
        <v>312</v>
      </c>
      <c r="P464" s="4" t="s">
        <v>35</v>
      </c>
      <c r="Q464" s="150">
        <v>920</v>
      </c>
      <c r="R464" s="150">
        <v>1</v>
      </c>
      <c r="S464" s="150">
        <v>4210</v>
      </c>
      <c r="U464" s="150">
        <v>38.731999999999999</v>
      </c>
      <c r="V464" s="166">
        <v>1.2E-5</v>
      </c>
      <c r="W464" s="166">
        <v>5.49669384812223E-3</v>
      </c>
      <c r="X464" s="166">
        <v>5.7836089074041999E-4</v>
      </c>
    </row>
    <row r="465" spans="1:24">
      <c r="A465" s="4" t="s">
        <v>256</v>
      </c>
      <c r="B465" s="4">
        <v>7206</v>
      </c>
      <c r="C465" s="4" t="s">
        <v>1892</v>
      </c>
      <c r="D465" s="4" t="s">
        <v>1893</v>
      </c>
      <c r="E465" s="4" t="s">
        <v>1552</v>
      </c>
      <c r="F465" s="4" t="s">
        <v>1892</v>
      </c>
      <c r="G465" s="4" t="s">
        <v>1894</v>
      </c>
      <c r="H465" s="4" t="s">
        <v>511</v>
      </c>
      <c r="I465" s="4" t="s">
        <v>1121</v>
      </c>
      <c r="J465" s="4" t="s">
        <v>31</v>
      </c>
      <c r="K465" s="4" t="s">
        <v>31</v>
      </c>
      <c r="L465" s="2" t="s">
        <v>517</v>
      </c>
      <c r="M465" s="2" t="s">
        <v>32</v>
      </c>
      <c r="N465" s="4" t="s">
        <v>648</v>
      </c>
      <c r="O465" s="4" t="s">
        <v>312</v>
      </c>
      <c r="P465" s="4" t="s">
        <v>35</v>
      </c>
      <c r="Q465" s="150">
        <v>671</v>
      </c>
      <c r="R465" s="150">
        <v>1</v>
      </c>
      <c r="S465" s="150">
        <v>1772</v>
      </c>
      <c r="U465" s="150">
        <v>11.89</v>
      </c>
      <c r="V465" s="166">
        <v>1.9000000000000001E-5</v>
      </c>
      <c r="W465" s="166">
        <v>1.6873992940574999E-3</v>
      </c>
      <c r="X465" s="166">
        <v>1.77547774300591E-4</v>
      </c>
    </row>
    <row r="466" spans="1:24">
      <c r="A466" s="4" t="s">
        <v>256</v>
      </c>
      <c r="B466" s="4">
        <v>7206</v>
      </c>
      <c r="C466" s="4" t="s">
        <v>2058</v>
      </c>
      <c r="D466" s="4" t="s">
        <v>2059</v>
      </c>
      <c r="E466" s="4" t="s">
        <v>1552</v>
      </c>
      <c r="F466" s="4" t="s">
        <v>2060</v>
      </c>
      <c r="G466" s="4" t="s">
        <v>2061</v>
      </c>
      <c r="H466" s="4" t="s">
        <v>511</v>
      </c>
      <c r="I466" s="4" t="s">
        <v>1121</v>
      </c>
      <c r="J466" s="4" t="s">
        <v>31</v>
      </c>
      <c r="K466" s="4" t="s">
        <v>31</v>
      </c>
      <c r="L466" s="2" t="s">
        <v>517</v>
      </c>
      <c r="M466" s="2" t="s">
        <v>32</v>
      </c>
      <c r="N466" s="4" t="s">
        <v>654</v>
      </c>
      <c r="O466" s="4" t="s">
        <v>312</v>
      </c>
      <c r="P466" s="4" t="s">
        <v>35</v>
      </c>
      <c r="Q466" s="150">
        <v>1882</v>
      </c>
      <c r="R466" s="150">
        <v>1</v>
      </c>
      <c r="S466" s="150">
        <v>474.1</v>
      </c>
      <c r="T466" s="149">
        <v>0.65900000000000003</v>
      </c>
      <c r="U466" s="150">
        <v>9.5809999999999995</v>
      </c>
      <c r="V466" s="166">
        <v>2.8E-5</v>
      </c>
      <c r="W466" s="166">
        <v>1.3597352032595101E-3</v>
      </c>
      <c r="X466" s="166">
        <v>1.4307103234373E-4</v>
      </c>
    </row>
    <row r="467" spans="1:24">
      <c r="A467" s="4" t="s">
        <v>256</v>
      </c>
      <c r="B467" s="4">
        <v>7206</v>
      </c>
      <c r="C467" s="4" t="s">
        <v>1895</v>
      </c>
      <c r="D467" s="4" t="s">
        <v>1896</v>
      </c>
      <c r="E467" s="4" t="s">
        <v>1552</v>
      </c>
      <c r="F467" s="4" t="s">
        <v>1897</v>
      </c>
      <c r="G467" s="4" t="s">
        <v>1898</v>
      </c>
      <c r="H467" s="4" t="s">
        <v>511</v>
      </c>
      <c r="I467" s="4" t="s">
        <v>1121</v>
      </c>
      <c r="J467" s="4" t="s">
        <v>31</v>
      </c>
      <c r="K467" s="4" t="s">
        <v>31</v>
      </c>
      <c r="L467" s="2" t="s">
        <v>517</v>
      </c>
      <c r="M467" s="2" t="s">
        <v>32</v>
      </c>
      <c r="N467" s="4" t="s">
        <v>652</v>
      </c>
      <c r="O467" s="4" t="s">
        <v>312</v>
      </c>
      <c r="P467" s="4" t="s">
        <v>35</v>
      </c>
      <c r="Q467" s="150">
        <v>907</v>
      </c>
      <c r="R467" s="150">
        <v>1</v>
      </c>
      <c r="S467" s="150">
        <v>22000</v>
      </c>
      <c r="U467" s="150">
        <v>199.54</v>
      </c>
      <c r="V467" s="166">
        <v>6.9999999999999999E-6</v>
      </c>
      <c r="W467" s="166">
        <v>2.8317935827076101E-2</v>
      </c>
      <c r="X467" s="166">
        <v>2.9796068402959601E-3</v>
      </c>
    </row>
    <row r="468" spans="1:24">
      <c r="A468" s="4" t="s">
        <v>256</v>
      </c>
      <c r="B468" s="4">
        <v>7206</v>
      </c>
      <c r="C468" s="4" t="s">
        <v>1899</v>
      </c>
      <c r="D468" s="4" t="s">
        <v>1900</v>
      </c>
      <c r="E468" s="4" t="s">
        <v>1552</v>
      </c>
      <c r="F468" s="4" t="s">
        <v>1901</v>
      </c>
      <c r="G468" s="4" t="s">
        <v>1902</v>
      </c>
      <c r="H468" s="4" t="s">
        <v>511</v>
      </c>
      <c r="I468" s="4" t="s">
        <v>1121</v>
      </c>
      <c r="J468" s="4" t="s">
        <v>31</v>
      </c>
      <c r="K468" s="4" t="s">
        <v>31</v>
      </c>
      <c r="L468" s="2" t="s">
        <v>517</v>
      </c>
      <c r="M468" s="2" t="s">
        <v>32</v>
      </c>
      <c r="N468" s="4" t="s">
        <v>639</v>
      </c>
      <c r="O468" s="4" t="s">
        <v>312</v>
      </c>
      <c r="P468" s="4" t="s">
        <v>35</v>
      </c>
      <c r="Q468" s="150">
        <v>342</v>
      </c>
      <c r="R468" s="150">
        <v>1</v>
      </c>
      <c r="S468" s="150">
        <v>8237</v>
      </c>
      <c r="U468" s="150">
        <v>28.170999999999999</v>
      </c>
      <c r="V468" s="166">
        <v>5.0000000000000002E-5</v>
      </c>
      <c r="W468" s="166">
        <v>3.9978527810668497E-3</v>
      </c>
      <c r="X468" s="166">
        <v>4.2065317068673498E-4</v>
      </c>
    </row>
    <row r="469" spans="1:24">
      <c r="A469" s="4" t="s">
        <v>256</v>
      </c>
      <c r="B469" s="4">
        <v>7206</v>
      </c>
      <c r="C469" s="4" t="s">
        <v>1903</v>
      </c>
      <c r="D469" s="4" t="s">
        <v>1904</v>
      </c>
      <c r="E469" s="4" t="s">
        <v>1552</v>
      </c>
      <c r="F469" s="4" t="s">
        <v>1905</v>
      </c>
      <c r="G469" s="4" t="s">
        <v>1906</v>
      </c>
      <c r="H469" s="4" t="s">
        <v>511</v>
      </c>
      <c r="I469" s="4" t="s">
        <v>1121</v>
      </c>
      <c r="J469" s="4" t="s">
        <v>31</v>
      </c>
      <c r="K469" s="4" t="s">
        <v>31</v>
      </c>
      <c r="L469" s="2" t="s">
        <v>517</v>
      </c>
      <c r="M469" s="2" t="s">
        <v>32</v>
      </c>
      <c r="N469" s="4" t="s">
        <v>636</v>
      </c>
      <c r="O469" s="4" t="s">
        <v>312</v>
      </c>
      <c r="P469" s="4" t="s">
        <v>35</v>
      </c>
      <c r="Q469" s="150">
        <v>13661</v>
      </c>
      <c r="R469" s="150">
        <v>1</v>
      </c>
      <c r="S469" s="150">
        <v>3365</v>
      </c>
      <c r="U469" s="150">
        <v>459.69299999999998</v>
      </c>
      <c r="V469" s="166">
        <v>1.0000000000000001E-5</v>
      </c>
      <c r="W469" s="166">
        <v>6.5237781712331105E-2</v>
      </c>
      <c r="X469" s="166">
        <v>6.8643047227311803E-3</v>
      </c>
    </row>
    <row r="470" spans="1:24">
      <c r="A470" s="4" t="s">
        <v>256</v>
      </c>
      <c r="B470" s="4">
        <v>7206</v>
      </c>
      <c r="C470" s="4" t="s">
        <v>1907</v>
      </c>
      <c r="D470" s="4" t="s">
        <v>1908</v>
      </c>
      <c r="E470" s="4" t="s">
        <v>1552</v>
      </c>
      <c r="F470" s="4" t="s">
        <v>1909</v>
      </c>
      <c r="G470" s="4" t="s">
        <v>1910</v>
      </c>
      <c r="H470" s="4" t="s">
        <v>511</v>
      </c>
      <c r="I470" s="4" t="s">
        <v>1121</v>
      </c>
      <c r="J470" s="4" t="s">
        <v>31</v>
      </c>
      <c r="K470" s="4" t="s">
        <v>31</v>
      </c>
      <c r="L470" s="2" t="s">
        <v>517</v>
      </c>
      <c r="M470" s="2" t="s">
        <v>32</v>
      </c>
      <c r="N470" s="4" t="s">
        <v>665</v>
      </c>
      <c r="O470" s="4" t="s">
        <v>312</v>
      </c>
      <c r="P470" s="4" t="s">
        <v>35</v>
      </c>
      <c r="Q470" s="150">
        <v>1104.78</v>
      </c>
      <c r="R470" s="150">
        <v>1</v>
      </c>
      <c r="S470" s="150">
        <v>26800</v>
      </c>
      <c r="U470" s="150">
        <v>296.08100000000002</v>
      </c>
      <c r="V470" s="166">
        <v>7.2000000000000002E-5</v>
      </c>
      <c r="W470" s="166">
        <v>4.20186623751325E-2</v>
      </c>
      <c r="X470" s="166">
        <v>4.4211942070058298E-3</v>
      </c>
    </row>
    <row r="471" spans="1:24">
      <c r="A471" s="4" t="s">
        <v>256</v>
      </c>
      <c r="B471" s="4">
        <v>7206</v>
      </c>
      <c r="C471" s="4" t="s">
        <v>1911</v>
      </c>
      <c r="D471" s="4" t="s">
        <v>1912</v>
      </c>
      <c r="E471" s="4" t="s">
        <v>1552</v>
      </c>
      <c r="F471" s="4" t="s">
        <v>1913</v>
      </c>
      <c r="G471" s="4" t="s">
        <v>1914</v>
      </c>
      <c r="H471" s="4" t="s">
        <v>511</v>
      </c>
      <c r="I471" s="4" t="s">
        <v>1121</v>
      </c>
      <c r="J471" s="4" t="s">
        <v>31</v>
      </c>
      <c r="K471" s="4" t="s">
        <v>31</v>
      </c>
      <c r="L471" s="2" t="s">
        <v>517</v>
      </c>
      <c r="M471" s="2" t="s">
        <v>32</v>
      </c>
      <c r="N471" s="4" t="s">
        <v>628</v>
      </c>
      <c r="O471" s="4" t="s">
        <v>312</v>
      </c>
      <c r="P471" s="4" t="s">
        <v>35</v>
      </c>
      <c r="Q471" s="150">
        <v>262</v>
      </c>
      <c r="R471" s="150">
        <v>1</v>
      </c>
      <c r="S471" s="150">
        <v>6189</v>
      </c>
      <c r="U471" s="150">
        <v>16.215</v>
      </c>
      <c r="V471" s="166">
        <v>2.0999999999999999E-5</v>
      </c>
      <c r="W471" s="166">
        <v>2.30119488155E-3</v>
      </c>
      <c r="X471" s="166">
        <v>2.42131208001555E-4</v>
      </c>
    </row>
    <row r="472" spans="1:24">
      <c r="A472" s="4" t="s">
        <v>256</v>
      </c>
      <c r="B472" s="4">
        <v>7206</v>
      </c>
      <c r="C472" s="4" t="s">
        <v>1915</v>
      </c>
      <c r="D472" s="4" t="s">
        <v>1916</v>
      </c>
      <c r="E472" s="4" t="s">
        <v>1552</v>
      </c>
      <c r="F472" s="4" t="s">
        <v>1917</v>
      </c>
      <c r="G472" s="4" t="s">
        <v>1918</v>
      </c>
      <c r="H472" s="4" t="s">
        <v>511</v>
      </c>
      <c r="I472" s="4" t="s">
        <v>1121</v>
      </c>
      <c r="J472" s="4" t="s">
        <v>31</v>
      </c>
      <c r="K472" s="4" t="s">
        <v>31</v>
      </c>
      <c r="L472" s="2" t="s">
        <v>517</v>
      </c>
      <c r="M472" s="2" t="s">
        <v>32</v>
      </c>
      <c r="N472" s="4" t="s">
        <v>628</v>
      </c>
      <c r="O472" s="4" t="s">
        <v>312</v>
      </c>
      <c r="P472" s="4" t="s">
        <v>35</v>
      </c>
      <c r="Q472" s="150">
        <v>80</v>
      </c>
      <c r="R472" s="150">
        <v>1</v>
      </c>
      <c r="S472" s="150">
        <v>34440</v>
      </c>
      <c r="T472" s="149">
        <v>1.3120000000000001</v>
      </c>
      <c r="U472" s="150">
        <v>28.864000000000001</v>
      </c>
      <c r="V472" s="166">
        <v>7.9999999999999996E-6</v>
      </c>
      <c r="W472" s="166">
        <v>4.0962715868004297E-3</v>
      </c>
      <c r="X472" s="166">
        <v>4.31008775296063E-4</v>
      </c>
    </row>
    <row r="473" spans="1:24">
      <c r="A473" s="4" t="s">
        <v>256</v>
      </c>
      <c r="B473" s="4">
        <v>7206</v>
      </c>
      <c r="C473" s="4" t="s">
        <v>1919</v>
      </c>
      <c r="D473" s="4" t="s">
        <v>1920</v>
      </c>
      <c r="E473" s="4" t="s">
        <v>1552</v>
      </c>
      <c r="F473" s="4" t="s">
        <v>1921</v>
      </c>
      <c r="G473" s="4" t="s">
        <v>1922</v>
      </c>
      <c r="H473" s="4" t="s">
        <v>511</v>
      </c>
      <c r="I473" s="4" t="s">
        <v>1121</v>
      </c>
      <c r="J473" s="4" t="s">
        <v>31</v>
      </c>
      <c r="K473" s="4" t="s">
        <v>31</v>
      </c>
      <c r="L473" s="2" t="s">
        <v>517</v>
      </c>
      <c r="M473" s="2" t="s">
        <v>32</v>
      </c>
      <c r="N473" s="4" t="s">
        <v>636</v>
      </c>
      <c r="O473" s="4" t="s">
        <v>312</v>
      </c>
      <c r="P473" s="4" t="s">
        <v>35</v>
      </c>
      <c r="Q473" s="150">
        <v>1280</v>
      </c>
      <c r="R473" s="150">
        <v>1</v>
      </c>
      <c r="S473" s="150">
        <v>15200</v>
      </c>
      <c r="U473" s="150">
        <v>194.56</v>
      </c>
      <c r="V473" s="166">
        <v>3.6000000000000001E-5</v>
      </c>
      <c r="W473" s="166">
        <v>2.76111937181313E-2</v>
      </c>
      <c r="X473" s="166">
        <v>2.9052435945072798E-3</v>
      </c>
    </row>
    <row r="474" spans="1:24">
      <c r="A474" s="4" t="s">
        <v>256</v>
      </c>
      <c r="B474" s="4">
        <v>7206</v>
      </c>
      <c r="C474" s="4" t="s">
        <v>1923</v>
      </c>
      <c r="D474" s="4" t="s">
        <v>1924</v>
      </c>
      <c r="E474" s="4" t="s">
        <v>1552</v>
      </c>
      <c r="F474" s="4" t="s">
        <v>1925</v>
      </c>
      <c r="G474" s="4" t="s">
        <v>1926</v>
      </c>
      <c r="H474" s="4" t="s">
        <v>511</v>
      </c>
      <c r="I474" s="4" t="s">
        <v>1121</v>
      </c>
      <c r="J474" s="4" t="s">
        <v>31</v>
      </c>
      <c r="K474" s="4" t="s">
        <v>31</v>
      </c>
      <c r="L474" s="2" t="s">
        <v>517</v>
      </c>
      <c r="M474" s="2" t="s">
        <v>32</v>
      </c>
      <c r="N474" s="4" t="s">
        <v>659</v>
      </c>
      <c r="O474" s="4" t="s">
        <v>312</v>
      </c>
      <c r="P474" s="4" t="s">
        <v>35</v>
      </c>
      <c r="Q474" s="150">
        <v>1790</v>
      </c>
      <c r="R474" s="150">
        <v>1</v>
      </c>
      <c r="S474" s="150">
        <v>469.6</v>
      </c>
      <c r="U474" s="150">
        <v>8.4060000000000006</v>
      </c>
      <c r="V474" s="166">
        <v>2.3E-5</v>
      </c>
      <c r="W474" s="166">
        <v>1.1929239134643101E-3</v>
      </c>
      <c r="X474" s="166">
        <v>1.2551918593982901E-4</v>
      </c>
    </row>
    <row r="475" spans="1:24">
      <c r="A475" s="4" t="s">
        <v>256</v>
      </c>
      <c r="B475" s="4">
        <v>7206</v>
      </c>
      <c r="C475" s="4" t="s">
        <v>1927</v>
      </c>
      <c r="D475" s="4" t="s">
        <v>1928</v>
      </c>
      <c r="E475" s="4" t="s">
        <v>1552</v>
      </c>
      <c r="F475" s="4" t="s">
        <v>1929</v>
      </c>
      <c r="G475" s="4" t="s">
        <v>1930</v>
      </c>
      <c r="H475" s="4" t="s">
        <v>511</v>
      </c>
      <c r="I475" s="4" t="s">
        <v>1121</v>
      </c>
      <c r="J475" s="4" t="s">
        <v>31</v>
      </c>
      <c r="K475" s="4" t="s">
        <v>31</v>
      </c>
      <c r="L475" s="2" t="s">
        <v>517</v>
      </c>
      <c r="M475" s="2" t="s">
        <v>32</v>
      </c>
      <c r="N475" s="4" t="s">
        <v>627</v>
      </c>
      <c r="O475" s="4" t="s">
        <v>312</v>
      </c>
      <c r="P475" s="4" t="s">
        <v>35</v>
      </c>
      <c r="Q475" s="150">
        <v>2090</v>
      </c>
      <c r="R475" s="150">
        <v>1</v>
      </c>
      <c r="S475" s="150">
        <v>379.1</v>
      </c>
      <c r="U475" s="150">
        <v>7.923</v>
      </c>
      <c r="V475" s="166">
        <v>2.9E-5</v>
      </c>
      <c r="W475" s="166">
        <v>1.1244281144919899E-3</v>
      </c>
      <c r="X475" s="166">
        <v>1.1831207337358201E-4</v>
      </c>
    </row>
    <row r="476" spans="1:24">
      <c r="A476" s="4" t="s">
        <v>256</v>
      </c>
      <c r="B476" s="4">
        <v>7206</v>
      </c>
      <c r="C476" s="4" t="s">
        <v>1931</v>
      </c>
      <c r="D476" s="4" t="s">
        <v>1932</v>
      </c>
      <c r="E476" s="4" t="s">
        <v>1552</v>
      </c>
      <c r="F476" s="4" t="s">
        <v>1933</v>
      </c>
      <c r="G476" s="4" t="s">
        <v>1934</v>
      </c>
      <c r="H476" s="4" t="s">
        <v>511</v>
      </c>
      <c r="I476" s="4" t="s">
        <v>1121</v>
      </c>
      <c r="J476" s="4" t="s">
        <v>31</v>
      </c>
      <c r="K476" s="4" t="s">
        <v>31</v>
      </c>
      <c r="L476" s="2" t="s">
        <v>517</v>
      </c>
      <c r="M476" s="2" t="s">
        <v>32</v>
      </c>
      <c r="N476" s="4" t="s">
        <v>648</v>
      </c>
      <c r="O476" s="4" t="s">
        <v>312</v>
      </c>
      <c r="P476" s="4" t="s">
        <v>35</v>
      </c>
      <c r="Q476" s="150">
        <v>875</v>
      </c>
      <c r="R476" s="150">
        <v>1</v>
      </c>
      <c r="S476" s="150">
        <v>332.1</v>
      </c>
      <c r="U476" s="150">
        <v>2.9060000000000001</v>
      </c>
      <c r="V476" s="166">
        <v>1.8E-5</v>
      </c>
      <c r="W476" s="166">
        <v>4.12390406793148E-4</v>
      </c>
      <c r="X476" s="166">
        <v>4.3391625874737099E-5</v>
      </c>
    </row>
    <row r="477" spans="1:24">
      <c r="A477" s="4" t="s">
        <v>256</v>
      </c>
      <c r="B477" s="4">
        <v>7206</v>
      </c>
      <c r="C477" s="4" t="s">
        <v>1935</v>
      </c>
      <c r="D477" s="4" t="s">
        <v>1936</v>
      </c>
      <c r="E477" s="4" t="s">
        <v>1552</v>
      </c>
      <c r="F477" s="4" t="s">
        <v>1937</v>
      </c>
      <c r="G477" s="4" t="s">
        <v>1938</v>
      </c>
      <c r="H477" s="4" t="s">
        <v>511</v>
      </c>
      <c r="I477" s="4" t="s">
        <v>1121</v>
      </c>
      <c r="J477" s="4" t="s">
        <v>31</v>
      </c>
      <c r="K477" s="4" t="s">
        <v>31</v>
      </c>
      <c r="L477" s="2" t="s">
        <v>517</v>
      </c>
      <c r="M477" s="2" t="s">
        <v>32</v>
      </c>
      <c r="N477" s="4" t="s">
        <v>644</v>
      </c>
      <c r="O477" s="4" t="s">
        <v>312</v>
      </c>
      <c r="P477" s="4" t="s">
        <v>35</v>
      </c>
      <c r="Q477" s="150">
        <v>164</v>
      </c>
      <c r="R477" s="150">
        <v>1</v>
      </c>
      <c r="S477" s="150">
        <v>5050</v>
      </c>
      <c r="U477" s="150">
        <v>8.282</v>
      </c>
      <c r="V477" s="166">
        <v>6.0000000000000002E-6</v>
      </c>
      <c r="W477" s="166">
        <v>1.1753490253575401E-3</v>
      </c>
      <c r="X477" s="166">
        <v>1.2366996016503499E-4</v>
      </c>
    </row>
    <row r="478" spans="1:24">
      <c r="A478" s="4" t="s">
        <v>256</v>
      </c>
      <c r="B478" s="4">
        <v>7206</v>
      </c>
      <c r="C478" s="4" t="s">
        <v>1939</v>
      </c>
      <c r="D478" s="4" t="s">
        <v>1940</v>
      </c>
      <c r="E478" s="4" t="s">
        <v>1552</v>
      </c>
      <c r="F478" s="4" t="s">
        <v>1941</v>
      </c>
      <c r="G478" s="4" t="s">
        <v>1942</v>
      </c>
      <c r="H478" s="4" t="s">
        <v>511</v>
      </c>
      <c r="I478" s="4" t="s">
        <v>1121</v>
      </c>
      <c r="J478" s="4" t="s">
        <v>31</v>
      </c>
      <c r="K478" s="4" t="s">
        <v>31</v>
      </c>
      <c r="L478" s="2" t="s">
        <v>517</v>
      </c>
      <c r="M478" s="2" t="s">
        <v>32</v>
      </c>
      <c r="N478" s="4" t="s">
        <v>673</v>
      </c>
      <c r="O478" s="4" t="s">
        <v>312</v>
      </c>
      <c r="P478" s="4" t="s">
        <v>35</v>
      </c>
      <c r="Q478" s="150">
        <v>1190</v>
      </c>
      <c r="R478" s="150">
        <v>1</v>
      </c>
      <c r="S478" s="150">
        <v>1535</v>
      </c>
      <c r="U478" s="150">
        <v>18.266999999999999</v>
      </c>
      <c r="V478" s="166">
        <v>6.0000000000000002E-6</v>
      </c>
      <c r="W478" s="166">
        <v>2.5923101873573501E-3</v>
      </c>
      <c r="X478" s="166">
        <v>2.7276229501987698E-4</v>
      </c>
    </row>
    <row r="479" spans="1:24">
      <c r="A479" s="4" t="s">
        <v>256</v>
      </c>
      <c r="B479" s="4">
        <v>7206</v>
      </c>
      <c r="C479" s="4" t="s">
        <v>1943</v>
      </c>
      <c r="D479" s="4" t="s">
        <v>1944</v>
      </c>
      <c r="E479" s="4" t="s">
        <v>1552</v>
      </c>
      <c r="F479" s="4" t="s">
        <v>1945</v>
      </c>
      <c r="G479" s="4" t="s">
        <v>1946</v>
      </c>
      <c r="H479" s="4" t="s">
        <v>511</v>
      </c>
      <c r="I479" s="4" t="s">
        <v>1121</v>
      </c>
      <c r="J479" s="4" t="s">
        <v>31</v>
      </c>
      <c r="K479" s="4" t="s">
        <v>489</v>
      </c>
      <c r="L479" s="2" t="s">
        <v>517</v>
      </c>
      <c r="M479" s="2" t="s">
        <v>32</v>
      </c>
      <c r="N479" s="4" t="s">
        <v>646</v>
      </c>
      <c r="O479" s="4" t="s">
        <v>312</v>
      </c>
      <c r="P479" s="4" t="s">
        <v>35</v>
      </c>
      <c r="Q479" s="150">
        <v>653</v>
      </c>
      <c r="R479" s="150">
        <v>1</v>
      </c>
      <c r="S479" s="150">
        <v>22930</v>
      </c>
      <c r="U479" s="150">
        <v>149.733</v>
      </c>
      <c r="V479" s="166">
        <v>5.0000000000000002E-5</v>
      </c>
      <c r="W479" s="166">
        <v>2.12495071334169E-2</v>
      </c>
      <c r="X479" s="166">
        <v>2.2358683625205598E-3</v>
      </c>
    </row>
    <row r="480" spans="1:24">
      <c r="A480" s="4" t="s">
        <v>256</v>
      </c>
      <c r="B480" s="4">
        <v>7206</v>
      </c>
      <c r="C480" s="4" t="s">
        <v>1947</v>
      </c>
      <c r="D480" s="4" t="s">
        <v>1948</v>
      </c>
      <c r="E480" s="4" t="s">
        <v>1552</v>
      </c>
      <c r="F480" s="4" t="s">
        <v>1949</v>
      </c>
      <c r="G480" s="4" t="s">
        <v>1950</v>
      </c>
      <c r="H480" s="4" t="s">
        <v>511</v>
      </c>
      <c r="I480" s="4" t="s">
        <v>1121</v>
      </c>
      <c r="J480" s="4" t="s">
        <v>31</v>
      </c>
      <c r="K480" s="4" t="s">
        <v>31</v>
      </c>
      <c r="L480" s="2" t="s">
        <v>517</v>
      </c>
      <c r="M480" s="2" t="s">
        <v>32</v>
      </c>
      <c r="N480" s="4" t="s">
        <v>635</v>
      </c>
      <c r="O480" s="4" t="s">
        <v>312</v>
      </c>
      <c r="P480" s="4" t="s">
        <v>35</v>
      </c>
      <c r="Q480" s="150">
        <v>524</v>
      </c>
      <c r="R480" s="150">
        <v>1</v>
      </c>
      <c r="S480" s="150">
        <v>7294</v>
      </c>
      <c r="U480" s="150">
        <v>38.220999999999997</v>
      </c>
      <c r="V480" s="166">
        <v>2.5000000000000001E-5</v>
      </c>
      <c r="W480" s="166">
        <v>5.4241122850301202E-3</v>
      </c>
      <c r="X480" s="166">
        <v>5.7072387499219402E-4</v>
      </c>
    </row>
    <row r="481" spans="1:24">
      <c r="A481" s="4" t="s">
        <v>256</v>
      </c>
      <c r="B481" s="4">
        <v>7206</v>
      </c>
      <c r="C481" s="4" t="s">
        <v>2066</v>
      </c>
      <c r="D481" s="4" t="s">
        <v>2067</v>
      </c>
      <c r="E481" s="4" t="s">
        <v>1552</v>
      </c>
      <c r="F481" s="4" t="s">
        <v>2068</v>
      </c>
      <c r="G481" s="4" t="s">
        <v>2069</v>
      </c>
      <c r="H481" s="4" t="s">
        <v>511</v>
      </c>
      <c r="I481" s="4" t="s">
        <v>1121</v>
      </c>
      <c r="J481" s="4" t="s">
        <v>31</v>
      </c>
      <c r="K481" s="4" t="s">
        <v>31</v>
      </c>
      <c r="L481" s="2" t="s">
        <v>517</v>
      </c>
      <c r="M481" s="2" t="s">
        <v>32</v>
      </c>
      <c r="N481" s="4" t="s">
        <v>651</v>
      </c>
      <c r="O481" s="4" t="s">
        <v>312</v>
      </c>
      <c r="P481" s="4" t="s">
        <v>35</v>
      </c>
      <c r="Q481" s="150">
        <v>50</v>
      </c>
      <c r="R481" s="150">
        <v>1</v>
      </c>
      <c r="S481" s="150">
        <v>19350</v>
      </c>
      <c r="U481" s="150">
        <v>9.6750000000000007</v>
      </c>
      <c r="V481" s="166">
        <v>2.1999999999999999E-5</v>
      </c>
      <c r="W481" s="166">
        <v>1.37303813334149E-3</v>
      </c>
      <c r="X481" s="166">
        <v>1.4447076365572601E-4</v>
      </c>
    </row>
    <row r="482" spans="1:24">
      <c r="A482" s="4" t="s">
        <v>256</v>
      </c>
      <c r="B482" s="4">
        <v>7206</v>
      </c>
      <c r="C482" s="4" t="s">
        <v>1951</v>
      </c>
      <c r="D482" s="4" t="s">
        <v>1952</v>
      </c>
      <c r="E482" s="4" t="s">
        <v>1552</v>
      </c>
      <c r="F482" s="4" t="s">
        <v>1953</v>
      </c>
      <c r="G482" s="4" t="s">
        <v>1954</v>
      </c>
      <c r="H482" s="4" t="s">
        <v>511</v>
      </c>
      <c r="I482" s="4" t="s">
        <v>1121</v>
      </c>
      <c r="J482" s="4" t="s">
        <v>31</v>
      </c>
      <c r="K482" s="4" t="s">
        <v>489</v>
      </c>
      <c r="L482" s="2" t="s">
        <v>517</v>
      </c>
      <c r="M482" s="2" t="s">
        <v>32</v>
      </c>
      <c r="N482" s="4" t="s">
        <v>646</v>
      </c>
      <c r="O482" s="4" t="s">
        <v>312</v>
      </c>
      <c r="P482" s="4" t="s">
        <v>35</v>
      </c>
      <c r="Q482" s="150">
        <v>130</v>
      </c>
      <c r="R482" s="150">
        <v>1</v>
      </c>
      <c r="S482" s="150">
        <v>47200</v>
      </c>
      <c r="U482" s="150">
        <v>61.36</v>
      </c>
      <c r="V482" s="166">
        <v>3.0000000000000001E-6</v>
      </c>
      <c r="W482" s="166">
        <v>8.7079710451507895E-3</v>
      </c>
      <c r="X482" s="166">
        <v>9.1625075534008395E-4</v>
      </c>
    </row>
    <row r="483" spans="1:24">
      <c r="A483" s="4" t="s">
        <v>256</v>
      </c>
      <c r="B483" s="4">
        <v>7206</v>
      </c>
      <c r="C483" s="4" t="s">
        <v>1955</v>
      </c>
      <c r="D483" s="4" t="s">
        <v>1956</v>
      </c>
      <c r="E483" s="4" t="s">
        <v>505</v>
      </c>
      <c r="F483" s="4" t="s">
        <v>1957</v>
      </c>
      <c r="G483" s="4" t="s">
        <v>1958</v>
      </c>
      <c r="H483" s="4" t="s">
        <v>511</v>
      </c>
      <c r="I483" s="4" t="s">
        <v>1121</v>
      </c>
      <c r="J483" s="4" t="s">
        <v>31</v>
      </c>
      <c r="K483" s="4" t="s">
        <v>31</v>
      </c>
      <c r="L483" s="2" t="s">
        <v>517</v>
      </c>
      <c r="M483" s="2" t="s">
        <v>32</v>
      </c>
      <c r="N483" s="4" t="s">
        <v>639</v>
      </c>
      <c r="O483" s="4" t="s">
        <v>312</v>
      </c>
      <c r="P483" s="4" t="s">
        <v>35</v>
      </c>
      <c r="Q483" s="150">
        <v>1073</v>
      </c>
      <c r="R483" s="150">
        <v>1</v>
      </c>
      <c r="S483" s="150">
        <v>9392</v>
      </c>
      <c r="U483" s="150">
        <v>100.776</v>
      </c>
      <c r="V483" s="166">
        <v>2.0000000000000002E-5</v>
      </c>
      <c r="W483" s="166">
        <v>1.43017582027621E-2</v>
      </c>
      <c r="X483" s="166">
        <v>1.50482778227303E-3</v>
      </c>
    </row>
    <row r="484" spans="1:24">
      <c r="A484" s="4" t="s">
        <v>256</v>
      </c>
      <c r="B484" s="4">
        <v>7206</v>
      </c>
      <c r="C484" s="4" t="s">
        <v>2070</v>
      </c>
      <c r="D484" s="4" t="s">
        <v>2071</v>
      </c>
      <c r="E484" s="4" t="s">
        <v>1552</v>
      </c>
      <c r="F484" s="4" t="s">
        <v>2072</v>
      </c>
      <c r="G484" s="4" t="s">
        <v>2073</v>
      </c>
      <c r="H484" s="4" t="s">
        <v>511</v>
      </c>
      <c r="I484" s="4" t="s">
        <v>1121</v>
      </c>
      <c r="J484" s="4" t="s">
        <v>31</v>
      </c>
      <c r="K484" s="4" t="s">
        <v>31</v>
      </c>
      <c r="L484" s="2" t="s">
        <v>517</v>
      </c>
      <c r="M484" s="2" t="s">
        <v>32</v>
      </c>
      <c r="N484" s="4" t="s">
        <v>638</v>
      </c>
      <c r="O484" s="4" t="s">
        <v>312</v>
      </c>
      <c r="P484" s="4" t="s">
        <v>35</v>
      </c>
      <c r="Q484" s="150">
        <v>21128.67</v>
      </c>
      <c r="R484" s="150">
        <v>1</v>
      </c>
      <c r="S484" s="150">
        <v>53.9</v>
      </c>
      <c r="U484" s="150">
        <v>11.388</v>
      </c>
      <c r="V484" s="166">
        <v>1.4200000000000001E-4</v>
      </c>
      <c r="W484" s="166">
        <v>1.6161905037156499E-3</v>
      </c>
      <c r="X484" s="166">
        <v>1.7005520139247199E-4</v>
      </c>
    </row>
    <row r="485" spans="1:24">
      <c r="A485" s="4" t="s">
        <v>256</v>
      </c>
      <c r="B485" s="4">
        <v>7206</v>
      </c>
      <c r="C485" s="4" t="s">
        <v>1959</v>
      </c>
      <c r="D485" s="4" t="s">
        <v>1960</v>
      </c>
      <c r="E485" s="4" t="s">
        <v>1552</v>
      </c>
      <c r="F485" s="4" t="s">
        <v>1961</v>
      </c>
      <c r="G485" s="4" t="s">
        <v>1962</v>
      </c>
      <c r="H485" s="4" t="s">
        <v>511</v>
      </c>
      <c r="I485" s="4" t="s">
        <v>1121</v>
      </c>
      <c r="J485" s="4" t="s">
        <v>31</v>
      </c>
      <c r="K485" s="4" t="s">
        <v>31</v>
      </c>
      <c r="L485" s="2" t="s">
        <v>517</v>
      </c>
      <c r="M485" s="2" t="s">
        <v>32</v>
      </c>
      <c r="N485" s="4" t="s">
        <v>647</v>
      </c>
      <c r="O485" s="4" t="s">
        <v>312</v>
      </c>
      <c r="P485" s="4" t="s">
        <v>35</v>
      </c>
      <c r="Q485" s="150">
        <v>147</v>
      </c>
      <c r="R485" s="150">
        <v>1</v>
      </c>
      <c r="S485" s="150">
        <v>6285</v>
      </c>
      <c r="U485" s="150">
        <v>9.2390000000000008</v>
      </c>
      <c r="V485" s="166">
        <v>1.2E-5</v>
      </c>
      <c r="W485" s="166">
        <v>1.3111556239829799E-3</v>
      </c>
      <c r="X485" s="166">
        <v>1.3795949993561401E-4</v>
      </c>
    </row>
    <row r="486" spans="1:24">
      <c r="A486" s="4" t="s">
        <v>256</v>
      </c>
      <c r="B486" s="4">
        <v>7206</v>
      </c>
      <c r="C486" s="4" t="s">
        <v>1963</v>
      </c>
      <c r="D486" s="4" t="s">
        <v>1964</v>
      </c>
      <c r="E486" s="4" t="s">
        <v>1552</v>
      </c>
      <c r="F486" s="4" t="s">
        <v>1965</v>
      </c>
      <c r="G486" s="4" t="s">
        <v>1966</v>
      </c>
      <c r="H486" s="4" t="s">
        <v>511</v>
      </c>
      <c r="I486" s="4" t="s">
        <v>1121</v>
      </c>
      <c r="J486" s="4" t="s">
        <v>31</v>
      </c>
      <c r="K486" s="4" t="s">
        <v>31</v>
      </c>
      <c r="L486" s="2" t="s">
        <v>517</v>
      </c>
      <c r="M486" s="2" t="s">
        <v>32</v>
      </c>
      <c r="N486" s="4" t="s">
        <v>644</v>
      </c>
      <c r="O486" s="4" t="s">
        <v>312</v>
      </c>
      <c r="P486" s="4" t="s">
        <v>35</v>
      </c>
      <c r="Q486" s="150">
        <v>6553</v>
      </c>
      <c r="R486" s="150">
        <v>1</v>
      </c>
      <c r="S486" s="150">
        <v>207.6</v>
      </c>
      <c r="U486" s="150">
        <v>13.603999999999999</v>
      </c>
      <c r="V486" s="166">
        <v>7.7000000000000001E-5</v>
      </c>
      <c r="W486" s="166">
        <v>1.93063040941037E-3</v>
      </c>
      <c r="X486" s="166">
        <v>2.03140497566292E-4</v>
      </c>
    </row>
    <row r="487" spans="1:24">
      <c r="A487" s="4" t="s">
        <v>256</v>
      </c>
      <c r="B487" s="4">
        <v>7206</v>
      </c>
      <c r="C487" s="4" t="s">
        <v>1967</v>
      </c>
      <c r="D487" s="4" t="s">
        <v>1968</v>
      </c>
      <c r="E487" s="4" t="s">
        <v>1552</v>
      </c>
      <c r="F487" s="4" t="s">
        <v>1969</v>
      </c>
      <c r="G487" s="4" t="s">
        <v>1970</v>
      </c>
      <c r="H487" s="4" t="s">
        <v>511</v>
      </c>
      <c r="I487" s="4" t="s">
        <v>1121</v>
      </c>
      <c r="J487" s="4" t="s">
        <v>31</v>
      </c>
      <c r="K487" s="4" t="s">
        <v>31</v>
      </c>
      <c r="L487" s="2" t="s">
        <v>517</v>
      </c>
      <c r="M487" s="2" t="s">
        <v>32</v>
      </c>
      <c r="N487" s="4" t="s">
        <v>664</v>
      </c>
      <c r="O487" s="4" t="s">
        <v>312</v>
      </c>
      <c r="P487" s="4" t="s">
        <v>35</v>
      </c>
      <c r="Q487" s="150">
        <v>270</v>
      </c>
      <c r="R487" s="150">
        <v>1</v>
      </c>
      <c r="S487" s="150">
        <v>5970</v>
      </c>
      <c r="U487" s="150">
        <v>16.119</v>
      </c>
      <c r="V487" s="166">
        <v>6.0000000000000002E-6</v>
      </c>
      <c r="W487" s="166">
        <v>2.2875453923856801E-3</v>
      </c>
      <c r="X487" s="166">
        <v>2.4069501182084099E-4</v>
      </c>
    </row>
    <row r="488" spans="1:24">
      <c r="A488" s="4" t="s">
        <v>256</v>
      </c>
      <c r="B488" s="4">
        <v>7206</v>
      </c>
      <c r="C488" s="4" t="s">
        <v>1971</v>
      </c>
      <c r="D488" s="4" t="s">
        <v>1972</v>
      </c>
      <c r="E488" s="4" t="s">
        <v>1552</v>
      </c>
      <c r="F488" s="4" t="s">
        <v>1973</v>
      </c>
      <c r="G488" s="4" t="s">
        <v>1974</v>
      </c>
      <c r="H488" s="4" t="s">
        <v>511</v>
      </c>
      <c r="I488" s="4" t="s">
        <v>1121</v>
      </c>
      <c r="J488" s="4" t="s">
        <v>31</v>
      </c>
      <c r="K488" s="4" t="s">
        <v>31</v>
      </c>
      <c r="L488" s="2" t="s">
        <v>517</v>
      </c>
      <c r="M488" s="2" t="s">
        <v>32</v>
      </c>
      <c r="N488" s="4" t="s">
        <v>644</v>
      </c>
      <c r="O488" s="4" t="s">
        <v>312</v>
      </c>
      <c r="P488" s="4" t="s">
        <v>35</v>
      </c>
      <c r="Q488" s="150">
        <v>339</v>
      </c>
      <c r="R488" s="150">
        <v>1</v>
      </c>
      <c r="S488" s="150">
        <v>1190</v>
      </c>
      <c r="U488" s="150">
        <v>4.0339999999999998</v>
      </c>
      <c r="V488" s="166">
        <v>2.0000000000000002E-5</v>
      </c>
      <c r="W488" s="166">
        <v>5.7250368307110199E-4</v>
      </c>
      <c r="X488" s="166">
        <v>6.02387088024354E-5</v>
      </c>
    </row>
    <row r="489" spans="1:24">
      <c r="A489" s="4" t="s">
        <v>256</v>
      </c>
      <c r="B489" s="4">
        <v>7206</v>
      </c>
      <c r="C489" s="4" t="s">
        <v>1975</v>
      </c>
      <c r="D489" s="4" t="s">
        <v>1976</v>
      </c>
      <c r="E489" s="4" t="s">
        <v>1552</v>
      </c>
      <c r="F489" s="4" t="s">
        <v>1977</v>
      </c>
      <c r="G489" s="4" t="s">
        <v>1978</v>
      </c>
      <c r="H489" s="4" t="s">
        <v>511</v>
      </c>
      <c r="I489" s="4" t="s">
        <v>1121</v>
      </c>
      <c r="J489" s="4" t="s">
        <v>31</v>
      </c>
      <c r="K489" s="4" t="s">
        <v>31</v>
      </c>
      <c r="L489" s="2" t="s">
        <v>517</v>
      </c>
      <c r="M489" s="2" t="s">
        <v>32</v>
      </c>
      <c r="N489" s="4" t="s">
        <v>664</v>
      </c>
      <c r="O489" s="4" t="s">
        <v>312</v>
      </c>
      <c r="P489" s="4" t="s">
        <v>35</v>
      </c>
      <c r="Q489" s="150">
        <v>6300</v>
      </c>
      <c r="R489" s="150">
        <v>1</v>
      </c>
      <c r="S489" s="150">
        <v>2472</v>
      </c>
      <c r="U489" s="150">
        <v>155.73599999999999</v>
      </c>
      <c r="V489" s="166">
        <v>2.3E-5</v>
      </c>
      <c r="W489" s="166">
        <v>2.2101443590084799E-2</v>
      </c>
      <c r="X489" s="166">
        <v>2.3255089249290001E-3</v>
      </c>
    </row>
    <row r="490" spans="1:24">
      <c r="A490" s="4" t="s">
        <v>256</v>
      </c>
      <c r="B490" s="4">
        <v>7206</v>
      </c>
      <c r="C490" s="4" t="s">
        <v>1979</v>
      </c>
      <c r="D490" s="4" t="s">
        <v>1980</v>
      </c>
      <c r="E490" s="4" t="s">
        <v>1552</v>
      </c>
      <c r="F490" s="4" t="s">
        <v>1981</v>
      </c>
      <c r="G490" s="4" t="s">
        <v>1982</v>
      </c>
      <c r="H490" s="4" t="s">
        <v>511</v>
      </c>
      <c r="I490" s="4" t="s">
        <v>1121</v>
      </c>
      <c r="J490" s="4" t="s">
        <v>31</v>
      </c>
      <c r="K490" s="4" t="s">
        <v>31</v>
      </c>
      <c r="L490" s="2" t="s">
        <v>517</v>
      </c>
      <c r="M490" s="2" t="s">
        <v>32</v>
      </c>
      <c r="N490" s="4" t="s">
        <v>647</v>
      </c>
      <c r="O490" s="4" t="s">
        <v>312</v>
      </c>
      <c r="P490" s="4" t="s">
        <v>35</v>
      </c>
      <c r="Q490" s="150">
        <v>2512</v>
      </c>
      <c r="R490" s="150">
        <v>1</v>
      </c>
      <c r="S490" s="150">
        <v>5599</v>
      </c>
      <c r="U490" s="150">
        <v>140.64699999999999</v>
      </c>
      <c r="V490" s="166">
        <v>2.1999999999999999E-5</v>
      </c>
      <c r="W490" s="166">
        <v>1.99600547364863E-2</v>
      </c>
      <c r="X490" s="166">
        <v>2.1001924712553202E-3</v>
      </c>
    </row>
    <row r="491" spans="1:24">
      <c r="A491" s="4" t="s">
        <v>256</v>
      </c>
      <c r="B491" s="4">
        <v>7206</v>
      </c>
      <c r="C491" s="4" t="s">
        <v>1983</v>
      </c>
      <c r="D491" s="4" t="s">
        <v>1984</v>
      </c>
      <c r="E491" s="4" t="s">
        <v>1552</v>
      </c>
      <c r="F491" s="4" t="s">
        <v>1985</v>
      </c>
      <c r="G491" s="4" t="s">
        <v>1986</v>
      </c>
      <c r="H491" s="4" t="s">
        <v>511</v>
      </c>
      <c r="I491" s="4" t="s">
        <v>1121</v>
      </c>
      <c r="J491" s="4" t="s">
        <v>31</v>
      </c>
      <c r="K491" s="4" t="s">
        <v>489</v>
      </c>
      <c r="L491" s="2" t="s">
        <v>517</v>
      </c>
      <c r="M491" s="2" t="s">
        <v>32</v>
      </c>
      <c r="N491" s="4" t="s">
        <v>643</v>
      </c>
      <c r="O491" s="4" t="s">
        <v>312</v>
      </c>
      <c r="P491" s="4" t="s">
        <v>35</v>
      </c>
      <c r="Q491" s="150">
        <v>767</v>
      </c>
      <c r="R491" s="150">
        <v>1</v>
      </c>
      <c r="S491" s="150">
        <v>5620</v>
      </c>
      <c r="U491" s="150">
        <v>43.104999999999997</v>
      </c>
      <c r="V491" s="166">
        <v>6.9999999999999999E-6</v>
      </c>
      <c r="W491" s="166">
        <v>6.1173496592184301E-3</v>
      </c>
      <c r="X491" s="166">
        <v>6.4366615562640899E-4</v>
      </c>
    </row>
    <row r="492" spans="1:24">
      <c r="A492" s="4" t="s">
        <v>256</v>
      </c>
      <c r="B492" s="4">
        <v>7206</v>
      </c>
      <c r="C492" s="4" t="s">
        <v>1987</v>
      </c>
      <c r="D492" s="4" t="s">
        <v>1988</v>
      </c>
      <c r="E492" s="4" t="s">
        <v>1552</v>
      </c>
      <c r="F492" s="4" t="s">
        <v>1989</v>
      </c>
      <c r="G492" s="4" t="s">
        <v>1990</v>
      </c>
      <c r="H492" s="4" t="s">
        <v>511</v>
      </c>
      <c r="I492" s="4" t="s">
        <v>1121</v>
      </c>
      <c r="J492" s="4" t="s">
        <v>31</v>
      </c>
      <c r="K492" s="4" t="s">
        <v>489</v>
      </c>
      <c r="L492" s="2" t="s">
        <v>517</v>
      </c>
      <c r="M492" s="2" t="s">
        <v>32</v>
      </c>
      <c r="N492" s="4" t="s">
        <v>647</v>
      </c>
      <c r="O492" s="4" t="s">
        <v>312</v>
      </c>
      <c r="P492" s="4" t="s">
        <v>35</v>
      </c>
      <c r="Q492" s="150">
        <v>3397</v>
      </c>
      <c r="R492" s="150">
        <v>1</v>
      </c>
      <c r="S492" s="150">
        <v>1708</v>
      </c>
      <c r="U492" s="150">
        <v>58.021000000000001</v>
      </c>
      <c r="V492" s="166">
        <v>3.4E-5</v>
      </c>
      <c r="W492" s="166">
        <v>8.2340791736904007E-3</v>
      </c>
      <c r="X492" s="166">
        <v>8.6638795918197098E-4</v>
      </c>
    </row>
    <row r="493" spans="1:24">
      <c r="A493" s="4" t="s">
        <v>256</v>
      </c>
      <c r="B493" s="4">
        <v>7206</v>
      </c>
      <c r="C493" s="4" t="s">
        <v>2086</v>
      </c>
      <c r="D493" s="4" t="s">
        <v>2087</v>
      </c>
      <c r="E493" s="4" t="s">
        <v>505</v>
      </c>
      <c r="F493" s="4" t="s">
        <v>2088</v>
      </c>
      <c r="G493" s="4" t="s">
        <v>2089</v>
      </c>
      <c r="H493" s="4" t="s">
        <v>511</v>
      </c>
      <c r="I493" s="4" t="s">
        <v>1121</v>
      </c>
      <c r="J493" s="4" t="s">
        <v>154</v>
      </c>
      <c r="K493" s="4" t="s">
        <v>431</v>
      </c>
      <c r="L493" s="2" t="s">
        <v>517</v>
      </c>
      <c r="M493" s="2" t="s">
        <v>557</v>
      </c>
      <c r="N493" s="4" t="s">
        <v>757</v>
      </c>
      <c r="O493" s="4" t="s">
        <v>312</v>
      </c>
      <c r="P493" s="4" t="s">
        <v>169</v>
      </c>
      <c r="Q493" s="150">
        <v>5558.65</v>
      </c>
      <c r="R493" s="150">
        <v>4.0199999999999996</v>
      </c>
      <c r="S493" s="150">
        <v>1.966</v>
      </c>
      <c r="U493" s="150">
        <v>43.923000000000002</v>
      </c>
      <c r="V493" s="166">
        <v>6.9999999999999999E-6</v>
      </c>
      <c r="W493" s="166">
        <v>6.2333521428891399E-3</v>
      </c>
      <c r="X493" s="166">
        <v>6.5587191087450596E-4</v>
      </c>
    </row>
    <row r="494" spans="1:24">
      <c r="A494" s="4" t="s">
        <v>256</v>
      </c>
      <c r="B494" s="4">
        <v>7206</v>
      </c>
      <c r="C494" s="4" t="s">
        <v>2090</v>
      </c>
      <c r="D494" s="4" t="s">
        <v>2091</v>
      </c>
      <c r="E494" s="4" t="s">
        <v>505</v>
      </c>
      <c r="F494" s="4" t="s">
        <v>2092</v>
      </c>
      <c r="G494" s="4" t="s">
        <v>2093</v>
      </c>
      <c r="H494" s="4" t="s">
        <v>511</v>
      </c>
      <c r="I494" s="4" t="s">
        <v>1121</v>
      </c>
      <c r="J494" s="4" t="s">
        <v>154</v>
      </c>
      <c r="K494" s="4" t="s">
        <v>426</v>
      </c>
      <c r="L494" s="2" t="s">
        <v>517</v>
      </c>
      <c r="M494" s="2" t="s">
        <v>535</v>
      </c>
      <c r="N494" s="4" t="s">
        <v>723</v>
      </c>
      <c r="O494" s="4" t="s">
        <v>312</v>
      </c>
      <c r="P494" s="4" t="s">
        <v>159</v>
      </c>
      <c r="Q494" s="150">
        <v>200</v>
      </c>
      <c r="R494" s="150">
        <v>3.7589999999999999</v>
      </c>
      <c r="S494" s="150">
        <v>7799</v>
      </c>
      <c r="U494" s="150">
        <v>58.633000000000003</v>
      </c>
      <c r="V494" s="166">
        <v>0</v>
      </c>
      <c r="W494" s="166">
        <v>8.3209491321665999E-3</v>
      </c>
      <c r="X494" s="166">
        <v>8.7552839667969396E-4</v>
      </c>
    </row>
    <row r="495" spans="1:24">
      <c r="A495" s="4" t="s">
        <v>256</v>
      </c>
      <c r="B495" s="4">
        <v>7206</v>
      </c>
      <c r="C495" s="4" t="s">
        <v>2094</v>
      </c>
      <c r="D495" s="4" t="s">
        <v>2095</v>
      </c>
      <c r="E495" s="4" t="s">
        <v>505</v>
      </c>
      <c r="F495" s="4" t="s">
        <v>2096</v>
      </c>
      <c r="G495" s="4" t="s">
        <v>2097</v>
      </c>
      <c r="H495" s="4" t="s">
        <v>511</v>
      </c>
      <c r="I495" s="4" t="s">
        <v>1121</v>
      </c>
      <c r="J495" s="4" t="s">
        <v>154</v>
      </c>
      <c r="K495" s="4" t="s">
        <v>155</v>
      </c>
      <c r="L495" s="2" t="s">
        <v>517</v>
      </c>
      <c r="M495" s="2" t="s">
        <v>535</v>
      </c>
      <c r="N495" s="4" t="s">
        <v>1999</v>
      </c>
      <c r="O495" s="4" t="s">
        <v>312</v>
      </c>
      <c r="P495" s="4" t="s">
        <v>159</v>
      </c>
      <c r="Q495" s="150">
        <v>480</v>
      </c>
      <c r="R495" s="150">
        <v>3.7589999999999999</v>
      </c>
      <c r="S495" s="150">
        <v>500</v>
      </c>
      <c r="U495" s="150">
        <v>9.0220000000000002</v>
      </c>
      <c r="V495" s="166">
        <v>2.4000000000000001E-5</v>
      </c>
      <c r="W495" s="166">
        <v>1.2803101626618701E-3</v>
      </c>
      <c r="X495" s="166">
        <v>1.3471394743116199E-4</v>
      </c>
    </row>
    <row r="496" spans="1:24">
      <c r="A496" s="4" t="s">
        <v>256</v>
      </c>
      <c r="B496" s="4">
        <v>7206</v>
      </c>
      <c r="C496" s="4" t="s">
        <v>2123</v>
      </c>
      <c r="D496" s="4" t="s">
        <v>2124</v>
      </c>
      <c r="E496" s="4" t="s">
        <v>1552</v>
      </c>
      <c r="F496" s="4" t="s">
        <v>2125</v>
      </c>
      <c r="G496" s="4" t="s">
        <v>2126</v>
      </c>
      <c r="H496" s="4" t="s">
        <v>511</v>
      </c>
      <c r="I496" s="4" t="s">
        <v>1121</v>
      </c>
      <c r="J496" s="4" t="s">
        <v>154</v>
      </c>
      <c r="K496" s="4" t="s">
        <v>155</v>
      </c>
      <c r="L496" s="2" t="s">
        <v>517</v>
      </c>
      <c r="M496" s="2" t="s">
        <v>535</v>
      </c>
      <c r="N496" s="4" t="s">
        <v>719</v>
      </c>
      <c r="O496" s="4" t="s">
        <v>312</v>
      </c>
      <c r="P496" s="4" t="s">
        <v>159</v>
      </c>
      <c r="Q496" s="150">
        <v>213</v>
      </c>
      <c r="R496" s="150">
        <v>3.7589999999999999</v>
      </c>
      <c r="S496" s="150">
        <v>1824</v>
      </c>
      <c r="U496" s="150">
        <v>14.603999999999999</v>
      </c>
      <c r="V496" s="166">
        <v>3.0000000000000001E-6</v>
      </c>
      <c r="W496" s="166">
        <v>2.07256609131703E-3</v>
      </c>
      <c r="X496" s="166">
        <v>2.18074938101565E-4</v>
      </c>
    </row>
    <row r="497" spans="1:24">
      <c r="A497" s="4" t="s">
        <v>256</v>
      </c>
      <c r="B497" s="4">
        <v>7206</v>
      </c>
      <c r="C497" s="4" t="s">
        <v>2127</v>
      </c>
      <c r="D497" s="4" t="s">
        <v>2128</v>
      </c>
      <c r="E497" s="4" t="s">
        <v>505</v>
      </c>
      <c r="F497" s="4" t="s">
        <v>2129</v>
      </c>
      <c r="G497" s="4" t="s">
        <v>2130</v>
      </c>
      <c r="H497" s="4" t="s">
        <v>511</v>
      </c>
      <c r="I497" s="4" t="s">
        <v>1121</v>
      </c>
      <c r="J497" s="4" t="s">
        <v>154</v>
      </c>
      <c r="K497" s="4" t="s">
        <v>155</v>
      </c>
      <c r="L497" s="2" t="s">
        <v>517</v>
      </c>
      <c r="M497" s="2" t="s">
        <v>156</v>
      </c>
      <c r="N497" s="4" t="s">
        <v>678</v>
      </c>
      <c r="O497" s="4" t="s">
        <v>312</v>
      </c>
      <c r="P497" s="4" t="s">
        <v>159</v>
      </c>
      <c r="Q497" s="150">
        <v>127.96</v>
      </c>
      <c r="R497" s="150">
        <v>3.7589999999999999</v>
      </c>
      <c r="S497" s="150">
        <v>9521</v>
      </c>
      <c r="T497" s="149">
        <v>3.7999999999999999E-2</v>
      </c>
      <c r="U497" s="150">
        <v>45.94</v>
      </c>
      <c r="V497" s="166">
        <v>9.9999999999999995E-7</v>
      </c>
      <c r="W497" s="166">
        <v>6.51965425217884E-3</v>
      </c>
      <c r="X497" s="166">
        <v>6.8599655443751101E-4</v>
      </c>
    </row>
    <row r="498" spans="1:24">
      <c r="A498" s="4" t="s">
        <v>256</v>
      </c>
      <c r="B498" s="4">
        <v>7206</v>
      </c>
      <c r="C498" s="4" t="s">
        <v>1991</v>
      </c>
      <c r="D498" s="4" t="s">
        <v>1992</v>
      </c>
      <c r="E498" s="4" t="s">
        <v>505</v>
      </c>
      <c r="F498" s="4" t="s">
        <v>1993</v>
      </c>
      <c r="G498" s="4" t="s">
        <v>1994</v>
      </c>
      <c r="H498" s="4" t="s">
        <v>511</v>
      </c>
      <c r="I498" s="4" t="s">
        <v>1121</v>
      </c>
      <c r="J498" s="4" t="s">
        <v>154</v>
      </c>
      <c r="K498" s="4" t="s">
        <v>155</v>
      </c>
      <c r="L498" s="2" t="s">
        <v>517</v>
      </c>
      <c r="M498" s="2" t="s">
        <v>156</v>
      </c>
      <c r="N498" s="4" t="s">
        <v>723</v>
      </c>
      <c r="O498" s="4" t="s">
        <v>312</v>
      </c>
      <c r="P498" s="4" t="s">
        <v>159</v>
      </c>
      <c r="Q498" s="150">
        <v>165</v>
      </c>
      <c r="R498" s="150">
        <v>3.7589999999999999</v>
      </c>
      <c r="S498" s="150">
        <v>14616</v>
      </c>
      <c r="U498" s="150">
        <v>90.653999999999996</v>
      </c>
      <c r="V498" s="166">
        <v>0</v>
      </c>
      <c r="W498" s="166">
        <v>1.2865196669507801E-2</v>
      </c>
      <c r="X498" s="166">
        <v>1.3536731007620299E-3</v>
      </c>
    </row>
    <row r="499" spans="1:24">
      <c r="A499" s="4" t="s">
        <v>256</v>
      </c>
      <c r="B499" s="4">
        <v>7206</v>
      </c>
      <c r="C499" s="4" t="s">
        <v>1995</v>
      </c>
      <c r="D499" s="4" t="s">
        <v>1996</v>
      </c>
      <c r="E499" s="4" t="s">
        <v>1552</v>
      </c>
      <c r="F499" s="4" t="s">
        <v>1997</v>
      </c>
      <c r="G499" s="4" t="s">
        <v>1998</v>
      </c>
      <c r="H499" s="4" t="s">
        <v>511</v>
      </c>
      <c r="I499" s="4" t="s">
        <v>1121</v>
      </c>
      <c r="J499" s="4" t="s">
        <v>31</v>
      </c>
      <c r="K499" s="4" t="s">
        <v>155</v>
      </c>
      <c r="L499" s="2" t="s">
        <v>517</v>
      </c>
      <c r="M499" s="2" t="s">
        <v>535</v>
      </c>
      <c r="N499" s="4" t="s">
        <v>1999</v>
      </c>
      <c r="O499" s="4" t="s">
        <v>312</v>
      </c>
      <c r="P499" s="4" t="s">
        <v>159</v>
      </c>
      <c r="Q499" s="150">
        <v>372</v>
      </c>
      <c r="R499" s="150">
        <v>3.7589999999999999</v>
      </c>
      <c r="S499" s="150">
        <v>1464</v>
      </c>
      <c r="U499" s="150">
        <v>20.472000000000001</v>
      </c>
      <c r="V499" s="166">
        <v>7.9999999999999996E-6</v>
      </c>
      <c r="W499" s="166">
        <v>2.9052798211123099E-3</v>
      </c>
      <c r="X499" s="166">
        <v>3.0569288951079303E-4</v>
      </c>
    </row>
    <row r="500" spans="1:24">
      <c r="A500" s="4" t="s">
        <v>256</v>
      </c>
      <c r="B500" s="4">
        <v>7206</v>
      </c>
      <c r="C500" s="4" t="s">
        <v>2000</v>
      </c>
      <c r="D500" s="4" t="s">
        <v>2001</v>
      </c>
      <c r="E500" s="4" t="s">
        <v>505</v>
      </c>
      <c r="F500" s="4" t="s">
        <v>2000</v>
      </c>
      <c r="G500" s="4" t="s">
        <v>2002</v>
      </c>
      <c r="H500" s="4" t="s">
        <v>511</v>
      </c>
      <c r="I500" s="4" t="s">
        <v>1121</v>
      </c>
      <c r="J500" s="4" t="s">
        <v>154</v>
      </c>
      <c r="K500" s="4" t="s">
        <v>155</v>
      </c>
      <c r="L500" s="2" t="s">
        <v>517</v>
      </c>
      <c r="M500" s="2" t="s">
        <v>156</v>
      </c>
      <c r="N500" s="4" t="s">
        <v>723</v>
      </c>
      <c r="O500" s="4" t="s">
        <v>312</v>
      </c>
      <c r="P500" s="4" t="s">
        <v>159</v>
      </c>
      <c r="Q500" s="150">
        <v>511</v>
      </c>
      <c r="R500" s="150">
        <v>3.7589999999999999</v>
      </c>
      <c r="S500" s="150">
        <v>2798</v>
      </c>
      <c r="U500" s="150">
        <v>53.744999999999997</v>
      </c>
      <c r="V500" s="166">
        <v>0</v>
      </c>
      <c r="W500" s="166">
        <v>7.6273304322931803E-3</v>
      </c>
      <c r="X500" s="166">
        <v>8.0254599304263401E-4</v>
      </c>
    </row>
    <row r="501" spans="1:24">
      <c r="A501" s="4" t="s">
        <v>256</v>
      </c>
      <c r="B501" s="4">
        <v>7206</v>
      </c>
      <c r="C501" s="4" t="s">
        <v>2003</v>
      </c>
      <c r="D501" s="4" t="s">
        <v>2004</v>
      </c>
      <c r="E501" s="4" t="s">
        <v>1552</v>
      </c>
      <c r="F501" s="4" t="s">
        <v>2005</v>
      </c>
      <c r="G501" s="4" t="s">
        <v>2006</v>
      </c>
      <c r="H501" s="4" t="s">
        <v>511</v>
      </c>
      <c r="I501" s="4" t="s">
        <v>1121</v>
      </c>
      <c r="J501" s="4" t="s">
        <v>31</v>
      </c>
      <c r="K501" s="4" t="s">
        <v>31</v>
      </c>
      <c r="L501" s="2" t="s">
        <v>517</v>
      </c>
      <c r="M501" s="2" t="s">
        <v>535</v>
      </c>
      <c r="N501" s="4" t="s">
        <v>733</v>
      </c>
      <c r="O501" s="4" t="s">
        <v>312</v>
      </c>
      <c r="P501" s="4" t="s">
        <v>159</v>
      </c>
      <c r="Q501" s="150">
        <v>510</v>
      </c>
      <c r="R501" s="150">
        <v>3.7589999999999999</v>
      </c>
      <c r="S501" s="150">
        <v>935</v>
      </c>
      <c r="U501" s="150">
        <v>17.925000000000001</v>
      </c>
      <c r="V501" s="166">
        <v>4.0000000000000003E-5</v>
      </c>
      <c r="W501" s="166">
        <v>2.5438162544387998E-3</v>
      </c>
      <c r="X501" s="166">
        <v>2.6765977430228999E-4</v>
      </c>
    </row>
    <row r="502" spans="1:24">
      <c r="A502" s="4" t="s">
        <v>256</v>
      </c>
      <c r="B502" s="4">
        <v>7206</v>
      </c>
      <c r="C502" s="4" t="s">
        <v>2007</v>
      </c>
      <c r="D502" s="4" t="s">
        <v>2008</v>
      </c>
      <c r="E502" s="4" t="s">
        <v>505</v>
      </c>
      <c r="F502" s="4" t="s">
        <v>2009</v>
      </c>
      <c r="G502" s="4" t="s">
        <v>2010</v>
      </c>
      <c r="H502" s="4" t="s">
        <v>511</v>
      </c>
      <c r="I502" s="4" t="s">
        <v>1121</v>
      </c>
      <c r="J502" s="4" t="s">
        <v>154</v>
      </c>
      <c r="K502" s="4" t="s">
        <v>155</v>
      </c>
      <c r="L502" s="2" t="s">
        <v>517</v>
      </c>
      <c r="M502" s="2" t="s">
        <v>535</v>
      </c>
      <c r="N502" s="4" t="s">
        <v>737</v>
      </c>
      <c r="O502" s="4" t="s">
        <v>312</v>
      </c>
      <c r="P502" s="4" t="s">
        <v>159</v>
      </c>
      <c r="Q502" s="150">
        <v>112</v>
      </c>
      <c r="R502" s="150">
        <v>3.7589999999999999</v>
      </c>
      <c r="S502" s="150">
        <v>25.26</v>
      </c>
      <c r="U502" s="150">
        <v>10.635</v>
      </c>
      <c r="V502" s="166">
        <v>1.9999999999999999E-6</v>
      </c>
      <c r="W502" s="166">
        <v>1.50922961974581E-3</v>
      </c>
      <c r="X502" s="166">
        <v>1.5880080123185399E-4</v>
      </c>
    </row>
    <row r="503" spans="1:24">
      <c r="A503" s="4" t="s">
        <v>256</v>
      </c>
      <c r="B503" s="4">
        <v>7207</v>
      </c>
      <c r="C503" s="4" t="s">
        <v>1602</v>
      </c>
      <c r="D503" s="4" t="s">
        <v>1603</v>
      </c>
      <c r="E503" s="4" t="s">
        <v>1552</v>
      </c>
      <c r="F503" s="4" t="s">
        <v>1604</v>
      </c>
      <c r="G503" s="4" t="s">
        <v>1605</v>
      </c>
      <c r="H503" s="4" t="s">
        <v>511</v>
      </c>
      <c r="I503" s="4" t="s">
        <v>1121</v>
      </c>
      <c r="J503" s="4" t="s">
        <v>31</v>
      </c>
      <c r="K503" s="4" t="s">
        <v>31</v>
      </c>
      <c r="L503" s="2" t="s">
        <v>517</v>
      </c>
      <c r="M503" s="2" t="s">
        <v>32</v>
      </c>
      <c r="N503" s="4" t="s">
        <v>654</v>
      </c>
      <c r="O503" s="4" t="s">
        <v>312</v>
      </c>
      <c r="P503" s="4" t="s">
        <v>35</v>
      </c>
      <c r="Q503" s="150">
        <v>8650</v>
      </c>
      <c r="R503" s="150">
        <v>1</v>
      </c>
      <c r="S503" s="150">
        <v>128.1</v>
      </c>
      <c r="U503" s="150">
        <v>11.081</v>
      </c>
      <c r="V503" s="166">
        <v>2.9E-5</v>
      </c>
      <c r="W503" s="166">
        <v>1.89250390966294E-3</v>
      </c>
      <c r="X503" s="166">
        <v>1.1395903592656801E-4</v>
      </c>
    </row>
    <row r="504" spans="1:24">
      <c r="A504" s="4" t="s">
        <v>256</v>
      </c>
      <c r="B504" s="4">
        <v>7207</v>
      </c>
      <c r="C504" s="4" t="s">
        <v>1606</v>
      </c>
      <c r="D504" s="4" t="s">
        <v>1607</v>
      </c>
      <c r="E504" s="4" t="s">
        <v>1552</v>
      </c>
      <c r="F504" s="4" t="s">
        <v>1608</v>
      </c>
      <c r="G504" s="4" t="s">
        <v>1609</v>
      </c>
      <c r="H504" s="4" t="s">
        <v>511</v>
      </c>
      <c r="I504" s="4" t="s">
        <v>1121</v>
      </c>
      <c r="J504" s="4" t="s">
        <v>31</v>
      </c>
      <c r="K504" s="4" t="s">
        <v>31</v>
      </c>
      <c r="L504" s="2" t="s">
        <v>517</v>
      </c>
      <c r="M504" s="2" t="s">
        <v>32</v>
      </c>
      <c r="N504" s="4" t="s">
        <v>628</v>
      </c>
      <c r="O504" s="4" t="s">
        <v>312</v>
      </c>
      <c r="P504" s="4" t="s">
        <v>35</v>
      </c>
      <c r="Q504" s="150">
        <v>3165.53</v>
      </c>
      <c r="R504" s="150">
        <v>1</v>
      </c>
      <c r="S504" s="150">
        <v>2633</v>
      </c>
      <c r="U504" s="150">
        <v>83.347999999999999</v>
      </c>
      <c r="V504" s="166">
        <v>1.4E-5</v>
      </c>
      <c r="W504" s="166">
        <v>1.4235372666533099E-2</v>
      </c>
      <c r="X504" s="166">
        <v>8.5719735470583401E-4</v>
      </c>
    </row>
    <row r="505" spans="1:24">
      <c r="A505" s="4" t="s">
        <v>256</v>
      </c>
      <c r="B505" s="4">
        <v>7207</v>
      </c>
      <c r="C505" s="4" t="s">
        <v>1610</v>
      </c>
      <c r="D505" s="4" t="s">
        <v>1611</v>
      </c>
      <c r="E505" s="4" t="s">
        <v>1552</v>
      </c>
      <c r="F505" s="4" t="s">
        <v>1612</v>
      </c>
      <c r="G505" s="4" t="s">
        <v>1613</v>
      </c>
      <c r="H505" s="4" t="s">
        <v>511</v>
      </c>
      <c r="I505" s="4" t="s">
        <v>1121</v>
      </c>
      <c r="J505" s="4" t="s">
        <v>31</v>
      </c>
      <c r="K505" s="4" t="s">
        <v>31</v>
      </c>
      <c r="L505" s="2" t="s">
        <v>517</v>
      </c>
      <c r="M505" s="2" t="s">
        <v>32</v>
      </c>
      <c r="N505" s="4" t="s">
        <v>666</v>
      </c>
      <c r="O505" s="4" t="s">
        <v>312</v>
      </c>
      <c r="P505" s="4" t="s">
        <v>35</v>
      </c>
      <c r="Q505" s="150">
        <v>4940.04</v>
      </c>
      <c r="R505" s="150">
        <v>1</v>
      </c>
      <c r="S505" s="150">
        <v>369.3</v>
      </c>
      <c r="U505" s="150">
        <v>18.244</v>
      </c>
      <c r="V505" s="166">
        <v>9.0000000000000006E-5</v>
      </c>
      <c r="W505" s="166">
        <v>3.11588428804273E-3</v>
      </c>
      <c r="X505" s="166">
        <v>1.8762612204448699E-4</v>
      </c>
    </row>
    <row r="506" spans="1:24">
      <c r="A506" s="4" t="s">
        <v>256</v>
      </c>
      <c r="B506" s="4">
        <v>7207</v>
      </c>
      <c r="C506" s="4" t="s">
        <v>1614</v>
      </c>
      <c r="D506" s="4" t="s">
        <v>1615</v>
      </c>
      <c r="E506" s="4" t="s">
        <v>1552</v>
      </c>
      <c r="F506" s="4" t="s">
        <v>1616</v>
      </c>
      <c r="G506" s="4" t="s">
        <v>1617</v>
      </c>
      <c r="H506" s="4" t="s">
        <v>511</v>
      </c>
      <c r="I506" s="4" t="s">
        <v>1121</v>
      </c>
      <c r="J506" s="4" t="s">
        <v>31</v>
      </c>
      <c r="K506" s="4" t="s">
        <v>155</v>
      </c>
      <c r="L506" s="2" t="s">
        <v>517</v>
      </c>
      <c r="M506" s="2" t="s">
        <v>32</v>
      </c>
      <c r="N506" s="4" t="s">
        <v>634</v>
      </c>
      <c r="O506" s="4" t="s">
        <v>312</v>
      </c>
      <c r="P506" s="4" t="s">
        <v>35</v>
      </c>
      <c r="Q506" s="150">
        <v>320</v>
      </c>
      <c r="R506" s="150">
        <v>1</v>
      </c>
      <c r="S506" s="150">
        <v>2219</v>
      </c>
      <c r="U506" s="150">
        <v>7.101</v>
      </c>
      <c r="V506" s="166">
        <v>1.7E-5</v>
      </c>
      <c r="W506" s="166">
        <v>1.21277107044574E-3</v>
      </c>
      <c r="X506" s="166">
        <v>7.3028235916428299E-5</v>
      </c>
    </row>
    <row r="507" spans="1:24">
      <c r="A507" s="4" t="s">
        <v>256</v>
      </c>
      <c r="B507" s="4">
        <v>7207</v>
      </c>
      <c r="C507" s="4" t="s">
        <v>1618</v>
      </c>
      <c r="D507" s="4" t="s">
        <v>1619</v>
      </c>
      <c r="E507" s="4" t="s">
        <v>1552</v>
      </c>
      <c r="F507" s="4" t="s">
        <v>1620</v>
      </c>
      <c r="G507" s="4" t="s">
        <v>1621</v>
      </c>
      <c r="H507" s="4" t="s">
        <v>511</v>
      </c>
      <c r="I507" s="4" t="s">
        <v>1121</v>
      </c>
      <c r="J507" s="4" t="s">
        <v>31</v>
      </c>
      <c r="K507" s="4" t="s">
        <v>31</v>
      </c>
      <c r="L507" s="2" t="s">
        <v>517</v>
      </c>
      <c r="M507" s="2" t="s">
        <v>32</v>
      </c>
      <c r="N507" s="4" t="s">
        <v>666</v>
      </c>
      <c r="O507" s="4" t="s">
        <v>312</v>
      </c>
      <c r="P507" s="4" t="s">
        <v>35</v>
      </c>
      <c r="Q507" s="150">
        <v>1245</v>
      </c>
      <c r="R507" s="150">
        <v>1</v>
      </c>
      <c r="S507" s="150">
        <v>1710</v>
      </c>
      <c r="U507" s="150">
        <v>21.29</v>
      </c>
      <c r="V507" s="166">
        <v>7.3999999999999996E-5</v>
      </c>
      <c r="W507" s="166">
        <v>3.6361099741232901E-3</v>
      </c>
      <c r="X507" s="166">
        <v>2.18952037593342E-4</v>
      </c>
    </row>
    <row r="508" spans="1:24">
      <c r="A508" s="4" t="s">
        <v>256</v>
      </c>
      <c r="B508" s="4">
        <v>7207</v>
      </c>
      <c r="C508" s="4" t="s">
        <v>1622</v>
      </c>
      <c r="D508" s="4" t="s">
        <v>1623</v>
      </c>
      <c r="E508" s="4" t="s">
        <v>1552</v>
      </c>
      <c r="F508" s="4" t="s">
        <v>1624</v>
      </c>
      <c r="G508" s="4" t="s">
        <v>1625</v>
      </c>
      <c r="H508" s="4" t="s">
        <v>511</v>
      </c>
      <c r="I508" s="4" t="s">
        <v>1121</v>
      </c>
      <c r="J508" s="4" t="s">
        <v>31</v>
      </c>
      <c r="K508" s="4" t="s">
        <v>31</v>
      </c>
      <c r="L508" s="2" t="s">
        <v>517</v>
      </c>
      <c r="M508" s="2" t="s">
        <v>32</v>
      </c>
      <c r="N508" s="4" t="s">
        <v>635</v>
      </c>
      <c r="O508" s="4" t="s">
        <v>312</v>
      </c>
      <c r="P508" s="4" t="s">
        <v>35</v>
      </c>
      <c r="Q508" s="150">
        <v>1784</v>
      </c>
      <c r="R508" s="150">
        <v>1</v>
      </c>
      <c r="S508" s="150">
        <v>1549</v>
      </c>
      <c r="U508" s="150">
        <v>27.634</v>
      </c>
      <c r="V508" s="166">
        <v>7.9999999999999996E-6</v>
      </c>
      <c r="W508" s="166">
        <v>4.7197371851156102E-3</v>
      </c>
      <c r="X508" s="166">
        <v>2.8420374546985199E-4</v>
      </c>
    </row>
    <row r="509" spans="1:24">
      <c r="A509" s="4" t="s">
        <v>256</v>
      </c>
      <c r="B509" s="4">
        <v>7207</v>
      </c>
      <c r="C509" s="4" t="s">
        <v>1626</v>
      </c>
      <c r="D509" s="4" t="s">
        <v>1627</v>
      </c>
      <c r="E509" s="4" t="s">
        <v>1552</v>
      </c>
      <c r="F509" s="4" t="s">
        <v>1628</v>
      </c>
      <c r="G509" s="4" t="s">
        <v>1629</v>
      </c>
      <c r="H509" s="4" t="s">
        <v>511</v>
      </c>
      <c r="I509" s="4" t="s">
        <v>1121</v>
      </c>
      <c r="J509" s="4" t="s">
        <v>31</v>
      </c>
      <c r="K509" s="4" t="s">
        <v>31</v>
      </c>
      <c r="L509" s="2" t="s">
        <v>517</v>
      </c>
      <c r="M509" s="2" t="s">
        <v>32</v>
      </c>
      <c r="N509" s="4" t="s">
        <v>633</v>
      </c>
      <c r="O509" s="4" t="s">
        <v>312</v>
      </c>
      <c r="P509" s="4" t="s">
        <v>35</v>
      </c>
      <c r="Q509" s="150">
        <v>10</v>
      </c>
      <c r="R509" s="150">
        <v>1</v>
      </c>
      <c r="S509" s="150">
        <v>9863</v>
      </c>
      <c r="U509" s="150">
        <v>0.98599999999999999</v>
      </c>
      <c r="V509" s="166">
        <v>9.9999999999999995E-7</v>
      </c>
      <c r="W509" s="166">
        <v>1.6845371039610099E-4</v>
      </c>
      <c r="X509" s="166">
        <v>1.01436104501427E-5</v>
      </c>
    </row>
    <row r="510" spans="1:24">
      <c r="A510" s="4" t="s">
        <v>256</v>
      </c>
      <c r="B510" s="4">
        <v>7207</v>
      </c>
      <c r="C510" s="4" t="s">
        <v>2011</v>
      </c>
      <c r="D510" s="4" t="s">
        <v>2012</v>
      </c>
      <c r="E510" s="4" t="s">
        <v>1552</v>
      </c>
      <c r="F510" s="4" t="s">
        <v>2013</v>
      </c>
      <c r="G510" s="4" t="s">
        <v>2014</v>
      </c>
      <c r="H510" s="4" t="s">
        <v>511</v>
      </c>
      <c r="I510" s="4" t="s">
        <v>1121</v>
      </c>
      <c r="J510" s="4" t="s">
        <v>31</v>
      </c>
      <c r="K510" s="4" t="s">
        <v>31</v>
      </c>
      <c r="L510" s="2" t="s">
        <v>517</v>
      </c>
      <c r="M510" s="2" t="s">
        <v>32</v>
      </c>
      <c r="N510" s="4" t="s">
        <v>662</v>
      </c>
      <c r="O510" s="4" t="s">
        <v>312</v>
      </c>
      <c r="P510" s="4" t="s">
        <v>35</v>
      </c>
      <c r="Q510" s="150">
        <v>2470</v>
      </c>
      <c r="R510" s="150">
        <v>1</v>
      </c>
      <c r="S510" s="150">
        <v>39</v>
      </c>
      <c r="U510" s="150">
        <v>0.96299999999999997</v>
      </c>
      <c r="V510" s="166">
        <v>6.8999999999999997E-5</v>
      </c>
      <c r="W510" s="166">
        <v>1.6452545799915301E-4</v>
      </c>
      <c r="X510" s="166">
        <v>9.9070667612516006E-6</v>
      </c>
    </row>
    <row r="511" spans="1:24">
      <c r="A511" s="4" t="s">
        <v>256</v>
      </c>
      <c r="B511" s="4">
        <v>7207</v>
      </c>
      <c r="C511" s="4" t="s">
        <v>1630</v>
      </c>
      <c r="D511" s="4" t="s">
        <v>1631</v>
      </c>
      <c r="E511" s="4" t="s">
        <v>1552</v>
      </c>
      <c r="F511" s="4" t="s">
        <v>1632</v>
      </c>
      <c r="G511" s="4" t="s">
        <v>1633</v>
      </c>
      <c r="H511" s="4" t="s">
        <v>511</v>
      </c>
      <c r="I511" s="4" t="s">
        <v>1121</v>
      </c>
      <c r="J511" s="4" t="s">
        <v>31</v>
      </c>
      <c r="K511" s="4" t="s">
        <v>31</v>
      </c>
      <c r="L511" s="2" t="s">
        <v>517</v>
      </c>
      <c r="M511" s="2" t="s">
        <v>32</v>
      </c>
      <c r="N511" s="4" t="s">
        <v>650</v>
      </c>
      <c r="O511" s="4" t="s">
        <v>312</v>
      </c>
      <c r="P511" s="4" t="s">
        <v>35</v>
      </c>
      <c r="Q511" s="150">
        <v>115.68</v>
      </c>
      <c r="R511" s="150">
        <v>1</v>
      </c>
      <c r="S511" s="150">
        <v>6381</v>
      </c>
      <c r="U511" s="150">
        <v>7.3819999999999997</v>
      </c>
      <c r="V511" s="166">
        <v>1.0000000000000001E-5</v>
      </c>
      <c r="W511" s="166">
        <v>1.2607197974249299E-3</v>
      </c>
      <c r="X511" s="166">
        <v>7.5915516979655897E-5</v>
      </c>
    </row>
    <row r="512" spans="1:24">
      <c r="A512" s="4" t="s">
        <v>256</v>
      </c>
      <c r="B512" s="4">
        <v>7207</v>
      </c>
      <c r="C512" s="4" t="s">
        <v>1634</v>
      </c>
      <c r="D512" s="4" t="s">
        <v>1635</v>
      </c>
      <c r="E512" s="4" t="s">
        <v>1552</v>
      </c>
      <c r="F512" s="4" t="s">
        <v>1636</v>
      </c>
      <c r="G512" s="4" t="s">
        <v>1637</v>
      </c>
      <c r="H512" s="4" t="s">
        <v>511</v>
      </c>
      <c r="I512" s="4" t="s">
        <v>1121</v>
      </c>
      <c r="J512" s="4" t="s">
        <v>31</v>
      </c>
      <c r="K512" s="4" t="s">
        <v>31</v>
      </c>
      <c r="L512" s="2" t="s">
        <v>517</v>
      </c>
      <c r="M512" s="2" t="s">
        <v>32</v>
      </c>
      <c r="N512" s="4" t="s">
        <v>651</v>
      </c>
      <c r="O512" s="4" t="s">
        <v>312</v>
      </c>
      <c r="P512" s="4" t="s">
        <v>35</v>
      </c>
      <c r="Q512" s="150">
        <v>2500</v>
      </c>
      <c r="R512" s="150">
        <v>1</v>
      </c>
      <c r="S512" s="150">
        <v>990.44799999999998</v>
      </c>
      <c r="U512" s="150">
        <v>24.760999999999999</v>
      </c>
      <c r="V512" s="166">
        <v>0</v>
      </c>
      <c r="W512" s="166">
        <v>4.2290547098256699E-3</v>
      </c>
      <c r="X512" s="166">
        <v>2.5465680422202E-4</v>
      </c>
    </row>
    <row r="513" spans="1:24">
      <c r="A513" s="4" t="s">
        <v>256</v>
      </c>
      <c r="B513" s="4">
        <v>7207</v>
      </c>
      <c r="C513" s="4" t="s">
        <v>1638</v>
      </c>
      <c r="D513" s="4" t="s">
        <v>1639</v>
      </c>
      <c r="E513" s="4" t="s">
        <v>1552</v>
      </c>
      <c r="F513" s="4" t="s">
        <v>1640</v>
      </c>
      <c r="G513" s="4" t="s">
        <v>1641</v>
      </c>
      <c r="H513" s="4" t="s">
        <v>511</v>
      </c>
      <c r="I513" s="4" t="s">
        <v>1121</v>
      </c>
      <c r="J513" s="4" t="s">
        <v>31</v>
      </c>
      <c r="K513" s="4" t="s">
        <v>31</v>
      </c>
      <c r="L513" s="2" t="s">
        <v>517</v>
      </c>
      <c r="M513" s="2" t="s">
        <v>32</v>
      </c>
      <c r="N513" s="4" t="s">
        <v>649</v>
      </c>
      <c r="O513" s="4" t="s">
        <v>312</v>
      </c>
      <c r="P513" s="4" t="s">
        <v>35</v>
      </c>
      <c r="Q513" s="150">
        <v>16</v>
      </c>
      <c r="R513" s="150">
        <v>1</v>
      </c>
      <c r="S513" s="150">
        <v>6972</v>
      </c>
      <c r="U513" s="150">
        <v>1.1160000000000001</v>
      </c>
      <c r="V513" s="166">
        <v>9.9999999999999995E-7</v>
      </c>
      <c r="W513" s="166">
        <v>1.90523657123653E-4</v>
      </c>
      <c r="X513" s="166">
        <v>1.14725746013821E-5</v>
      </c>
    </row>
    <row r="514" spans="1:24">
      <c r="A514" s="4" t="s">
        <v>256</v>
      </c>
      <c r="B514" s="4">
        <v>7207</v>
      </c>
      <c r="C514" s="4" t="s">
        <v>1642</v>
      </c>
      <c r="D514" s="4" t="s">
        <v>1643</v>
      </c>
      <c r="E514" s="4" t="s">
        <v>1552</v>
      </c>
      <c r="F514" s="4" t="s">
        <v>1644</v>
      </c>
      <c r="G514" s="4" t="s">
        <v>1645</v>
      </c>
      <c r="H514" s="4" t="s">
        <v>511</v>
      </c>
      <c r="I514" s="4" t="s">
        <v>1121</v>
      </c>
      <c r="J514" s="4" t="s">
        <v>31</v>
      </c>
      <c r="K514" s="4" t="s">
        <v>31</v>
      </c>
      <c r="L514" s="2" t="s">
        <v>517</v>
      </c>
      <c r="M514" s="2" t="s">
        <v>32</v>
      </c>
      <c r="N514" s="4" t="s">
        <v>634</v>
      </c>
      <c r="O514" s="4" t="s">
        <v>312</v>
      </c>
      <c r="P514" s="4" t="s">
        <v>35</v>
      </c>
      <c r="Q514" s="150">
        <v>128</v>
      </c>
      <c r="R514" s="150">
        <v>1</v>
      </c>
      <c r="S514" s="150">
        <v>66410</v>
      </c>
      <c r="T514" s="149">
        <v>0.24099999999999999</v>
      </c>
      <c r="U514" s="150">
        <v>85.245000000000005</v>
      </c>
      <c r="V514" s="166">
        <v>3.0000000000000001E-6</v>
      </c>
      <c r="W514" s="166">
        <v>1.4559363839729901E-2</v>
      </c>
      <c r="X514" s="166">
        <v>8.7670681070098799E-4</v>
      </c>
    </row>
    <row r="515" spans="1:24">
      <c r="A515" s="4" t="s">
        <v>256</v>
      </c>
      <c r="B515" s="4">
        <v>7207</v>
      </c>
      <c r="C515" s="4" t="s">
        <v>1646</v>
      </c>
      <c r="D515" s="4" t="s">
        <v>1647</v>
      </c>
      <c r="E515" s="4" t="s">
        <v>1552</v>
      </c>
      <c r="F515" s="4" t="s">
        <v>1648</v>
      </c>
      <c r="G515" s="4" t="s">
        <v>1649</v>
      </c>
      <c r="H515" s="4" t="s">
        <v>511</v>
      </c>
      <c r="I515" s="4" t="s">
        <v>1121</v>
      </c>
      <c r="J515" s="4" t="s">
        <v>31</v>
      </c>
      <c r="K515" s="4" t="s">
        <v>31</v>
      </c>
      <c r="L515" s="2" t="s">
        <v>517</v>
      </c>
      <c r="M515" s="2" t="s">
        <v>32</v>
      </c>
      <c r="N515" s="4" t="s">
        <v>629</v>
      </c>
      <c r="O515" s="4" t="s">
        <v>312</v>
      </c>
      <c r="P515" s="4" t="s">
        <v>35</v>
      </c>
      <c r="Q515" s="150">
        <v>1626</v>
      </c>
      <c r="R515" s="150">
        <v>1</v>
      </c>
      <c r="S515" s="150">
        <v>4400</v>
      </c>
      <c r="U515" s="150">
        <v>71.543999999999997</v>
      </c>
      <c r="V515" s="166">
        <v>1.27E-4</v>
      </c>
      <c r="W515" s="166">
        <v>1.22192560646646E-2</v>
      </c>
      <c r="X515" s="166">
        <v>7.3579485556626596E-4</v>
      </c>
    </row>
    <row r="516" spans="1:24">
      <c r="A516" s="4" t="s">
        <v>256</v>
      </c>
      <c r="B516" s="4">
        <v>7207</v>
      </c>
      <c r="C516" s="4" t="s">
        <v>1650</v>
      </c>
      <c r="D516" s="4" t="s">
        <v>1651</v>
      </c>
      <c r="E516" s="4" t="s">
        <v>1552</v>
      </c>
      <c r="F516" s="4" t="s">
        <v>1652</v>
      </c>
      <c r="G516" s="4" t="s">
        <v>1653</v>
      </c>
      <c r="H516" s="4" t="s">
        <v>511</v>
      </c>
      <c r="I516" s="4" t="s">
        <v>1121</v>
      </c>
      <c r="J516" s="4" t="s">
        <v>31</v>
      </c>
      <c r="K516" s="4" t="s">
        <v>31</v>
      </c>
      <c r="L516" s="2" t="s">
        <v>517</v>
      </c>
      <c r="M516" s="2" t="s">
        <v>32</v>
      </c>
      <c r="N516" s="4" t="s">
        <v>652</v>
      </c>
      <c r="O516" s="4" t="s">
        <v>312</v>
      </c>
      <c r="P516" s="4" t="s">
        <v>35</v>
      </c>
      <c r="Q516" s="150">
        <v>3530</v>
      </c>
      <c r="R516" s="150">
        <v>1</v>
      </c>
      <c r="S516" s="150">
        <v>2350</v>
      </c>
      <c r="U516" s="150">
        <v>82.954999999999998</v>
      </c>
      <c r="V516" s="166">
        <v>2.0000000000000002E-5</v>
      </c>
      <c r="W516" s="166">
        <v>1.4168181634298499E-2</v>
      </c>
      <c r="X516" s="166">
        <v>8.5315137878088504E-4</v>
      </c>
    </row>
    <row r="517" spans="1:24">
      <c r="A517" s="4" t="s">
        <v>256</v>
      </c>
      <c r="B517" s="4">
        <v>7207</v>
      </c>
      <c r="C517" s="4" t="s">
        <v>1654</v>
      </c>
      <c r="D517" s="4" t="s">
        <v>1655</v>
      </c>
      <c r="E517" s="4" t="s">
        <v>1552</v>
      </c>
      <c r="F517" s="4" t="s">
        <v>1656</v>
      </c>
      <c r="G517" s="4" t="s">
        <v>1657</v>
      </c>
      <c r="H517" s="4" t="s">
        <v>511</v>
      </c>
      <c r="I517" s="4" t="s">
        <v>1121</v>
      </c>
      <c r="J517" s="4" t="s">
        <v>31</v>
      </c>
      <c r="K517" s="4" t="s">
        <v>31</v>
      </c>
      <c r="L517" s="2" t="s">
        <v>517</v>
      </c>
      <c r="M517" s="2" t="s">
        <v>32</v>
      </c>
      <c r="N517" s="4" t="s">
        <v>667</v>
      </c>
      <c r="O517" s="4" t="s">
        <v>312</v>
      </c>
      <c r="P517" s="4" t="s">
        <v>35</v>
      </c>
      <c r="Q517" s="150">
        <v>2530</v>
      </c>
      <c r="R517" s="150">
        <v>1</v>
      </c>
      <c r="S517" s="150">
        <v>482.7</v>
      </c>
      <c r="U517" s="150">
        <v>12.212</v>
      </c>
      <c r="V517" s="166">
        <v>1.2999999999999999E-5</v>
      </c>
      <c r="W517" s="166">
        <v>2.08578417520776E-3</v>
      </c>
      <c r="X517" s="166">
        <v>1.2559760249050201E-4</v>
      </c>
    </row>
    <row r="518" spans="1:24">
      <c r="A518" s="4" t="s">
        <v>256</v>
      </c>
      <c r="B518" s="4">
        <v>7207</v>
      </c>
      <c r="C518" s="4" t="s">
        <v>1658</v>
      </c>
      <c r="D518" s="4" t="s">
        <v>1659</v>
      </c>
      <c r="E518" s="4" t="s">
        <v>1552</v>
      </c>
      <c r="F518" s="4" t="s">
        <v>1660</v>
      </c>
      <c r="G518" s="4" t="s">
        <v>1661</v>
      </c>
      <c r="H518" s="4" t="s">
        <v>511</v>
      </c>
      <c r="I518" s="4" t="s">
        <v>1121</v>
      </c>
      <c r="J518" s="4" t="s">
        <v>31</v>
      </c>
      <c r="K518" s="4" t="s">
        <v>31</v>
      </c>
      <c r="L518" s="2" t="s">
        <v>517</v>
      </c>
      <c r="M518" s="2" t="s">
        <v>32</v>
      </c>
      <c r="N518" s="4" t="s">
        <v>639</v>
      </c>
      <c r="O518" s="4" t="s">
        <v>312</v>
      </c>
      <c r="P518" s="4" t="s">
        <v>35</v>
      </c>
      <c r="Q518" s="150">
        <v>509</v>
      </c>
      <c r="R518" s="150">
        <v>1</v>
      </c>
      <c r="S518" s="150">
        <v>10000</v>
      </c>
      <c r="U518" s="150">
        <v>50.9</v>
      </c>
      <c r="V518" s="166">
        <v>1.5E-5</v>
      </c>
      <c r="W518" s="166">
        <v>8.6933933480295607E-3</v>
      </c>
      <c r="X518" s="166">
        <v>5.2348146802419396E-4</v>
      </c>
    </row>
    <row r="519" spans="1:24">
      <c r="A519" s="4" t="s">
        <v>256</v>
      </c>
      <c r="B519" s="4">
        <v>7207</v>
      </c>
      <c r="C519" s="4" t="s">
        <v>1662</v>
      </c>
      <c r="D519" s="4" t="s">
        <v>1663</v>
      </c>
      <c r="E519" s="4" t="s">
        <v>1552</v>
      </c>
      <c r="F519" s="4" t="s">
        <v>1664</v>
      </c>
      <c r="G519" s="4" t="s">
        <v>1665</v>
      </c>
      <c r="H519" s="4" t="s">
        <v>511</v>
      </c>
      <c r="I519" s="4" t="s">
        <v>1121</v>
      </c>
      <c r="J519" s="4" t="s">
        <v>31</v>
      </c>
      <c r="K519" s="4" t="s">
        <v>31</v>
      </c>
      <c r="L519" s="2" t="s">
        <v>517</v>
      </c>
      <c r="M519" s="2" t="s">
        <v>32</v>
      </c>
      <c r="N519" s="4" t="s">
        <v>653</v>
      </c>
      <c r="O519" s="4" t="s">
        <v>312</v>
      </c>
      <c r="P519" s="4" t="s">
        <v>35</v>
      </c>
      <c r="Q519" s="150">
        <v>156</v>
      </c>
      <c r="R519" s="150">
        <v>1</v>
      </c>
      <c r="S519" s="150">
        <v>3254</v>
      </c>
      <c r="U519" s="150">
        <v>5.0759999999999996</v>
      </c>
      <c r="V519" s="166">
        <v>3.0000000000000001E-6</v>
      </c>
      <c r="W519" s="166">
        <v>8.6698921510808605E-4</v>
      </c>
      <c r="X519" s="166">
        <v>5.2206631969413298E-5</v>
      </c>
    </row>
    <row r="520" spans="1:24">
      <c r="A520" s="4" t="s">
        <v>256</v>
      </c>
      <c r="B520" s="4">
        <v>7207</v>
      </c>
      <c r="C520" s="4" t="s">
        <v>2015</v>
      </c>
      <c r="D520" s="4" t="s">
        <v>2016</v>
      </c>
      <c r="E520" s="4" t="s">
        <v>1552</v>
      </c>
      <c r="F520" s="4" t="s">
        <v>2017</v>
      </c>
      <c r="G520" s="4" t="s">
        <v>2018</v>
      </c>
      <c r="H520" s="4" t="s">
        <v>511</v>
      </c>
      <c r="I520" s="4" t="s">
        <v>1121</v>
      </c>
      <c r="J520" s="4" t="s">
        <v>31</v>
      </c>
      <c r="K520" s="4" t="s">
        <v>31</v>
      </c>
      <c r="L520" s="2" t="s">
        <v>517</v>
      </c>
      <c r="M520" s="2" t="s">
        <v>32</v>
      </c>
      <c r="N520" s="4" t="s">
        <v>628</v>
      </c>
      <c r="O520" s="4" t="s">
        <v>312</v>
      </c>
      <c r="P520" s="4" t="s">
        <v>35</v>
      </c>
      <c r="Q520" s="150">
        <v>776</v>
      </c>
      <c r="R520" s="150">
        <v>1</v>
      </c>
      <c r="S520" s="150">
        <v>1731</v>
      </c>
      <c r="U520" s="150">
        <v>13.433</v>
      </c>
      <c r="V520" s="166">
        <v>4.8000000000000001E-5</v>
      </c>
      <c r="W520" s="166">
        <v>2.2941950442241302E-3</v>
      </c>
      <c r="X520" s="166">
        <v>1.3814727363699599E-4</v>
      </c>
    </row>
    <row r="521" spans="1:24">
      <c r="A521" s="4" t="s">
        <v>256</v>
      </c>
      <c r="B521" s="4">
        <v>7207</v>
      </c>
      <c r="C521" s="4" t="s">
        <v>1666</v>
      </c>
      <c r="D521" s="4" t="s">
        <v>1667</v>
      </c>
      <c r="E521" s="4" t="s">
        <v>1552</v>
      </c>
      <c r="F521" s="4" t="s">
        <v>1668</v>
      </c>
      <c r="G521" s="4" t="s">
        <v>1669</v>
      </c>
      <c r="H521" s="4" t="s">
        <v>511</v>
      </c>
      <c r="I521" s="4" t="s">
        <v>1121</v>
      </c>
      <c r="J521" s="4" t="s">
        <v>31</v>
      </c>
      <c r="K521" s="4" t="s">
        <v>31</v>
      </c>
      <c r="L521" s="2" t="s">
        <v>517</v>
      </c>
      <c r="M521" s="2" t="s">
        <v>32</v>
      </c>
      <c r="N521" s="4" t="s">
        <v>664</v>
      </c>
      <c r="O521" s="4" t="s">
        <v>312</v>
      </c>
      <c r="P521" s="4" t="s">
        <v>35</v>
      </c>
      <c r="Q521" s="150">
        <v>51</v>
      </c>
      <c r="R521" s="150">
        <v>1</v>
      </c>
      <c r="S521" s="150">
        <v>7427</v>
      </c>
      <c r="U521" s="150">
        <v>3.7879999999999998</v>
      </c>
      <c r="V521" s="166">
        <v>1.9999999999999999E-6</v>
      </c>
      <c r="W521" s="166">
        <v>6.4692680789520498E-4</v>
      </c>
      <c r="X521" s="166">
        <v>3.8955351672652298E-5</v>
      </c>
    </row>
    <row r="522" spans="1:24">
      <c r="A522" s="4" t="s">
        <v>256</v>
      </c>
      <c r="B522" s="4">
        <v>7207</v>
      </c>
      <c r="C522" s="4" t="s">
        <v>1670</v>
      </c>
      <c r="D522" s="4" t="s">
        <v>1671</v>
      </c>
      <c r="E522" s="4" t="s">
        <v>1552</v>
      </c>
      <c r="F522" s="4" t="s">
        <v>1672</v>
      </c>
      <c r="G522" s="4" t="s">
        <v>1673</v>
      </c>
      <c r="H522" s="4" t="s">
        <v>511</v>
      </c>
      <c r="I522" s="4" t="s">
        <v>1121</v>
      </c>
      <c r="J522" s="4" t="s">
        <v>31</v>
      </c>
      <c r="K522" s="4" t="s">
        <v>31</v>
      </c>
      <c r="L522" s="2" t="s">
        <v>517</v>
      </c>
      <c r="M522" s="2" t="s">
        <v>32</v>
      </c>
      <c r="N522" s="4" t="s">
        <v>652</v>
      </c>
      <c r="O522" s="4" t="s">
        <v>312</v>
      </c>
      <c r="P522" s="4" t="s">
        <v>35</v>
      </c>
      <c r="Q522" s="150">
        <v>2424</v>
      </c>
      <c r="R522" s="150">
        <v>1</v>
      </c>
      <c r="S522" s="150">
        <v>1510</v>
      </c>
      <c r="U522" s="150">
        <v>36.601999999999997</v>
      </c>
      <c r="V522" s="166">
        <v>5.0000000000000004E-6</v>
      </c>
      <c r="W522" s="166">
        <v>6.25145502322038E-3</v>
      </c>
      <c r="X522" s="166">
        <v>3.7643768340292298E-4</v>
      </c>
    </row>
    <row r="523" spans="1:24">
      <c r="A523" s="4" t="s">
        <v>256</v>
      </c>
      <c r="B523" s="4">
        <v>7207</v>
      </c>
      <c r="C523" s="4" t="s">
        <v>1674</v>
      </c>
      <c r="D523" s="4" t="s">
        <v>1675</v>
      </c>
      <c r="E523" s="4" t="s">
        <v>1552</v>
      </c>
      <c r="F523" s="4" t="s">
        <v>1676</v>
      </c>
      <c r="G523" s="4" t="s">
        <v>1677</v>
      </c>
      <c r="H523" s="4" t="s">
        <v>511</v>
      </c>
      <c r="I523" s="4" t="s">
        <v>1121</v>
      </c>
      <c r="J523" s="4" t="s">
        <v>31</v>
      </c>
      <c r="K523" s="4" t="s">
        <v>155</v>
      </c>
      <c r="L523" s="2" t="s">
        <v>517</v>
      </c>
      <c r="M523" s="2" t="s">
        <v>32</v>
      </c>
      <c r="N523" s="4" t="s">
        <v>629</v>
      </c>
      <c r="O523" s="4" t="s">
        <v>312</v>
      </c>
      <c r="P523" s="4" t="s">
        <v>35</v>
      </c>
      <c r="Q523" s="150">
        <v>4823.8999999999996</v>
      </c>
      <c r="R523" s="150">
        <v>1</v>
      </c>
      <c r="S523" s="150">
        <v>5985</v>
      </c>
      <c r="U523" s="150">
        <v>288.70999999999998</v>
      </c>
      <c r="V523" s="166">
        <v>4.1E-5</v>
      </c>
      <c r="W523" s="166">
        <v>4.9309886075989302E-2</v>
      </c>
      <c r="X523" s="166">
        <v>2.9692446341468399E-3</v>
      </c>
    </row>
    <row r="524" spans="1:24">
      <c r="A524" s="4" t="s">
        <v>256</v>
      </c>
      <c r="B524" s="4">
        <v>7207</v>
      </c>
      <c r="C524" s="4" t="s">
        <v>1678</v>
      </c>
      <c r="D524" s="4" t="s">
        <v>1679</v>
      </c>
      <c r="E524" s="4" t="s">
        <v>505</v>
      </c>
      <c r="F524" s="4" t="s">
        <v>1680</v>
      </c>
      <c r="G524" s="4" t="s">
        <v>1681</v>
      </c>
      <c r="H524" s="4" t="s">
        <v>511</v>
      </c>
      <c r="I524" s="4" t="s">
        <v>1121</v>
      </c>
      <c r="J524" s="4" t="s">
        <v>154</v>
      </c>
      <c r="K524" s="4" t="s">
        <v>426</v>
      </c>
      <c r="L524" s="2" t="s">
        <v>517</v>
      </c>
      <c r="M524" s="2" t="s">
        <v>32</v>
      </c>
      <c r="N524" s="4" t="s">
        <v>642</v>
      </c>
      <c r="O524" s="4" t="s">
        <v>312</v>
      </c>
      <c r="P524" s="4" t="s">
        <v>35</v>
      </c>
      <c r="Q524" s="150">
        <v>204</v>
      </c>
      <c r="R524" s="150">
        <v>1</v>
      </c>
      <c r="S524" s="150">
        <v>4611</v>
      </c>
      <c r="T524" s="149">
        <v>0.23</v>
      </c>
      <c r="U524" s="150">
        <v>9.6359999999999992</v>
      </c>
      <c r="V524" s="166">
        <v>9.9999999999999995E-7</v>
      </c>
      <c r="W524" s="166">
        <v>1.6458507862292401E-3</v>
      </c>
      <c r="X524" s="166">
        <v>9.9106568773784699E-5</v>
      </c>
    </row>
    <row r="525" spans="1:24">
      <c r="A525" s="4" t="s">
        <v>256</v>
      </c>
      <c r="B525" s="4">
        <v>7207</v>
      </c>
      <c r="C525" s="4" t="s">
        <v>1682</v>
      </c>
      <c r="D525" s="4" t="s">
        <v>1683</v>
      </c>
      <c r="E525" s="4" t="s">
        <v>1552</v>
      </c>
      <c r="F525" s="4" t="s">
        <v>1684</v>
      </c>
      <c r="G525" s="4" t="s">
        <v>1685</v>
      </c>
      <c r="H525" s="4" t="s">
        <v>511</v>
      </c>
      <c r="I525" s="4" t="s">
        <v>1121</v>
      </c>
      <c r="J525" s="4" t="s">
        <v>31</v>
      </c>
      <c r="K525" s="4" t="s">
        <v>31</v>
      </c>
      <c r="L525" s="2" t="s">
        <v>517</v>
      </c>
      <c r="M525" s="2" t="s">
        <v>32</v>
      </c>
      <c r="N525" s="4" t="s">
        <v>639</v>
      </c>
      <c r="O525" s="4" t="s">
        <v>312</v>
      </c>
      <c r="P525" s="4" t="s">
        <v>35</v>
      </c>
      <c r="Q525" s="150">
        <v>168.33</v>
      </c>
      <c r="R525" s="150">
        <v>1</v>
      </c>
      <c r="S525" s="150">
        <v>10800</v>
      </c>
      <c r="U525" s="150">
        <v>18.18</v>
      </c>
      <c r="V525" s="166">
        <v>5.0000000000000004E-6</v>
      </c>
      <c r="W525" s="166">
        <v>3.1049658437244101E-3</v>
      </c>
      <c r="X525" s="166">
        <v>1.8696865688313101E-4</v>
      </c>
    </row>
    <row r="526" spans="1:24">
      <c r="A526" s="4" t="s">
        <v>256</v>
      </c>
      <c r="B526" s="4">
        <v>7207</v>
      </c>
      <c r="C526" s="4" t="s">
        <v>1686</v>
      </c>
      <c r="D526" s="4" t="s">
        <v>1687</v>
      </c>
      <c r="E526" s="4" t="s">
        <v>1552</v>
      </c>
      <c r="F526" s="4" t="s">
        <v>1688</v>
      </c>
      <c r="G526" s="4" t="s">
        <v>1689</v>
      </c>
      <c r="H526" s="4" t="s">
        <v>511</v>
      </c>
      <c r="I526" s="4" t="s">
        <v>1121</v>
      </c>
      <c r="J526" s="4" t="s">
        <v>31</v>
      </c>
      <c r="K526" s="4" t="s">
        <v>31</v>
      </c>
      <c r="L526" s="2" t="s">
        <v>517</v>
      </c>
      <c r="M526" s="2" t="s">
        <v>32</v>
      </c>
      <c r="N526" s="4" t="s">
        <v>629</v>
      </c>
      <c r="O526" s="4" t="s">
        <v>312</v>
      </c>
      <c r="P526" s="4" t="s">
        <v>35</v>
      </c>
      <c r="Q526" s="150">
        <v>321</v>
      </c>
      <c r="R526" s="150">
        <v>1</v>
      </c>
      <c r="S526" s="150">
        <v>1526</v>
      </c>
      <c r="U526" s="150">
        <v>4.8979999999999997</v>
      </c>
      <c r="V526" s="166">
        <v>6.9999999999999999E-6</v>
      </c>
      <c r="W526" s="166">
        <v>8.3662553201549895E-4</v>
      </c>
      <c r="X526" s="166">
        <v>5.0378252099367299E-5</v>
      </c>
    </row>
    <row r="527" spans="1:24">
      <c r="A527" s="4" t="s">
        <v>256</v>
      </c>
      <c r="B527" s="4">
        <v>7207</v>
      </c>
      <c r="C527" s="4" t="s">
        <v>1690</v>
      </c>
      <c r="D527" s="4" t="s">
        <v>1691</v>
      </c>
      <c r="E527" s="4" t="s">
        <v>1552</v>
      </c>
      <c r="F527" s="4" t="s">
        <v>1692</v>
      </c>
      <c r="G527" s="4" t="s">
        <v>1693</v>
      </c>
      <c r="H527" s="4" t="s">
        <v>511</v>
      </c>
      <c r="I527" s="4" t="s">
        <v>1121</v>
      </c>
      <c r="J527" s="4" t="s">
        <v>31</v>
      </c>
      <c r="K527" s="4" t="s">
        <v>489</v>
      </c>
      <c r="L527" s="2" t="s">
        <v>517</v>
      </c>
      <c r="M527" s="2" t="s">
        <v>32</v>
      </c>
      <c r="N527" s="4" t="s">
        <v>627</v>
      </c>
      <c r="O527" s="4" t="s">
        <v>312</v>
      </c>
      <c r="P527" s="4" t="s">
        <v>35</v>
      </c>
      <c r="Q527" s="150">
        <v>1459</v>
      </c>
      <c r="R527" s="150">
        <v>1</v>
      </c>
      <c r="S527" s="150">
        <v>4596</v>
      </c>
      <c r="U527" s="150">
        <v>67.055999999999997</v>
      </c>
      <c r="V527" s="166">
        <v>5.8999999999999998E-5</v>
      </c>
      <c r="W527" s="166">
        <v>1.14526729808225E-2</v>
      </c>
      <c r="X527" s="166">
        <v>6.8963428028490895E-4</v>
      </c>
    </row>
    <row r="528" spans="1:24">
      <c r="A528" s="4" t="s">
        <v>256</v>
      </c>
      <c r="B528" s="4">
        <v>7207</v>
      </c>
      <c r="C528" s="4" t="s">
        <v>1694</v>
      </c>
      <c r="D528" s="4" t="s">
        <v>1695</v>
      </c>
      <c r="E528" s="4" t="s">
        <v>1552</v>
      </c>
      <c r="F528" s="4" t="s">
        <v>1696</v>
      </c>
      <c r="G528" s="4" t="s">
        <v>1697</v>
      </c>
      <c r="H528" s="4" t="s">
        <v>511</v>
      </c>
      <c r="I528" s="4" t="s">
        <v>1121</v>
      </c>
      <c r="J528" s="4" t="s">
        <v>31</v>
      </c>
      <c r="K528" s="4" t="s">
        <v>31</v>
      </c>
      <c r="L528" s="2" t="s">
        <v>517</v>
      </c>
      <c r="M528" s="2" t="s">
        <v>32</v>
      </c>
      <c r="N528" s="4" t="s">
        <v>652</v>
      </c>
      <c r="O528" s="4" t="s">
        <v>312</v>
      </c>
      <c r="P528" s="4" t="s">
        <v>35</v>
      </c>
      <c r="Q528" s="150">
        <v>2000</v>
      </c>
      <c r="R528" s="150">
        <v>1</v>
      </c>
      <c r="S528" s="150">
        <v>210.4</v>
      </c>
      <c r="U528" s="150">
        <v>4.2080000000000002</v>
      </c>
      <c r="V528" s="166">
        <v>6.0000000000000002E-6</v>
      </c>
      <c r="W528" s="166">
        <v>7.1869939505910397E-4</v>
      </c>
      <c r="X528" s="166">
        <v>4.3277210558856801E-5</v>
      </c>
    </row>
    <row r="529" spans="1:24">
      <c r="A529" s="4" t="s">
        <v>256</v>
      </c>
      <c r="B529" s="4">
        <v>7207</v>
      </c>
      <c r="C529" s="4" t="s">
        <v>1698</v>
      </c>
      <c r="D529" s="4" t="s">
        <v>1699</v>
      </c>
      <c r="E529" s="4" t="s">
        <v>1552</v>
      </c>
      <c r="F529" s="4" t="s">
        <v>1700</v>
      </c>
      <c r="G529" s="4" t="s">
        <v>1701</v>
      </c>
      <c r="H529" s="4" t="s">
        <v>511</v>
      </c>
      <c r="I529" s="4" t="s">
        <v>1121</v>
      </c>
      <c r="J529" s="4" t="s">
        <v>31</v>
      </c>
      <c r="K529" s="4" t="s">
        <v>31</v>
      </c>
      <c r="L529" s="2" t="s">
        <v>517</v>
      </c>
      <c r="M529" s="2" t="s">
        <v>32</v>
      </c>
      <c r="N529" s="4" t="s">
        <v>628</v>
      </c>
      <c r="O529" s="4" t="s">
        <v>312</v>
      </c>
      <c r="P529" s="4" t="s">
        <v>35</v>
      </c>
      <c r="Q529" s="150">
        <v>36097</v>
      </c>
      <c r="R529" s="150">
        <v>1</v>
      </c>
      <c r="S529" s="150">
        <v>86.7</v>
      </c>
      <c r="U529" s="150">
        <v>31.295999999999999</v>
      </c>
      <c r="V529" s="166">
        <v>1.1E-5</v>
      </c>
      <c r="W529" s="166">
        <v>5.3451728657342799E-3</v>
      </c>
      <c r="X529" s="166">
        <v>3.2186498718959802E-4</v>
      </c>
    </row>
    <row r="530" spans="1:24">
      <c r="A530" s="4" t="s">
        <v>256</v>
      </c>
      <c r="B530" s="4">
        <v>7207</v>
      </c>
      <c r="C530" s="4" t="s">
        <v>1702</v>
      </c>
      <c r="D530" s="4" t="s">
        <v>1703</v>
      </c>
      <c r="E530" s="4" t="s">
        <v>1552</v>
      </c>
      <c r="F530" s="4" t="s">
        <v>1704</v>
      </c>
      <c r="G530" s="4" t="s">
        <v>1705</v>
      </c>
      <c r="H530" s="4" t="s">
        <v>511</v>
      </c>
      <c r="I530" s="4" t="s">
        <v>1121</v>
      </c>
      <c r="J530" s="4" t="s">
        <v>31</v>
      </c>
      <c r="K530" s="4" t="s">
        <v>31</v>
      </c>
      <c r="L530" s="2" t="s">
        <v>517</v>
      </c>
      <c r="M530" s="2" t="s">
        <v>32</v>
      </c>
      <c r="N530" s="4" t="s">
        <v>673</v>
      </c>
      <c r="O530" s="4" t="s">
        <v>312</v>
      </c>
      <c r="P530" s="4" t="s">
        <v>35</v>
      </c>
      <c r="Q530" s="150">
        <v>32152</v>
      </c>
      <c r="R530" s="150">
        <v>1</v>
      </c>
      <c r="S530" s="150">
        <v>423.6</v>
      </c>
      <c r="U530" s="150">
        <v>136.196</v>
      </c>
      <c r="V530" s="166">
        <v>1.2E-5</v>
      </c>
      <c r="W530" s="166">
        <v>2.3261380897325899E-2</v>
      </c>
      <c r="X530" s="166">
        <v>1.40070756411386E-3</v>
      </c>
    </row>
    <row r="531" spans="1:24">
      <c r="A531" s="4" t="s">
        <v>256</v>
      </c>
      <c r="B531" s="4">
        <v>7207</v>
      </c>
      <c r="C531" s="4" t="s">
        <v>1706</v>
      </c>
      <c r="D531" s="4" t="s">
        <v>1707</v>
      </c>
      <c r="E531" s="4" t="s">
        <v>1552</v>
      </c>
      <c r="F531" s="4" t="s">
        <v>1708</v>
      </c>
      <c r="G531" s="4" t="s">
        <v>1709</v>
      </c>
      <c r="H531" s="4" t="s">
        <v>511</v>
      </c>
      <c r="I531" s="4" t="s">
        <v>1121</v>
      </c>
      <c r="J531" s="4" t="s">
        <v>31</v>
      </c>
      <c r="K531" s="4" t="s">
        <v>31</v>
      </c>
      <c r="L531" s="2" t="s">
        <v>517</v>
      </c>
      <c r="M531" s="2" t="s">
        <v>32</v>
      </c>
      <c r="N531" s="4" t="s">
        <v>652</v>
      </c>
      <c r="O531" s="4" t="s">
        <v>312</v>
      </c>
      <c r="P531" s="4" t="s">
        <v>35</v>
      </c>
      <c r="Q531" s="150">
        <v>240.41</v>
      </c>
      <c r="R531" s="150">
        <v>1</v>
      </c>
      <c r="S531" s="150">
        <v>35740</v>
      </c>
      <c r="U531" s="150">
        <v>85.923000000000002</v>
      </c>
      <c r="V531" s="166">
        <v>1.0000000000000001E-5</v>
      </c>
      <c r="W531" s="166">
        <v>1.46750173972779E-2</v>
      </c>
      <c r="X531" s="166">
        <v>8.8367100657522099E-4</v>
      </c>
    </row>
    <row r="532" spans="1:24">
      <c r="A532" s="4" t="s">
        <v>256</v>
      </c>
      <c r="B532" s="4">
        <v>7207</v>
      </c>
      <c r="C532" s="4" t="s">
        <v>1710</v>
      </c>
      <c r="D532" s="4" t="s">
        <v>1711</v>
      </c>
      <c r="E532" s="4" t="s">
        <v>1552</v>
      </c>
      <c r="F532" s="4" t="s">
        <v>1712</v>
      </c>
      <c r="G532" s="4" t="s">
        <v>1713</v>
      </c>
      <c r="H532" s="4" t="s">
        <v>511</v>
      </c>
      <c r="I532" s="4" t="s">
        <v>1121</v>
      </c>
      <c r="J532" s="4" t="s">
        <v>31</v>
      </c>
      <c r="K532" s="4" t="s">
        <v>31</v>
      </c>
      <c r="L532" s="2" t="s">
        <v>517</v>
      </c>
      <c r="M532" s="2" t="s">
        <v>32</v>
      </c>
      <c r="N532" s="4" t="s">
        <v>644</v>
      </c>
      <c r="O532" s="4" t="s">
        <v>312</v>
      </c>
      <c r="P532" s="4" t="s">
        <v>35</v>
      </c>
      <c r="Q532" s="150">
        <v>57</v>
      </c>
      <c r="R532" s="150">
        <v>1</v>
      </c>
      <c r="S532" s="150">
        <v>835.6</v>
      </c>
      <c r="U532" s="150">
        <v>0.47599999999999998</v>
      </c>
      <c r="V532" s="166">
        <v>1.9999999999999999E-6</v>
      </c>
      <c r="W532" s="166">
        <v>8.1347616984669903E-5</v>
      </c>
      <c r="X532" s="166">
        <v>4.8984289856223896E-6</v>
      </c>
    </row>
    <row r="533" spans="1:24">
      <c r="A533" s="4" t="s">
        <v>256</v>
      </c>
      <c r="B533" s="4">
        <v>7207</v>
      </c>
      <c r="C533" s="4" t="s">
        <v>1714</v>
      </c>
      <c r="D533" s="4" t="s">
        <v>1715</v>
      </c>
      <c r="E533" s="4" t="s">
        <v>1552</v>
      </c>
      <c r="F533" s="4" t="s">
        <v>1716</v>
      </c>
      <c r="G533" s="4" t="s">
        <v>1717</v>
      </c>
      <c r="H533" s="4" t="s">
        <v>511</v>
      </c>
      <c r="I533" s="4" t="s">
        <v>1121</v>
      </c>
      <c r="J533" s="4" t="s">
        <v>31</v>
      </c>
      <c r="K533" s="4" t="s">
        <v>489</v>
      </c>
      <c r="L533" s="2" t="s">
        <v>517</v>
      </c>
      <c r="M533" s="2" t="s">
        <v>32</v>
      </c>
      <c r="N533" s="4" t="s">
        <v>653</v>
      </c>
      <c r="O533" s="4" t="s">
        <v>312</v>
      </c>
      <c r="P533" s="4" t="s">
        <v>35</v>
      </c>
      <c r="Q533" s="150">
        <v>1757.64</v>
      </c>
      <c r="R533" s="150">
        <v>1</v>
      </c>
      <c r="S533" s="150">
        <v>881.8</v>
      </c>
      <c r="U533" s="150">
        <v>15.499000000000001</v>
      </c>
      <c r="V533" s="166">
        <v>1.0000000000000001E-5</v>
      </c>
      <c r="W533" s="166">
        <v>2.6471074496492398E-3</v>
      </c>
      <c r="X533" s="166">
        <v>1.5939825086532501E-4</v>
      </c>
    </row>
    <row r="534" spans="1:24">
      <c r="A534" s="4" t="s">
        <v>256</v>
      </c>
      <c r="B534" s="4">
        <v>7207</v>
      </c>
      <c r="C534" s="4" t="s">
        <v>1718</v>
      </c>
      <c r="D534" s="4" t="s">
        <v>1719</v>
      </c>
      <c r="E534" s="4" t="s">
        <v>1552</v>
      </c>
      <c r="F534" s="4" t="s">
        <v>1720</v>
      </c>
      <c r="G534" s="4" t="s">
        <v>1721</v>
      </c>
      <c r="H534" s="4" t="s">
        <v>511</v>
      </c>
      <c r="I534" s="4" t="s">
        <v>1121</v>
      </c>
      <c r="J534" s="4" t="s">
        <v>31</v>
      </c>
      <c r="K534" s="4" t="s">
        <v>155</v>
      </c>
      <c r="L534" s="2" t="s">
        <v>517</v>
      </c>
      <c r="M534" s="2" t="s">
        <v>32</v>
      </c>
      <c r="N534" s="4" t="s">
        <v>657</v>
      </c>
      <c r="O534" s="4" t="s">
        <v>312</v>
      </c>
      <c r="P534" s="4" t="s">
        <v>35</v>
      </c>
      <c r="Q534" s="150">
        <v>384</v>
      </c>
      <c r="R534" s="150">
        <v>1</v>
      </c>
      <c r="S534" s="150">
        <v>1681</v>
      </c>
      <c r="U534" s="150">
        <v>6.4550000000000001</v>
      </c>
      <c r="V534" s="166">
        <v>6.9999999999999999E-6</v>
      </c>
      <c r="W534" s="166">
        <v>1.1024794066260299E-3</v>
      </c>
      <c r="X534" s="166">
        <v>6.6386911893023505E-5</v>
      </c>
    </row>
    <row r="535" spans="1:24">
      <c r="A535" s="4" t="s">
        <v>256</v>
      </c>
      <c r="B535" s="4">
        <v>7207</v>
      </c>
      <c r="C535" s="4" t="s">
        <v>1722</v>
      </c>
      <c r="D535" s="4" t="s">
        <v>1723</v>
      </c>
      <c r="E535" s="4" t="s">
        <v>1552</v>
      </c>
      <c r="F535" s="4" t="s">
        <v>1724</v>
      </c>
      <c r="G535" s="4" t="s">
        <v>1725</v>
      </c>
      <c r="H535" s="4" t="s">
        <v>511</v>
      </c>
      <c r="I535" s="4" t="s">
        <v>1121</v>
      </c>
      <c r="J535" s="4" t="s">
        <v>31</v>
      </c>
      <c r="K535" s="4" t="s">
        <v>31</v>
      </c>
      <c r="L535" s="2" t="s">
        <v>517</v>
      </c>
      <c r="M535" s="2" t="s">
        <v>32</v>
      </c>
      <c r="N535" s="4" t="s">
        <v>669</v>
      </c>
      <c r="O535" s="4" t="s">
        <v>312</v>
      </c>
      <c r="P535" s="4" t="s">
        <v>35</v>
      </c>
      <c r="Q535" s="150">
        <v>220</v>
      </c>
      <c r="R535" s="150">
        <v>1</v>
      </c>
      <c r="S535" s="150">
        <v>3905</v>
      </c>
      <c r="U535" s="150">
        <v>8.5909999999999993</v>
      </c>
      <c r="V535" s="166">
        <v>1.9000000000000001E-5</v>
      </c>
      <c r="W535" s="166">
        <v>1.46728766705151E-3</v>
      </c>
      <c r="X535" s="166">
        <v>8.8354210054928395E-5</v>
      </c>
    </row>
    <row r="536" spans="1:24">
      <c r="A536" s="4" t="s">
        <v>256</v>
      </c>
      <c r="B536" s="4">
        <v>7207</v>
      </c>
      <c r="C536" s="4" t="s">
        <v>1726</v>
      </c>
      <c r="D536" s="4" t="s">
        <v>1727</v>
      </c>
      <c r="E536" s="4" t="s">
        <v>1552</v>
      </c>
      <c r="F536" s="4" t="s">
        <v>1728</v>
      </c>
      <c r="G536" s="4" t="s">
        <v>1729</v>
      </c>
      <c r="H536" s="4" t="s">
        <v>511</v>
      </c>
      <c r="I536" s="4" t="s">
        <v>1121</v>
      </c>
      <c r="J536" s="4" t="s">
        <v>31</v>
      </c>
      <c r="K536" s="4" t="s">
        <v>31</v>
      </c>
      <c r="L536" s="2" t="s">
        <v>517</v>
      </c>
      <c r="M536" s="2" t="s">
        <v>32</v>
      </c>
      <c r="N536" s="4" t="s">
        <v>650</v>
      </c>
      <c r="O536" s="4" t="s">
        <v>312</v>
      </c>
      <c r="P536" s="4" t="s">
        <v>35</v>
      </c>
      <c r="Q536" s="150">
        <v>27.37</v>
      </c>
      <c r="R536" s="150">
        <v>1</v>
      </c>
      <c r="S536" s="150">
        <v>39460</v>
      </c>
      <c r="U536" s="150">
        <v>10.8</v>
      </c>
      <c r="V536" s="166">
        <v>2.1999999999999999E-5</v>
      </c>
      <c r="W536" s="166">
        <v>1.84460519104471E-3</v>
      </c>
      <c r="X536" s="166">
        <v>1.11074766167345E-4</v>
      </c>
    </row>
    <row r="537" spans="1:24">
      <c r="A537" s="4" t="s">
        <v>256</v>
      </c>
      <c r="B537" s="4">
        <v>7207</v>
      </c>
      <c r="C537" s="4" t="s">
        <v>1730</v>
      </c>
      <c r="D537" s="4" t="s">
        <v>1731</v>
      </c>
      <c r="E537" s="4" t="s">
        <v>1552</v>
      </c>
      <c r="F537" s="4" t="s">
        <v>1732</v>
      </c>
      <c r="G537" s="4" t="s">
        <v>1733</v>
      </c>
      <c r="H537" s="4" t="s">
        <v>511</v>
      </c>
      <c r="I537" s="4" t="s">
        <v>1121</v>
      </c>
      <c r="J537" s="4" t="s">
        <v>31</v>
      </c>
      <c r="K537" s="4" t="s">
        <v>31</v>
      </c>
      <c r="L537" s="2" t="s">
        <v>517</v>
      </c>
      <c r="M537" s="2" t="s">
        <v>32</v>
      </c>
      <c r="N537" s="4" t="s">
        <v>644</v>
      </c>
      <c r="O537" s="4" t="s">
        <v>312</v>
      </c>
      <c r="P537" s="4" t="s">
        <v>35</v>
      </c>
      <c r="Q537" s="150">
        <v>3552</v>
      </c>
      <c r="R537" s="150">
        <v>1</v>
      </c>
      <c r="S537" s="150">
        <v>947.8</v>
      </c>
      <c r="U537" s="150">
        <v>33.665999999999997</v>
      </c>
      <c r="V537" s="166">
        <v>2.34E-4</v>
      </c>
      <c r="W537" s="166">
        <v>5.7499121533619102E-3</v>
      </c>
      <c r="X537" s="166">
        <v>3.46236772518097E-4</v>
      </c>
    </row>
    <row r="538" spans="1:24">
      <c r="A538" s="4" t="s">
        <v>256</v>
      </c>
      <c r="B538" s="4">
        <v>7207</v>
      </c>
      <c r="C538" s="4" t="s">
        <v>1734</v>
      </c>
      <c r="D538" s="4" t="s">
        <v>1735</v>
      </c>
      <c r="E538" s="4" t="s">
        <v>1552</v>
      </c>
      <c r="F538" s="4" t="s">
        <v>1736</v>
      </c>
      <c r="G538" s="4" t="s">
        <v>1737</v>
      </c>
      <c r="H538" s="4" t="s">
        <v>511</v>
      </c>
      <c r="I538" s="4" t="s">
        <v>1121</v>
      </c>
      <c r="J538" s="4" t="s">
        <v>31</v>
      </c>
      <c r="K538" s="4" t="s">
        <v>31</v>
      </c>
      <c r="L538" s="2" t="s">
        <v>517</v>
      </c>
      <c r="M538" s="2" t="s">
        <v>32</v>
      </c>
      <c r="N538" s="4" t="s">
        <v>659</v>
      </c>
      <c r="O538" s="4" t="s">
        <v>312</v>
      </c>
      <c r="P538" s="4" t="s">
        <v>35</v>
      </c>
      <c r="Q538" s="150">
        <v>2268</v>
      </c>
      <c r="R538" s="150">
        <v>1</v>
      </c>
      <c r="S538" s="150">
        <v>72.900000000000006</v>
      </c>
      <c r="U538" s="150">
        <v>1.653</v>
      </c>
      <c r="V538" s="166">
        <v>2.0999999999999999E-5</v>
      </c>
      <c r="W538" s="166">
        <v>2.8238532704554702E-4</v>
      </c>
      <c r="X538" s="166">
        <v>1.70041179125756E-5</v>
      </c>
    </row>
    <row r="539" spans="1:24">
      <c r="A539" s="4" t="s">
        <v>256</v>
      </c>
      <c r="B539" s="4">
        <v>7207</v>
      </c>
      <c r="C539" s="4" t="s">
        <v>1738</v>
      </c>
      <c r="D539" s="4" t="s">
        <v>1739</v>
      </c>
      <c r="E539" s="4" t="s">
        <v>1552</v>
      </c>
      <c r="F539" s="4" t="s">
        <v>1740</v>
      </c>
      <c r="G539" s="4" t="s">
        <v>1741</v>
      </c>
      <c r="H539" s="4" t="s">
        <v>511</v>
      </c>
      <c r="I539" s="4" t="s">
        <v>1121</v>
      </c>
      <c r="J539" s="4" t="s">
        <v>31</v>
      </c>
      <c r="K539" s="4" t="s">
        <v>31</v>
      </c>
      <c r="L539" s="2" t="s">
        <v>517</v>
      </c>
      <c r="M539" s="2" t="s">
        <v>32</v>
      </c>
      <c r="N539" s="4" t="s">
        <v>629</v>
      </c>
      <c r="O539" s="4" t="s">
        <v>312</v>
      </c>
      <c r="P539" s="4" t="s">
        <v>35</v>
      </c>
      <c r="Q539" s="150">
        <v>785</v>
      </c>
      <c r="R539" s="150">
        <v>1</v>
      </c>
      <c r="S539" s="150">
        <v>995.7</v>
      </c>
      <c r="U539" s="150">
        <v>7.8159999999999998</v>
      </c>
      <c r="V539" s="166">
        <v>3.9999999999999998E-6</v>
      </c>
      <c r="W539" s="166">
        <v>1.3349644850603E-3</v>
      </c>
      <c r="X539" s="166">
        <v>8.0386235894632006E-5</v>
      </c>
    </row>
    <row r="540" spans="1:24">
      <c r="A540" s="4" t="s">
        <v>256</v>
      </c>
      <c r="B540" s="4">
        <v>7207</v>
      </c>
      <c r="C540" s="4" t="s">
        <v>1742</v>
      </c>
      <c r="D540" s="4" t="s">
        <v>1743</v>
      </c>
      <c r="E540" s="4" t="s">
        <v>1552</v>
      </c>
      <c r="F540" s="4" t="s">
        <v>1744</v>
      </c>
      <c r="G540" s="4" t="s">
        <v>1745</v>
      </c>
      <c r="H540" s="4" t="s">
        <v>511</v>
      </c>
      <c r="I540" s="4" t="s">
        <v>1121</v>
      </c>
      <c r="J540" s="4" t="s">
        <v>31</v>
      </c>
      <c r="K540" s="4" t="s">
        <v>31</v>
      </c>
      <c r="L540" s="2" t="s">
        <v>517</v>
      </c>
      <c r="M540" s="2" t="s">
        <v>32</v>
      </c>
      <c r="N540" s="4" t="s">
        <v>636</v>
      </c>
      <c r="O540" s="4" t="s">
        <v>312</v>
      </c>
      <c r="P540" s="4" t="s">
        <v>35</v>
      </c>
      <c r="Q540" s="150">
        <v>9460</v>
      </c>
      <c r="R540" s="150">
        <v>1</v>
      </c>
      <c r="S540" s="150">
        <v>1909</v>
      </c>
      <c r="U540" s="150">
        <v>180.59100000000001</v>
      </c>
      <c r="V540" s="166">
        <v>7.9999999999999996E-6</v>
      </c>
      <c r="W540" s="166">
        <v>3.0843852170360401E-2</v>
      </c>
      <c r="X540" s="166">
        <v>1.8572937364350599E-3</v>
      </c>
    </row>
    <row r="541" spans="1:24">
      <c r="A541" s="4" t="s">
        <v>256</v>
      </c>
      <c r="B541" s="4">
        <v>7207</v>
      </c>
      <c r="C541" s="4" t="s">
        <v>1746</v>
      </c>
      <c r="D541" s="4" t="s">
        <v>1747</v>
      </c>
      <c r="E541" s="4" t="s">
        <v>1552</v>
      </c>
      <c r="F541" s="4" t="s">
        <v>1748</v>
      </c>
      <c r="G541" s="4" t="s">
        <v>1749</v>
      </c>
      <c r="H541" s="4" t="s">
        <v>511</v>
      </c>
      <c r="I541" s="4" t="s">
        <v>1121</v>
      </c>
      <c r="J541" s="4" t="s">
        <v>31</v>
      </c>
      <c r="K541" s="4" t="s">
        <v>31</v>
      </c>
      <c r="L541" s="2" t="s">
        <v>517</v>
      </c>
      <c r="M541" s="2" t="s">
        <v>32</v>
      </c>
      <c r="N541" s="4" t="s">
        <v>650</v>
      </c>
      <c r="O541" s="4" t="s">
        <v>312</v>
      </c>
      <c r="P541" s="4" t="s">
        <v>35</v>
      </c>
      <c r="Q541" s="150">
        <v>808</v>
      </c>
      <c r="R541" s="150">
        <v>1</v>
      </c>
      <c r="S541" s="150">
        <v>3081</v>
      </c>
      <c r="U541" s="150">
        <v>24.893999999999998</v>
      </c>
      <c r="V541" s="166">
        <v>3.0000000000000001E-5</v>
      </c>
      <c r="W541" s="166">
        <v>4.2518174230777002E-3</v>
      </c>
      <c r="X541" s="166">
        <v>2.56027484009802E-4</v>
      </c>
    </row>
    <row r="542" spans="1:24">
      <c r="A542" s="4" t="s">
        <v>256</v>
      </c>
      <c r="B542" s="4">
        <v>7207</v>
      </c>
      <c r="C542" s="4" t="s">
        <v>1750</v>
      </c>
      <c r="D542" s="4" t="s">
        <v>1751</v>
      </c>
      <c r="E542" s="4" t="s">
        <v>1552</v>
      </c>
      <c r="F542" s="4" t="s">
        <v>1752</v>
      </c>
      <c r="G542" s="4" t="s">
        <v>1753</v>
      </c>
      <c r="H542" s="4" t="s">
        <v>511</v>
      </c>
      <c r="I542" s="4" t="s">
        <v>1121</v>
      </c>
      <c r="J542" s="4" t="s">
        <v>31</v>
      </c>
      <c r="K542" s="4" t="s">
        <v>31</v>
      </c>
      <c r="L542" s="2" t="s">
        <v>517</v>
      </c>
      <c r="M542" s="2" t="s">
        <v>32</v>
      </c>
      <c r="N542" s="4" t="s">
        <v>650</v>
      </c>
      <c r="O542" s="4" t="s">
        <v>312</v>
      </c>
      <c r="P542" s="4" t="s">
        <v>35</v>
      </c>
      <c r="Q542" s="150">
        <v>724</v>
      </c>
      <c r="R542" s="150">
        <v>1</v>
      </c>
      <c r="S542" s="150">
        <v>1897</v>
      </c>
      <c r="U542" s="150">
        <v>13.734</v>
      </c>
      <c r="V542" s="166">
        <v>6.9999999999999999E-6</v>
      </c>
      <c r="W542" s="166">
        <v>2.3457268839287902E-3</v>
      </c>
      <c r="X542" s="166">
        <v>1.4125031545491801E-4</v>
      </c>
    </row>
    <row r="543" spans="1:24">
      <c r="A543" s="4" t="s">
        <v>256</v>
      </c>
      <c r="B543" s="4">
        <v>7207</v>
      </c>
      <c r="C543" s="4" t="s">
        <v>1754</v>
      </c>
      <c r="D543" s="4" t="s">
        <v>1755</v>
      </c>
      <c r="E543" s="4" t="s">
        <v>1552</v>
      </c>
      <c r="F543" s="4" t="s">
        <v>1756</v>
      </c>
      <c r="G543" s="4" t="s">
        <v>1757</v>
      </c>
      <c r="H543" s="4" t="s">
        <v>511</v>
      </c>
      <c r="I543" s="4" t="s">
        <v>1121</v>
      </c>
      <c r="J543" s="4" t="s">
        <v>31</v>
      </c>
      <c r="K543" s="4" t="s">
        <v>31</v>
      </c>
      <c r="L543" s="2" t="s">
        <v>517</v>
      </c>
      <c r="M543" s="2" t="s">
        <v>32</v>
      </c>
      <c r="N543" s="4" t="s">
        <v>635</v>
      </c>
      <c r="O543" s="4" t="s">
        <v>312</v>
      </c>
      <c r="P543" s="4" t="s">
        <v>35</v>
      </c>
      <c r="Q543" s="150">
        <v>182</v>
      </c>
      <c r="R543" s="150">
        <v>1</v>
      </c>
      <c r="S543" s="150">
        <v>27830</v>
      </c>
      <c r="U543" s="150">
        <v>50.651000000000003</v>
      </c>
      <c r="V543" s="166">
        <v>1.0000000000000001E-5</v>
      </c>
      <c r="W543" s="166">
        <v>8.6507974285600399E-3</v>
      </c>
      <c r="X543" s="166">
        <v>5.2091651167595796E-4</v>
      </c>
    </row>
    <row r="544" spans="1:24">
      <c r="A544" s="4" t="s">
        <v>256</v>
      </c>
      <c r="B544" s="4">
        <v>7207</v>
      </c>
      <c r="C544" s="4" t="s">
        <v>1758</v>
      </c>
      <c r="D544" s="4" t="s">
        <v>1759</v>
      </c>
      <c r="E544" s="4" t="s">
        <v>1552</v>
      </c>
      <c r="F544" s="4" t="s">
        <v>1760</v>
      </c>
      <c r="G544" s="4" t="s">
        <v>1761</v>
      </c>
      <c r="H544" s="4" t="s">
        <v>511</v>
      </c>
      <c r="I544" s="4" t="s">
        <v>1121</v>
      </c>
      <c r="J544" s="4" t="s">
        <v>31</v>
      </c>
      <c r="K544" s="4" t="s">
        <v>31</v>
      </c>
      <c r="L544" s="2" t="s">
        <v>517</v>
      </c>
      <c r="M544" s="2" t="s">
        <v>32</v>
      </c>
      <c r="N544" s="4" t="s">
        <v>666</v>
      </c>
      <c r="O544" s="4" t="s">
        <v>312</v>
      </c>
      <c r="P544" s="4" t="s">
        <v>35</v>
      </c>
      <c r="Q544" s="150">
        <v>43</v>
      </c>
      <c r="R544" s="150">
        <v>1</v>
      </c>
      <c r="S544" s="150">
        <v>30090</v>
      </c>
      <c r="U544" s="150">
        <v>12.939</v>
      </c>
      <c r="V544" s="166">
        <v>6.9999999999999999E-6</v>
      </c>
      <c r="W544" s="166">
        <v>2.20984692558252E-3</v>
      </c>
      <c r="X544" s="166">
        <v>1.3306816641109299E-4</v>
      </c>
    </row>
    <row r="545" spans="1:24">
      <c r="A545" s="4" t="s">
        <v>256</v>
      </c>
      <c r="B545" s="4">
        <v>7207</v>
      </c>
      <c r="C545" s="4" t="s">
        <v>2027</v>
      </c>
      <c r="D545" s="4" t="s">
        <v>2028</v>
      </c>
      <c r="E545" s="4" t="s">
        <v>1552</v>
      </c>
      <c r="F545" s="4" t="s">
        <v>2029</v>
      </c>
      <c r="G545" s="4" t="s">
        <v>2030</v>
      </c>
      <c r="H545" s="4" t="s">
        <v>511</v>
      </c>
      <c r="I545" s="4" t="s">
        <v>1121</v>
      </c>
      <c r="J545" s="4" t="s">
        <v>31</v>
      </c>
      <c r="K545" s="4" t="s">
        <v>31</v>
      </c>
      <c r="L545" s="2" t="s">
        <v>517</v>
      </c>
      <c r="M545" s="2" t="s">
        <v>32</v>
      </c>
      <c r="N545" s="4" t="s">
        <v>662</v>
      </c>
      <c r="O545" s="4" t="s">
        <v>312</v>
      </c>
      <c r="P545" s="4" t="s">
        <v>35</v>
      </c>
      <c r="Q545" s="150">
        <v>400</v>
      </c>
      <c r="R545" s="150">
        <v>1</v>
      </c>
      <c r="S545" s="150">
        <v>120.4</v>
      </c>
      <c r="U545" s="150">
        <v>0.48199999999999998</v>
      </c>
      <c r="V545" s="166">
        <v>2.1999999999999999E-5</v>
      </c>
      <c r="W545" s="166">
        <v>8.2254189320452601E-5</v>
      </c>
      <c r="X545" s="166">
        <v>4.9530191552151701E-6</v>
      </c>
    </row>
    <row r="546" spans="1:24">
      <c r="A546" s="4" t="s">
        <v>256</v>
      </c>
      <c r="B546" s="4">
        <v>7207</v>
      </c>
      <c r="C546" s="4" t="s">
        <v>1762</v>
      </c>
      <c r="D546" s="4" t="s">
        <v>1763</v>
      </c>
      <c r="E546" s="4" t="s">
        <v>1552</v>
      </c>
      <c r="F546" s="4" t="s">
        <v>1764</v>
      </c>
      <c r="G546" s="4" t="s">
        <v>1765</v>
      </c>
      <c r="H546" s="4" t="s">
        <v>511</v>
      </c>
      <c r="I546" s="4" t="s">
        <v>1121</v>
      </c>
      <c r="J546" s="4" t="s">
        <v>31</v>
      </c>
      <c r="K546" s="4" t="s">
        <v>31</v>
      </c>
      <c r="L546" s="2" t="s">
        <v>517</v>
      </c>
      <c r="M546" s="2" t="s">
        <v>32</v>
      </c>
      <c r="N546" s="4" t="s">
        <v>633</v>
      </c>
      <c r="O546" s="4" t="s">
        <v>312</v>
      </c>
      <c r="P546" s="4" t="s">
        <v>35</v>
      </c>
      <c r="Q546" s="150">
        <v>1965</v>
      </c>
      <c r="R546" s="150">
        <v>1</v>
      </c>
      <c r="S546" s="150">
        <v>3419</v>
      </c>
      <c r="U546" s="150">
        <v>67.183000000000007</v>
      </c>
      <c r="V546" s="166">
        <v>7.9999999999999996E-6</v>
      </c>
      <c r="W546" s="166">
        <v>1.14744850292405E-2</v>
      </c>
      <c r="X546" s="166">
        <v>6.9094771482874798E-4</v>
      </c>
    </row>
    <row r="547" spans="1:24">
      <c r="A547" s="4" t="s">
        <v>256</v>
      </c>
      <c r="B547" s="4">
        <v>7207</v>
      </c>
      <c r="C547" s="4" t="s">
        <v>1766</v>
      </c>
      <c r="D547" s="4" t="s">
        <v>1767</v>
      </c>
      <c r="E547" s="4" t="s">
        <v>1552</v>
      </c>
      <c r="F547" s="4" t="s">
        <v>1768</v>
      </c>
      <c r="G547" s="4" t="s">
        <v>1769</v>
      </c>
      <c r="H547" s="4" t="s">
        <v>511</v>
      </c>
      <c r="I547" s="4" t="s">
        <v>1121</v>
      </c>
      <c r="J547" s="4" t="s">
        <v>31</v>
      </c>
      <c r="K547" s="4" t="s">
        <v>31</v>
      </c>
      <c r="L547" s="2" t="s">
        <v>517</v>
      </c>
      <c r="M547" s="2" t="s">
        <v>32</v>
      </c>
      <c r="N547" s="4" t="s">
        <v>633</v>
      </c>
      <c r="O547" s="4" t="s">
        <v>312</v>
      </c>
      <c r="P547" s="4" t="s">
        <v>35</v>
      </c>
      <c r="Q547" s="150">
        <v>2732</v>
      </c>
      <c r="R547" s="150">
        <v>1</v>
      </c>
      <c r="S547" s="150">
        <v>2997</v>
      </c>
      <c r="U547" s="150">
        <v>81.878</v>
      </c>
      <c r="V547" s="166">
        <v>1.2999999999999999E-5</v>
      </c>
      <c r="W547" s="166">
        <v>1.3984243777715099E-2</v>
      </c>
      <c r="X547" s="166">
        <v>8.4207537481618305E-4</v>
      </c>
    </row>
    <row r="548" spans="1:24">
      <c r="A548" s="4" t="s">
        <v>256</v>
      </c>
      <c r="B548" s="4">
        <v>7207</v>
      </c>
      <c r="C548" s="4" t="s">
        <v>1770</v>
      </c>
      <c r="D548" s="4" t="s">
        <v>1771</v>
      </c>
      <c r="E548" s="4" t="s">
        <v>1552</v>
      </c>
      <c r="F548" s="4" t="s">
        <v>1772</v>
      </c>
      <c r="G548" s="4" t="s">
        <v>1773</v>
      </c>
      <c r="H548" s="4" t="s">
        <v>511</v>
      </c>
      <c r="I548" s="4" t="s">
        <v>1121</v>
      </c>
      <c r="J548" s="4" t="s">
        <v>31</v>
      </c>
      <c r="K548" s="4" t="s">
        <v>31</v>
      </c>
      <c r="L548" s="2" t="s">
        <v>517</v>
      </c>
      <c r="M548" s="2" t="s">
        <v>32</v>
      </c>
      <c r="N548" s="4" t="s">
        <v>665</v>
      </c>
      <c r="O548" s="4" t="s">
        <v>312</v>
      </c>
      <c r="P548" s="4" t="s">
        <v>35</v>
      </c>
      <c r="Q548" s="150">
        <v>869</v>
      </c>
      <c r="R548" s="150">
        <v>1</v>
      </c>
      <c r="S548" s="150">
        <v>4545</v>
      </c>
      <c r="U548" s="150">
        <v>39.496000000000002</v>
      </c>
      <c r="V548" s="166">
        <v>1.2E-5</v>
      </c>
      <c r="W548" s="166">
        <v>6.74567187315212E-3</v>
      </c>
      <c r="X548" s="166">
        <v>4.0619745059247502E-4</v>
      </c>
    </row>
    <row r="549" spans="1:24">
      <c r="A549" s="4" t="s">
        <v>256</v>
      </c>
      <c r="B549" s="4">
        <v>7207</v>
      </c>
      <c r="C549" s="4" t="s">
        <v>1774</v>
      </c>
      <c r="D549" s="4" t="s">
        <v>1775</v>
      </c>
      <c r="E549" s="4" t="s">
        <v>1552</v>
      </c>
      <c r="F549" s="4" t="s">
        <v>1776</v>
      </c>
      <c r="G549" s="4" t="s">
        <v>1777</v>
      </c>
      <c r="H549" s="4" t="s">
        <v>511</v>
      </c>
      <c r="I549" s="4" t="s">
        <v>1121</v>
      </c>
      <c r="J549" s="4" t="s">
        <v>31</v>
      </c>
      <c r="K549" s="4" t="s">
        <v>31</v>
      </c>
      <c r="L549" s="2" t="s">
        <v>517</v>
      </c>
      <c r="M549" s="2" t="s">
        <v>32</v>
      </c>
      <c r="N549" s="4" t="s">
        <v>664</v>
      </c>
      <c r="O549" s="4" t="s">
        <v>312</v>
      </c>
      <c r="P549" s="4" t="s">
        <v>35</v>
      </c>
      <c r="Q549" s="150">
        <v>215</v>
      </c>
      <c r="R549" s="150">
        <v>1</v>
      </c>
      <c r="S549" s="150">
        <v>3744</v>
      </c>
      <c r="U549" s="150">
        <v>8.0500000000000007</v>
      </c>
      <c r="V549" s="166">
        <v>1.5E-5</v>
      </c>
      <c r="W549" s="166">
        <v>1.37482002149899E-3</v>
      </c>
      <c r="X549" s="166">
        <v>8.2786177308596397E-5</v>
      </c>
    </row>
    <row r="550" spans="1:24">
      <c r="A550" s="4" t="s">
        <v>256</v>
      </c>
      <c r="B550" s="4">
        <v>7207</v>
      </c>
      <c r="C550" s="4" t="s">
        <v>1778</v>
      </c>
      <c r="D550" s="4" t="s">
        <v>1779</v>
      </c>
      <c r="E550" s="4" t="s">
        <v>1552</v>
      </c>
      <c r="F550" s="4" t="s">
        <v>1780</v>
      </c>
      <c r="G550" s="4" t="s">
        <v>1781</v>
      </c>
      <c r="H550" s="4" t="s">
        <v>511</v>
      </c>
      <c r="I550" s="4" t="s">
        <v>1121</v>
      </c>
      <c r="J550" s="4" t="s">
        <v>31</v>
      </c>
      <c r="K550" s="4" t="s">
        <v>31</v>
      </c>
      <c r="L550" s="2" t="s">
        <v>517</v>
      </c>
      <c r="M550" s="2" t="s">
        <v>32</v>
      </c>
      <c r="N550" s="4" t="s">
        <v>639</v>
      </c>
      <c r="O550" s="4" t="s">
        <v>312</v>
      </c>
      <c r="P550" s="4" t="s">
        <v>35</v>
      </c>
      <c r="Q550" s="150">
        <v>220</v>
      </c>
      <c r="R550" s="150">
        <v>1</v>
      </c>
      <c r="S550" s="150">
        <v>83740</v>
      </c>
      <c r="U550" s="150">
        <v>184.22800000000001</v>
      </c>
      <c r="V550" s="166">
        <v>2.9E-5</v>
      </c>
      <c r="W550" s="166">
        <v>3.1464960112392797E-2</v>
      </c>
      <c r="X550" s="166">
        <v>1.8946943790011999E-3</v>
      </c>
    </row>
    <row r="551" spans="1:24">
      <c r="A551" s="4" t="s">
        <v>256</v>
      </c>
      <c r="B551" s="4">
        <v>7207</v>
      </c>
      <c r="C551" s="4" t="s">
        <v>1782</v>
      </c>
      <c r="D551" s="4" t="s">
        <v>1783</v>
      </c>
      <c r="E551" s="4" t="s">
        <v>1552</v>
      </c>
      <c r="F551" s="4" t="s">
        <v>1784</v>
      </c>
      <c r="G551" s="4" t="s">
        <v>1785</v>
      </c>
      <c r="H551" s="4" t="s">
        <v>511</v>
      </c>
      <c r="I551" s="4" t="s">
        <v>1121</v>
      </c>
      <c r="J551" s="4" t="s">
        <v>31</v>
      </c>
      <c r="K551" s="4" t="s">
        <v>489</v>
      </c>
      <c r="L551" s="2" t="s">
        <v>517</v>
      </c>
      <c r="M551" s="2" t="s">
        <v>32</v>
      </c>
      <c r="N551" s="4" t="s">
        <v>646</v>
      </c>
      <c r="O551" s="4" t="s">
        <v>312</v>
      </c>
      <c r="P551" s="4" t="s">
        <v>35</v>
      </c>
      <c r="Q551" s="150">
        <v>594</v>
      </c>
      <c r="R551" s="150">
        <v>1</v>
      </c>
      <c r="S551" s="150">
        <v>14820</v>
      </c>
      <c r="U551" s="150">
        <v>88.031000000000006</v>
      </c>
      <c r="V551" s="166">
        <v>5.0000000000000004E-6</v>
      </c>
      <c r="W551" s="166">
        <v>1.5035095700230299E-2</v>
      </c>
      <c r="X551" s="166">
        <v>9.0535348556668399E-4</v>
      </c>
    </row>
    <row r="552" spans="1:24">
      <c r="A552" s="4" t="s">
        <v>256</v>
      </c>
      <c r="B552" s="4">
        <v>7207</v>
      </c>
      <c r="C552" s="4" t="s">
        <v>1786</v>
      </c>
      <c r="D552" s="4" t="s">
        <v>1787</v>
      </c>
      <c r="E552" s="4" t="s">
        <v>1552</v>
      </c>
      <c r="F552" s="4" t="s">
        <v>1788</v>
      </c>
      <c r="G552" s="4" t="s">
        <v>1789</v>
      </c>
      <c r="H552" s="4" t="s">
        <v>511</v>
      </c>
      <c r="I552" s="4" t="s">
        <v>1121</v>
      </c>
      <c r="J552" s="4" t="s">
        <v>31</v>
      </c>
      <c r="K552" s="4" t="s">
        <v>155</v>
      </c>
      <c r="L552" s="2" t="s">
        <v>517</v>
      </c>
      <c r="M552" s="2" t="s">
        <v>32</v>
      </c>
      <c r="N552" s="4" t="s">
        <v>655</v>
      </c>
      <c r="O552" s="4" t="s">
        <v>312</v>
      </c>
      <c r="P552" s="4" t="s">
        <v>35</v>
      </c>
      <c r="Q552" s="150">
        <v>1909</v>
      </c>
      <c r="R552" s="150">
        <v>1</v>
      </c>
      <c r="S552" s="150">
        <v>6120</v>
      </c>
      <c r="U552" s="150">
        <v>116.831</v>
      </c>
      <c r="V552" s="166">
        <v>1.9999999999999999E-6</v>
      </c>
      <c r="W552" s="166">
        <v>1.9953950875539701E-2</v>
      </c>
      <c r="X552" s="166">
        <v>1.20154732209118E-3</v>
      </c>
    </row>
    <row r="553" spans="1:24">
      <c r="A553" s="4" t="s">
        <v>256</v>
      </c>
      <c r="B553" s="4">
        <v>7207</v>
      </c>
      <c r="C553" s="4" t="s">
        <v>1790</v>
      </c>
      <c r="D553" s="4" t="s">
        <v>1791</v>
      </c>
      <c r="E553" s="4" t="s">
        <v>1552</v>
      </c>
      <c r="F553" s="4" t="s">
        <v>1792</v>
      </c>
      <c r="G553" s="4" t="s">
        <v>1793</v>
      </c>
      <c r="H553" s="4" t="s">
        <v>511</v>
      </c>
      <c r="I553" s="4" t="s">
        <v>1121</v>
      </c>
      <c r="J553" s="4" t="s">
        <v>31</v>
      </c>
      <c r="K553" s="4" t="s">
        <v>31</v>
      </c>
      <c r="L553" s="2" t="s">
        <v>517</v>
      </c>
      <c r="M553" s="2" t="s">
        <v>32</v>
      </c>
      <c r="N553" s="4" t="s">
        <v>667</v>
      </c>
      <c r="O553" s="4" t="s">
        <v>312</v>
      </c>
      <c r="P553" s="4" t="s">
        <v>35</v>
      </c>
      <c r="Q553" s="150">
        <v>6188</v>
      </c>
      <c r="R553" s="150">
        <v>1</v>
      </c>
      <c r="S553" s="150">
        <v>1257</v>
      </c>
      <c r="U553" s="150">
        <v>77.783000000000001</v>
      </c>
      <c r="V553" s="166">
        <v>3.1000000000000001E-5</v>
      </c>
      <c r="W553" s="166">
        <v>1.3284864552705699E-2</v>
      </c>
      <c r="X553" s="166">
        <v>7.9996154782634198E-4</v>
      </c>
    </row>
    <row r="554" spans="1:24">
      <c r="A554" s="4" t="s">
        <v>256</v>
      </c>
      <c r="B554" s="4">
        <v>7207</v>
      </c>
      <c r="C554" s="4" t="s">
        <v>1794</v>
      </c>
      <c r="D554" s="4" t="s">
        <v>1795</v>
      </c>
      <c r="E554" s="4" t="s">
        <v>1552</v>
      </c>
      <c r="F554" s="4" t="s">
        <v>1796</v>
      </c>
      <c r="G554" s="4" t="s">
        <v>1797</v>
      </c>
      <c r="H554" s="4" t="s">
        <v>511</v>
      </c>
      <c r="I554" s="4" t="s">
        <v>1121</v>
      </c>
      <c r="J554" s="4" t="s">
        <v>31</v>
      </c>
      <c r="K554" s="4" t="s">
        <v>31</v>
      </c>
      <c r="L554" s="2" t="s">
        <v>517</v>
      </c>
      <c r="M554" s="2" t="s">
        <v>32</v>
      </c>
      <c r="N554" s="4" t="s">
        <v>642</v>
      </c>
      <c r="O554" s="4" t="s">
        <v>312</v>
      </c>
      <c r="P554" s="4" t="s">
        <v>35</v>
      </c>
      <c r="Q554" s="150">
        <v>18250.5</v>
      </c>
      <c r="R554" s="150">
        <v>1</v>
      </c>
      <c r="S554" s="150">
        <v>147.19999999999999</v>
      </c>
      <c r="U554" s="150">
        <v>26.864999999999998</v>
      </c>
      <c r="V554" s="166">
        <v>6.9999999999999999E-6</v>
      </c>
      <c r="W554" s="166">
        <v>4.5883245037125799E-3</v>
      </c>
      <c r="X554" s="166">
        <v>2.7629059802283698E-4</v>
      </c>
    </row>
    <row r="555" spans="1:24">
      <c r="A555" s="4" t="s">
        <v>256</v>
      </c>
      <c r="B555" s="4">
        <v>7207</v>
      </c>
      <c r="C555" s="4" t="s">
        <v>2035</v>
      </c>
      <c r="D555" s="4" t="s">
        <v>2036</v>
      </c>
      <c r="E555" s="4" t="s">
        <v>1552</v>
      </c>
      <c r="F555" s="4" t="s">
        <v>2037</v>
      </c>
      <c r="G555" s="4" t="s">
        <v>2038</v>
      </c>
      <c r="H555" s="4" t="s">
        <v>511</v>
      </c>
      <c r="I555" s="4" t="s">
        <v>1121</v>
      </c>
      <c r="J555" s="4" t="s">
        <v>31</v>
      </c>
      <c r="K555" s="4" t="s">
        <v>31</v>
      </c>
      <c r="L555" s="2" t="s">
        <v>517</v>
      </c>
      <c r="M555" s="2" t="s">
        <v>32</v>
      </c>
      <c r="N555" s="4" t="s">
        <v>649</v>
      </c>
      <c r="O555" s="4" t="s">
        <v>312</v>
      </c>
      <c r="P555" s="4" t="s">
        <v>35</v>
      </c>
      <c r="Q555" s="150">
        <v>15</v>
      </c>
      <c r="R555" s="150">
        <v>1</v>
      </c>
      <c r="S555" s="150">
        <v>8151</v>
      </c>
      <c r="U555" s="150">
        <v>1.2230000000000001</v>
      </c>
      <c r="V555" s="166">
        <v>0</v>
      </c>
      <c r="W555" s="166">
        <v>2.08820773614309E-4</v>
      </c>
      <c r="X555" s="166">
        <v>1.2574353966204001E-5</v>
      </c>
    </row>
    <row r="556" spans="1:24">
      <c r="A556" s="4" t="s">
        <v>256</v>
      </c>
      <c r="B556" s="4">
        <v>7207</v>
      </c>
      <c r="C556" s="4" t="s">
        <v>2039</v>
      </c>
      <c r="D556" s="4" t="s">
        <v>2040</v>
      </c>
      <c r="E556" s="4" t="s">
        <v>1552</v>
      </c>
      <c r="F556" s="4" t="s">
        <v>2041</v>
      </c>
      <c r="G556" s="4" t="s">
        <v>2042</v>
      </c>
      <c r="H556" s="4" t="s">
        <v>511</v>
      </c>
      <c r="I556" s="4" t="s">
        <v>1121</v>
      </c>
      <c r="J556" s="4" t="s">
        <v>31</v>
      </c>
      <c r="K556" s="4" t="s">
        <v>31</v>
      </c>
      <c r="L556" s="2" t="s">
        <v>517</v>
      </c>
      <c r="M556" s="2" t="s">
        <v>32</v>
      </c>
      <c r="N556" s="4" t="s">
        <v>652</v>
      </c>
      <c r="O556" s="4" t="s">
        <v>312</v>
      </c>
      <c r="P556" s="4" t="s">
        <v>35</v>
      </c>
      <c r="Q556" s="150">
        <v>35</v>
      </c>
      <c r="R556" s="150">
        <v>1</v>
      </c>
      <c r="S556" s="150">
        <v>28570</v>
      </c>
      <c r="U556" s="150">
        <v>9.9990000000000006</v>
      </c>
      <c r="V556" s="166">
        <v>0</v>
      </c>
      <c r="W556" s="166">
        <v>1.70785042796899E-3</v>
      </c>
      <c r="X556" s="166">
        <v>1.02839939872454E-4</v>
      </c>
    </row>
    <row r="557" spans="1:24">
      <c r="A557" s="4" t="s">
        <v>256</v>
      </c>
      <c r="B557" s="4">
        <v>7207</v>
      </c>
      <c r="C557" s="4" t="s">
        <v>1798</v>
      </c>
      <c r="D557" s="4" t="s">
        <v>1799</v>
      </c>
      <c r="E557" s="4" t="s">
        <v>1552</v>
      </c>
      <c r="F557" s="4" t="s">
        <v>1800</v>
      </c>
      <c r="G557" s="4" t="s">
        <v>1801</v>
      </c>
      <c r="H557" s="4" t="s">
        <v>511</v>
      </c>
      <c r="I557" s="4" t="s">
        <v>1121</v>
      </c>
      <c r="J557" s="4" t="s">
        <v>31</v>
      </c>
      <c r="K557" s="4" t="s">
        <v>31</v>
      </c>
      <c r="L557" s="2" t="s">
        <v>517</v>
      </c>
      <c r="M557" s="2" t="s">
        <v>32</v>
      </c>
      <c r="N557" s="4" t="s">
        <v>633</v>
      </c>
      <c r="O557" s="4" t="s">
        <v>312</v>
      </c>
      <c r="P557" s="4" t="s">
        <v>35</v>
      </c>
      <c r="Q557" s="150">
        <v>1211</v>
      </c>
      <c r="R557" s="150">
        <v>1</v>
      </c>
      <c r="S557" s="150">
        <v>5291</v>
      </c>
      <c r="U557" s="150">
        <v>64.073999999999998</v>
      </c>
      <c r="V557" s="166">
        <v>1.5E-5</v>
      </c>
      <c r="W557" s="166">
        <v>1.09434297115045E-2</v>
      </c>
      <c r="X557" s="166">
        <v>6.5896968206280795E-4</v>
      </c>
    </row>
    <row r="558" spans="1:24">
      <c r="A558" s="4" t="s">
        <v>256</v>
      </c>
      <c r="B558" s="4">
        <v>7207</v>
      </c>
      <c r="C558" s="4" t="s">
        <v>2043</v>
      </c>
      <c r="D558" s="4" t="s">
        <v>2044</v>
      </c>
      <c r="E558" s="4" t="s">
        <v>1552</v>
      </c>
      <c r="F558" s="4" t="s">
        <v>2045</v>
      </c>
      <c r="G558" s="4" t="s">
        <v>2046</v>
      </c>
      <c r="H558" s="4" t="s">
        <v>511</v>
      </c>
      <c r="I558" s="4" t="s">
        <v>1121</v>
      </c>
      <c r="J558" s="4" t="s">
        <v>31</v>
      </c>
      <c r="K558" s="4" t="s">
        <v>31</v>
      </c>
      <c r="L558" s="2" t="s">
        <v>517</v>
      </c>
      <c r="M558" s="2" t="s">
        <v>32</v>
      </c>
      <c r="N558" s="4" t="s">
        <v>644</v>
      </c>
      <c r="O558" s="4" t="s">
        <v>312</v>
      </c>
      <c r="P558" s="4" t="s">
        <v>35</v>
      </c>
      <c r="Q558" s="150">
        <v>343</v>
      </c>
      <c r="R558" s="150">
        <v>1</v>
      </c>
      <c r="S558" s="150">
        <v>1940</v>
      </c>
      <c r="U558" s="150">
        <v>6.6539999999999999</v>
      </c>
      <c r="V558" s="166">
        <v>1.4E-5</v>
      </c>
      <c r="W558" s="166">
        <v>1.1364946565119501E-3</v>
      </c>
      <c r="X558" s="166">
        <v>6.8435174548655997E-5</v>
      </c>
    </row>
    <row r="559" spans="1:24">
      <c r="A559" s="4" t="s">
        <v>256</v>
      </c>
      <c r="B559" s="4">
        <v>7207</v>
      </c>
      <c r="C559" s="4" t="s">
        <v>362</v>
      </c>
      <c r="D559" s="4" t="s">
        <v>1802</v>
      </c>
      <c r="E559" s="4" t="s">
        <v>1552</v>
      </c>
      <c r="F559" s="4" t="s">
        <v>1486</v>
      </c>
      <c r="G559" s="4" t="s">
        <v>1803</v>
      </c>
      <c r="H559" s="4" t="s">
        <v>511</v>
      </c>
      <c r="I559" s="4" t="s">
        <v>1121</v>
      </c>
      <c r="J559" s="4" t="s">
        <v>31</v>
      </c>
      <c r="K559" s="4" t="s">
        <v>31</v>
      </c>
      <c r="L559" s="2" t="s">
        <v>517</v>
      </c>
      <c r="M559" s="2" t="s">
        <v>32</v>
      </c>
      <c r="N559" s="4" t="s">
        <v>636</v>
      </c>
      <c r="O559" s="4" t="s">
        <v>312</v>
      </c>
      <c r="P559" s="4" t="s">
        <v>35</v>
      </c>
      <c r="Q559" s="150">
        <v>12690</v>
      </c>
      <c r="R559" s="150">
        <v>1</v>
      </c>
      <c r="S559" s="150">
        <v>3110</v>
      </c>
      <c r="U559" s="150">
        <v>394.65899999999999</v>
      </c>
      <c r="V559" s="166">
        <v>7.9999999999999996E-6</v>
      </c>
      <c r="W559" s="166">
        <v>6.7405224466404706E-2</v>
      </c>
      <c r="X559" s="166">
        <v>4.0588737266986303E-3</v>
      </c>
    </row>
    <row r="560" spans="1:24">
      <c r="A560" s="4" t="s">
        <v>256</v>
      </c>
      <c r="B560" s="4">
        <v>7207</v>
      </c>
      <c r="C560" s="4" t="s">
        <v>1804</v>
      </c>
      <c r="D560" s="4" t="s">
        <v>1805</v>
      </c>
      <c r="E560" s="4" t="s">
        <v>1552</v>
      </c>
      <c r="F560" s="4" t="s">
        <v>1806</v>
      </c>
      <c r="G560" s="4" t="s">
        <v>1807</v>
      </c>
      <c r="H560" s="4" t="s">
        <v>511</v>
      </c>
      <c r="I560" s="4" t="s">
        <v>1121</v>
      </c>
      <c r="J560" s="4" t="s">
        <v>31</v>
      </c>
      <c r="K560" s="4" t="s">
        <v>31</v>
      </c>
      <c r="L560" s="2" t="s">
        <v>517</v>
      </c>
      <c r="M560" s="2" t="s">
        <v>32</v>
      </c>
      <c r="N560" s="4" t="s">
        <v>639</v>
      </c>
      <c r="O560" s="4" t="s">
        <v>312</v>
      </c>
      <c r="P560" s="4" t="s">
        <v>35</v>
      </c>
      <c r="Q560" s="150">
        <v>14886</v>
      </c>
      <c r="R560" s="150">
        <v>1</v>
      </c>
      <c r="S560" s="150">
        <v>316.8</v>
      </c>
      <c r="U560" s="150">
        <v>47.158999999999999</v>
      </c>
      <c r="V560" s="166">
        <v>6.3E-5</v>
      </c>
      <c r="W560" s="166">
        <v>8.0544285953622306E-3</v>
      </c>
      <c r="X560" s="166">
        <v>4.850055595554E-4</v>
      </c>
    </row>
    <row r="561" spans="1:24">
      <c r="A561" s="4" t="s">
        <v>256</v>
      </c>
      <c r="B561" s="4">
        <v>7207</v>
      </c>
      <c r="C561" s="4" t="s">
        <v>1436</v>
      </c>
      <c r="D561" s="4" t="s">
        <v>2047</v>
      </c>
      <c r="E561" s="4" t="s">
        <v>1552</v>
      </c>
      <c r="F561" s="4" t="s">
        <v>2048</v>
      </c>
      <c r="G561" s="4" t="s">
        <v>2049</v>
      </c>
      <c r="H561" s="4" t="s">
        <v>511</v>
      </c>
      <c r="I561" s="4" t="s">
        <v>1121</v>
      </c>
      <c r="J561" s="4" t="s">
        <v>31</v>
      </c>
      <c r="K561" s="4" t="s">
        <v>31</v>
      </c>
      <c r="L561" s="2" t="s">
        <v>517</v>
      </c>
      <c r="M561" s="2" t="s">
        <v>32</v>
      </c>
      <c r="N561" s="4" t="s">
        <v>633</v>
      </c>
      <c r="O561" s="4" t="s">
        <v>312</v>
      </c>
      <c r="P561" s="4" t="s">
        <v>35</v>
      </c>
      <c r="Q561" s="150">
        <v>530</v>
      </c>
      <c r="R561" s="150">
        <v>1</v>
      </c>
      <c r="S561" s="150">
        <v>454</v>
      </c>
      <c r="U561" s="150">
        <v>2.4060000000000001</v>
      </c>
      <c r="V561" s="166">
        <v>1.2E-5</v>
      </c>
      <c r="W561" s="166">
        <v>4.1096351815380602E-4</v>
      </c>
      <c r="X561" s="166">
        <v>2.4746583661292999E-5</v>
      </c>
    </row>
    <row r="562" spans="1:24">
      <c r="A562" s="4" t="s">
        <v>256</v>
      </c>
      <c r="B562" s="4">
        <v>7207</v>
      </c>
      <c r="C562" s="4" t="s">
        <v>1808</v>
      </c>
      <c r="D562" s="4" t="s">
        <v>1809</v>
      </c>
      <c r="E562" s="4" t="s">
        <v>1552</v>
      </c>
      <c r="F562" s="4" t="s">
        <v>1810</v>
      </c>
      <c r="G562" s="4" t="s">
        <v>1811</v>
      </c>
      <c r="H562" s="4" t="s">
        <v>511</v>
      </c>
      <c r="I562" s="4" t="s">
        <v>1121</v>
      </c>
      <c r="J562" s="4" t="s">
        <v>31</v>
      </c>
      <c r="K562" s="4" t="s">
        <v>31</v>
      </c>
      <c r="L562" s="2" t="s">
        <v>517</v>
      </c>
      <c r="M562" s="2" t="s">
        <v>32</v>
      </c>
      <c r="N562" s="4" t="s">
        <v>639</v>
      </c>
      <c r="O562" s="4" t="s">
        <v>312</v>
      </c>
      <c r="P562" s="4" t="s">
        <v>35</v>
      </c>
      <c r="Q562" s="150">
        <v>76</v>
      </c>
      <c r="R562" s="150">
        <v>1</v>
      </c>
      <c r="S562" s="150">
        <v>5126</v>
      </c>
      <c r="U562" s="150">
        <v>3.8959999999999999</v>
      </c>
      <c r="V562" s="166">
        <v>9.9999999999999995E-7</v>
      </c>
      <c r="W562" s="166">
        <v>6.6537080686679103E-4</v>
      </c>
      <c r="X562" s="166">
        <v>4.0065975714537001E-5</v>
      </c>
    </row>
    <row r="563" spans="1:24">
      <c r="A563" s="4" t="s">
        <v>256</v>
      </c>
      <c r="B563" s="4">
        <v>7207</v>
      </c>
      <c r="C563" s="4" t="s">
        <v>1812</v>
      </c>
      <c r="D563" s="4" t="s">
        <v>1813</v>
      </c>
      <c r="E563" s="4" t="s">
        <v>1552</v>
      </c>
      <c r="F563" s="4" t="s">
        <v>1814</v>
      </c>
      <c r="G563" s="4" t="s">
        <v>1815</v>
      </c>
      <c r="H563" s="4" t="s">
        <v>511</v>
      </c>
      <c r="I563" s="4" t="s">
        <v>1121</v>
      </c>
      <c r="J563" s="4" t="s">
        <v>31</v>
      </c>
      <c r="K563" s="4" t="s">
        <v>31</v>
      </c>
      <c r="L563" s="2" t="s">
        <v>517</v>
      </c>
      <c r="M563" s="2" t="s">
        <v>32</v>
      </c>
      <c r="N563" s="4" t="s">
        <v>664</v>
      </c>
      <c r="O563" s="4" t="s">
        <v>312</v>
      </c>
      <c r="P563" s="4" t="s">
        <v>35</v>
      </c>
      <c r="Q563" s="150">
        <v>20</v>
      </c>
      <c r="R563" s="150">
        <v>1</v>
      </c>
      <c r="S563" s="150">
        <v>17990</v>
      </c>
      <c r="U563" s="150">
        <v>3.5979999999999999</v>
      </c>
      <c r="V563" s="166">
        <v>9.9999999999999995E-7</v>
      </c>
      <c r="W563" s="166">
        <v>6.1451530974872997E-4</v>
      </c>
      <c r="X563" s="166">
        <v>3.70036605491366E-5</v>
      </c>
    </row>
    <row r="564" spans="1:24">
      <c r="A564" s="4" t="s">
        <v>256</v>
      </c>
      <c r="B564" s="4">
        <v>7207</v>
      </c>
      <c r="C564" s="4" t="s">
        <v>1820</v>
      </c>
      <c r="D564" s="4" t="s">
        <v>1821</v>
      </c>
      <c r="E564" s="4" t="s">
        <v>1552</v>
      </c>
      <c r="F564" s="4" t="s">
        <v>1822</v>
      </c>
      <c r="G564" s="4" t="s">
        <v>1823</v>
      </c>
      <c r="H564" s="4" t="s">
        <v>511</v>
      </c>
      <c r="I564" s="4" t="s">
        <v>1121</v>
      </c>
      <c r="J564" s="4" t="s">
        <v>31</v>
      </c>
      <c r="K564" s="4" t="s">
        <v>31</v>
      </c>
      <c r="L564" s="2" t="s">
        <v>517</v>
      </c>
      <c r="M564" s="2" t="s">
        <v>32</v>
      </c>
      <c r="N564" s="4" t="s">
        <v>652</v>
      </c>
      <c r="O564" s="4" t="s">
        <v>312</v>
      </c>
      <c r="P564" s="4" t="s">
        <v>35</v>
      </c>
      <c r="Q564" s="150">
        <v>4000.75</v>
      </c>
      <c r="R564" s="150">
        <v>1</v>
      </c>
      <c r="S564" s="150">
        <v>881</v>
      </c>
      <c r="U564" s="150">
        <v>35.247</v>
      </c>
      <c r="V564" s="166">
        <v>5.0000000000000004E-6</v>
      </c>
      <c r="W564" s="166">
        <v>6.0198943650512596E-3</v>
      </c>
      <c r="X564" s="166">
        <v>3.6249402430201498E-4</v>
      </c>
    </row>
    <row r="565" spans="1:24">
      <c r="A565" s="4" t="s">
        <v>256</v>
      </c>
      <c r="B565" s="4">
        <v>7207</v>
      </c>
      <c r="C565" s="4" t="s">
        <v>1824</v>
      </c>
      <c r="D565" s="4" t="s">
        <v>1825</v>
      </c>
      <c r="E565" s="4" t="s">
        <v>1552</v>
      </c>
      <c r="F565" s="4" t="s">
        <v>1826</v>
      </c>
      <c r="G565" s="4" t="s">
        <v>1827</v>
      </c>
      <c r="H565" s="4" t="s">
        <v>511</v>
      </c>
      <c r="I565" s="4" t="s">
        <v>1121</v>
      </c>
      <c r="J565" s="4" t="s">
        <v>31</v>
      </c>
      <c r="K565" s="4" t="s">
        <v>31</v>
      </c>
      <c r="L565" s="2" t="s">
        <v>517</v>
      </c>
      <c r="M565" s="2" t="s">
        <v>32</v>
      </c>
      <c r="N565" s="4" t="s">
        <v>633</v>
      </c>
      <c r="O565" s="4" t="s">
        <v>312</v>
      </c>
      <c r="P565" s="4" t="s">
        <v>35</v>
      </c>
      <c r="Q565" s="150">
        <v>8140</v>
      </c>
      <c r="R565" s="150">
        <v>1</v>
      </c>
      <c r="S565" s="150">
        <v>422.2</v>
      </c>
      <c r="U565" s="150">
        <v>34.366999999999997</v>
      </c>
      <c r="V565" s="166">
        <v>7.9999999999999996E-6</v>
      </c>
      <c r="W565" s="166">
        <v>5.8696767124400799E-3</v>
      </c>
      <c r="X565" s="166">
        <v>3.53448516505008E-4</v>
      </c>
    </row>
    <row r="566" spans="1:24">
      <c r="A566" s="4" t="s">
        <v>256</v>
      </c>
      <c r="B566" s="4">
        <v>7207</v>
      </c>
      <c r="C566" s="4" t="s">
        <v>1828</v>
      </c>
      <c r="D566" s="4" t="s">
        <v>1829</v>
      </c>
      <c r="E566" s="4" t="s">
        <v>1552</v>
      </c>
      <c r="F566" s="4" t="s">
        <v>1830</v>
      </c>
      <c r="G566" s="4" t="s">
        <v>1831</v>
      </c>
      <c r="H566" s="4" t="s">
        <v>511</v>
      </c>
      <c r="I566" s="4" t="s">
        <v>1121</v>
      </c>
      <c r="J566" s="4" t="s">
        <v>31</v>
      </c>
      <c r="K566" s="4" t="s">
        <v>31</v>
      </c>
      <c r="L566" s="2" t="s">
        <v>517</v>
      </c>
      <c r="M566" s="2" t="s">
        <v>32</v>
      </c>
      <c r="N566" s="4" t="s">
        <v>652</v>
      </c>
      <c r="O566" s="4" t="s">
        <v>312</v>
      </c>
      <c r="P566" s="4" t="s">
        <v>35</v>
      </c>
      <c r="Q566" s="150">
        <v>1270</v>
      </c>
      <c r="R566" s="150">
        <v>1</v>
      </c>
      <c r="S566" s="150">
        <v>9151</v>
      </c>
      <c r="U566" s="150">
        <v>116.218</v>
      </c>
      <c r="V566" s="166">
        <v>3.4999999999999997E-5</v>
      </c>
      <c r="W566" s="166">
        <v>1.9849237330123701E-2</v>
      </c>
      <c r="X566" s="166">
        <v>1.1952418901060001E-3</v>
      </c>
    </row>
    <row r="567" spans="1:24">
      <c r="A567" s="4" t="s">
        <v>256</v>
      </c>
      <c r="B567" s="4">
        <v>7207</v>
      </c>
      <c r="C567" s="4" t="s">
        <v>1832</v>
      </c>
      <c r="D567" s="4" t="s">
        <v>1833</v>
      </c>
      <c r="E567" s="4" t="s">
        <v>1552</v>
      </c>
      <c r="F567" s="4" t="s">
        <v>1834</v>
      </c>
      <c r="G567" s="4" t="s">
        <v>1835</v>
      </c>
      <c r="H567" s="4" t="s">
        <v>511</v>
      </c>
      <c r="I567" s="4" t="s">
        <v>1121</v>
      </c>
      <c r="J567" s="4" t="s">
        <v>31</v>
      </c>
      <c r="K567" s="4" t="s">
        <v>31</v>
      </c>
      <c r="L567" s="2" t="s">
        <v>517</v>
      </c>
      <c r="M567" s="2" t="s">
        <v>32</v>
      </c>
      <c r="N567" s="4" t="s">
        <v>669</v>
      </c>
      <c r="O567" s="4" t="s">
        <v>312</v>
      </c>
      <c r="P567" s="4" t="s">
        <v>35</v>
      </c>
      <c r="Q567" s="150">
        <v>621</v>
      </c>
      <c r="R567" s="150">
        <v>1</v>
      </c>
      <c r="S567" s="150">
        <v>3667</v>
      </c>
      <c r="T567" s="149">
        <v>0.51400000000000001</v>
      </c>
      <c r="U567" s="150">
        <v>23.286000000000001</v>
      </c>
      <c r="V567" s="166">
        <v>1.2999999999999999E-5</v>
      </c>
      <c r="W567" s="166">
        <v>3.9770617869485199E-3</v>
      </c>
      <c r="X567" s="166">
        <v>2.3948279564810299E-4</v>
      </c>
    </row>
    <row r="568" spans="1:24">
      <c r="A568" s="4" t="s">
        <v>256</v>
      </c>
      <c r="B568" s="4">
        <v>7207</v>
      </c>
      <c r="C568" s="4" t="s">
        <v>1836</v>
      </c>
      <c r="D568" s="4" t="s">
        <v>1837</v>
      </c>
      <c r="E568" s="4" t="s">
        <v>1552</v>
      </c>
      <c r="F568" s="4" t="s">
        <v>1838</v>
      </c>
      <c r="G568" s="4" t="s">
        <v>1839</v>
      </c>
      <c r="H568" s="4" t="s">
        <v>511</v>
      </c>
      <c r="I568" s="4" t="s">
        <v>1121</v>
      </c>
      <c r="J568" s="4" t="s">
        <v>31</v>
      </c>
      <c r="K568" s="4" t="s">
        <v>31</v>
      </c>
      <c r="L568" s="2" t="s">
        <v>517</v>
      </c>
      <c r="M568" s="2" t="s">
        <v>32</v>
      </c>
      <c r="N568" s="4" t="s">
        <v>647</v>
      </c>
      <c r="O568" s="4" t="s">
        <v>312</v>
      </c>
      <c r="P568" s="4" t="s">
        <v>35</v>
      </c>
      <c r="Q568" s="150">
        <v>147</v>
      </c>
      <c r="R568" s="150">
        <v>1</v>
      </c>
      <c r="S568" s="150">
        <v>14490</v>
      </c>
      <c r="U568" s="150">
        <v>21.3</v>
      </c>
      <c r="V568" s="166">
        <v>4.3999999999999999E-5</v>
      </c>
      <c r="W568" s="166">
        <v>3.6379545448140299E-3</v>
      </c>
      <c r="X568" s="166">
        <v>2.19063110282038E-4</v>
      </c>
    </row>
    <row r="569" spans="1:24">
      <c r="A569" s="4" t="s">
        <v>256</v>
      </c>
      <c r="B569" s="4">
        <v>7207</v>
      </c>
      <c r="C569" s="4" t="s">
        <v>1840</v>
      </c>
      <c r="D569" s="4" t="s">
        <v>1841</v>
      </c>
      <c r="E569" s="4" t="s">
        <v>1552</v>
      </c>
      <c r="F569" s="4" t="s">
        <v>1842</v>
      </c>
      <c r="G569" s="4" t="s">
        <v>1843</v>
      </c>
      <c r="H569" s="4" t="s">
        <v>511</v>
      </c>
      <c r="I569" s="4" t="s">
        <v>1121</v>
      </c>
      <c r="J569" s="4" t="s">
        <v>31</v>
      </c>
      <c r="K569" s="4" t="s">
        <v>31</v>
      </c>
      <c r="L569" s="2" t="s">
        <v>517</v>
      </c>
      <c r="M569" s="2" t="s">
        <v>32</v>
      </c>
      <c r="N569" s="4" t="s">
        <v>636</v>
      </c>
      <c r="O569" s="4" t="s">
        <v>312</v>
      </c>
      <c r="P569" s="4" t="s">
        <v>35</v>
      </c>
      <c r="Q569" s="150">
        <v>800.98</v>
      </c>
      <c r="R569" s="150">
        <v>1</v>
      </c>
      <c r="S569" s="150">
        <v>13080</v>
      </c>
      <c r="U569" s="150">
        <v>104.768</v>
      </c>
      <c r="V569" s="166">
        <v>3.0000000000000001E-6</v>
      </c>
      <c r="W569" s="166">
        <v>1.7893733474867099E-2</v>
      </c>
      <c r="X569" s="166">
        <v>1.0774892487730599E-3</v>
      </c>
    </row>
    <row r="570" spans="1:24">
      <c r="A570" s="4" t="s">
        <v>256</v>
      </c>
      <c r="B570" s="4">
        <v>7207</v>
      </c>
      <c r="C570" s="4" t="s">
        <v>1844</v>
      </c>
      <c r="D570" s="4" t="s">
        <v>1845</v>
      </c>
      <c r="E570" s="4" t="s">
        <v>1552</v>
      </c>
      <c r="F570" s="4" t="s">
        <v>1846</v>
      </c>
      <c r="G570" s="4" t="s">
        <v>1847</v>
      </c>
      <c r="H570" s="4" t="s">
        <v>511</v>
      </c>
      <c r="I570" s="4" t="s">
        <v>1121</v>
      </c>
      <c r="J570" s="4" t="s">
        <v>31</v>
      </c>
      <c r="K570" s="4" t="s">
        <v>31</v>
      </c>
      <c r="L570" s="2" t="s">
        <v>517</v>
      </c>
      <c r="M570" s="2" t="s">
        <v>32</v>
      </c>
      <c r="N570" s="4" t="s">
        <v>665</v>
      </c>
      <c r="O570" s="4" t="s">
        <v>312</v>
      </c>
      <c r="P570" s="4" t="s">
        <v>35</v>
      </c>
      <c r="Q570" s="150">
        <v>98</v>
      </c>
      <c r="R570" s="150">
        <v>1</v>
      </c>
      <c r="S570" s="150">
        <v>25420</v>
      </c>
      <c r="U570" s="150">
        <v>24.911999999999999</v>
      </c>
      <c r="V570" s="166">
        <v>2.0999999999999999E-5</v>
      </c>
      <c r="W570" s="166">
        <v>4.2547414092096898E-3</v>
      </c>
      <c r="X570" s="166">
        <v>2.56203554790403E-4</v>
      </c>
    </row>
    <row r="571" spans="1:24">
      <c r="A571" s="4" t="s">
        <v>256</v>
      </c>
      <c r="B571" s="4">
        <v>7207</v>
      </c>
      <c r="C571" s="4" t="s">
        <v>1848</v>
      </c>
      <c r="D571" s="4" t="s">
        <v>1849</v>
      </c>
      <c r="E571" s="4" t="s">
        <v>1552</v>
      </c>
      <c r="F571" s="4" t="s">
        <v>1850</v>
      </c>
      <c r="G571" s="4" t="s">
        <v>1851</v>
      </c>
      <c r="H571" s="4" t="s">
        <v>511</v>
      </c>
      <c r="I571" s="4" t="s">
        <v>1121</v>
      </c>
      <c r="J571" s="4" t="s">
        <v>31</v>
      </c>
      <c r="K571" s="4" t="s">
        <v>155</v>
      </c>
      <c r="L571" s="2" t="s">
        <v>517</v>
      </c>
      <c r="M571" s="2" t="s">
        <v>32</v>
      </c>
      <c r="N571" s="4" t="s">
        <v>662</v>
      </c>
      <c r="O571" s="4" t="s">
        <v>312</v>
      </c>
      <c r="P571" s="4" t="s">
        <v>35</v>
      </c>
      <c r="Q571" s="150">
        <v>274</v>
      </c>
      <c r="R571" s="150">
        <v>1</v>
      </c>
      <c r="S571" s="150">
        <v>1408</v>
      </c>
      <c r="U571" s="150">
        <v>3.8580000000000001</v>
      </c>
      <c r="V571" s="166">
        <v>1.9999999999999999E-6</v>
      </c>
      <c r="W571" s="166">
        <v>6.5890797770589804E-4</v>
      </c>
      <c r="X571" s="166">
        <v>3.9676809923770098E-5</v>
      </c>
    </row>
    <row r="572" spans="1:24">
      <c r="A572" s="4" t="s">
        <v>256</v>
      </c>
      <c r="B572" s="4">
        <v>7207</v>
      </c>
      <c r="C572" s="4" t="s">
        <v>1852</v>
      </c>
      <c r="D572" s="4" t="s">
        <v>1853</v>
      </c>
      <c r="E572" s="4" t="s">
        <v>1552</v>
      </c>
      <c r="F572" s="4" t="s">
        <v>1854</v>
      </c>
      <c r="G572" s="4" t="s">
        <v>1855</v>
      </c>
      <c r="H572" s="4" t="s">
        <v>511</v>
      </c>
      <c r="I572" s="4" t="s">
        <v>1121</v>
      </c>
      <c r="J572" s="4" t="s">
        <v>31</v>
      </c>
      <c r="K572" s="4" t="s">
        <v>31</v>
      </c>
      <c r="L572" s="2" t="s">
        <v>517</v>
      </c>
      <c r="M572" s="2" t="s">
        <v>32</v>
      </c>
      <c r="N572" s="4" t="s">
        <v>652</v>
      </c>
      <c r="O572" s="4" t="s">
        <v>312</v>
      </c>
      <c r="P572" s="4" t="s">
        <v>35</v>
      </c>
      <c r="Q572" s="150">
        <v>426</v>
      </c>
      <c r="R572" s="150">
        <v>1</v>
      </c>
      <c r="S572" s="150">
        <v>24710</v>
      </c>
      <c r="U572" s="150">
        <v>105.265</v>
      </c>
      <c r="V572" s="166">
        <v>9.0000000000000002E-6</v>
      </c>
      <c r="W572" s="166">
        <v>1.7978518141905601E-2</v>
      </c>
      <c r="X572" s="166">
        <v>1.0825946432019601E-3</v>
      </c>
    </row>
    <row r="573" spans="1:24">
      <c r="A573" s="4" t="s">
        <v>256</v>
      </c>
      <c r="B573" s="4">
        <v>7207</v>
      </c>
      <c r="C573" s="4" t="s">
        <v>1856</v>
      </c>
      <c r="D573" s="4" t="s">
        <v>1857</v>
      </c>
      <c r="E573" s="4" t="s">
        <v>1552</v>
      </c>
      <c r="F573" s="4" t="s">
        <v>1858</v>
      </c>
      <c r="G573" s="4" t="s">
        <v>1859</v>
      </c>
      <c r="H573" s="4" t="s">
        <v>511</v>
      </c>
      <c r="I573" s="4" t="s">
        <v>1121</v>
      </c>
      <c r="J573" s="4" t="s">
        <v>31</v>
      </c>
      <c r="K573" s="4" t="s">
        <v>31</v>
      </c>
      <c r="L573" s="2" t="s">
        <v>517</v>
      </c>
      <c r="M573" s="2" t="s">
        <v>32</v>
      </c>
      <c r="N573" s="4" t="s">
        <v>665</v>
      </c>
      <c r="O573" s="4" t="s">
        <v>312</v>
      </c>
      <c r="P573" s="4" t="s">
        <v>35</v>
      </c>
      <c r="Q573" s="150">
        <v>82</v>
      </c>
      <c r="R573" s="150">
        <v>1</v>
      </c>
      <c r="S573" s="150">
        <v>5741</v>
      </c>
      <c r="U573" s="150">
        <v>4.7080000000000002</v>
      </c>
      <c r="V573" s="166">
        <v>3.0000000000000001E-6</v>
      </c>
      <c r="W573" s="166">
        <v>8.0403128473577497E-4</v>
      </c>
      <c r="X573" s="166">
        <v>4.8415556552064E-5</v>
      </c>
    </row>
    <row r="574" spans="1:24">
      <c r="A574" s="4" t="s">
        <v>256</v>
      </c>
      <c r="B574" s="4">
        <v>7207</v>
      </c>
      <c r="C574" s="4" t="s">
        <v>1860</v>
      </c>
      <c r="D574" s="4" t="s">
        <v>1861</v>
      </c>
      <c r="E574" s="4" t="s">
        <v>1552</v>
      </c>
      <c r="F574" s="4" t="s">
        <v>1862</v>
      </c>
      <c r="G574" s="4" t="s">
        <v>1863</v>
      </c>
      <c r="H574" s="4" t="s">
        <v>511</v>
      </c>
      <c r="I574" s="4" t="s">
        <v>1121</v>
      </c>
      <c r="J574" s="4" t="s">
        <v>31</v>
      </c>
      <c r="K574" s="4" t="s">
        <v>31</v>
      </c>
      <c r="L574" s="2" t="s">
        <v>517</v>
      </c>
      <c r="M574" s="2" t="s">
        <v>32</v>
      </c>
      <c r="N574" s="4" t="s">
        <v>652</v>
      </c>
      <c r="O574" s="4" t="s">
        <v>312</v>
      </c>
      <c r="P574" s="4" t="s">
        <v>35</v>
      </c>
      <c r="Q574" s="150">
        <v>11226</v>
      </c>
      <c r="R574" s="150">
        <v>1</v>
      </c>
      <c r="S574" s="150">
        <v>159.4</v>
      </c>
      <c r="U574" s="150">
        <v>17.893999999999998</v>
      </c>
      <c r="V574" s="166">
        <v>1.5999999999999999E-5</v>
      </c>
      <c r="W574" s="166">
        <v>3.0562220384600801E-3</v>
      </c>
      <c r="X574" s="166">
        <v>1.8403349937727199E-4</v>
      </c>
    </row>
    <row r="575" spans="1:24">
      <c r="A575" s="4" t="s">
        <v>256</v>
      </c>
      <c r="B575" s="4">
        <v>7207</v>
      </c>
      <c r="C575" s="4" t="s">
        <v>2050</v>
      </c>
      <c r="D575" s="4" t="s">
        <v>2051</v>
      </c>
      <c r="E575" s="4" t="s">
        <v>1552</v>
      </c>
      <c r="F575" s="4" t="s">
        <v>2052</v>
      </c>
      <c r="G575" s="4" t="s">
        <v>2053</v>
      </c>
      <c r="H575" s="4" t="s">
        <v>511</v>
      </c>
      <c r="I575" s="4" t="s">
        <v>1121</v>
      </c>
      <c r="J575" s="4" t="s">
        <v>31</v>
      </c>
      <c r="K575" s="4" t="s">
        <v>31</v>
      </c>
      <c r="L575" s="2" t="s">
        <v>517</v>
      </c>
      <c r="M575" s="2" t="s">
        <v>32</v>
      </c>
      <c r="N575" s="4" t="s">
        <v>628</v>
      </c>
      <c r="O575" s="4" t="s">
        <v>312</v>
      </c>
      <c r="P575" s="4" t="s">
        <v>35</v>
      </c>
      <c r="Q575" s="150">
        <v>1860</v>
      </c>
      <c r="R575" s="150">
        <v>1</v>
      </c>
      <c r="S575" s="150">
        <v>250.9</v>
      </c>
      <c r="U575" s="150">
        <v>4.6669999999999998</v>
      </c>
      <c r="V575" s="166">
        <v>3.0000000000000001E-6</v>
      </c>
      <c r="W575" s="166">
        <v>7.97049243084155E-4</v>
      </c>
      <c r="X575" s="166">
        <v>4.7995125856330603E-5</v>
      </c>
    </row>
    <row r="576" spans="1:24">
      <c r="A576" s="4" t="s">
        <v>256</v>
      </c>
      <c r="B576" s="4">
        <v>7207</v>
      </c>
      <c r="C576" s="4" t="s">
        <v>1864</v>
      </c>
      <c r="D576" s="4" t="s">
        <v>1865</v>
      </c>
      <c r="E576" s="4" t="s">
        <v>1552</v>
      </c>
      <c r="F576" s="4" t="s">
        <v>1866</v>
      </c>
      <c r="G576" s="4" t="s">
        <v>1867</v>
      </c>
      <c r="H576" s="4" t="s">
        <v>511</v>
      </c>
      <c r="I576" s="4" t="s">
        <v>1121</v>
      </c>
      <c r="J576" s="4" t="s">
        <v>31</v>
      </c>
      <c r="K576" s="4" t="s">
        <v>31</v>
      </c>
      <c r="L576" s="2" t="s">
        <v>517</v>
      </c>
      <c r="M576" s="2" t="s">
        <v>32</v>
      </c>
      <c r="N576" s="4" t="s">
        <v>669</v>
      </c>
      <c r="O576" s="4" t="s">
        <v>312</v>
      </c>
      <c r="P576" s="4" t="s">
        <v>35</v>
      </c>
      <c r="Q576" s="150">
        <v>106</v>
      </c>
      <c r="R576" s="150">
        <v>1</v>
      </c>
      <c r="S576" s="150">
        <v>8000</v>
      </c>
      <c r="U576" s="150">
        <v>8.48</v>
      </c>
      <c r="V576" s="166">
        <v>3.0000000000000001E-6</v>
      </c>
      <c r="W576" s="166">
        <v>1.4483295793966699E-3</v>
      </c>
      <c r="X576" s="166">
        <v>8.7212629643323501E-5</v>
      </c>
    </row>
    <row r="577" spans="1:24">
      <c r="A577" s="4" t="s">
        <v>256</v>
      </c>
      <c r="B577" s="4">
        <v>7207</v>
      </c>
      <c r="C577" s="4" t="s">
        <v>1868</v>
      </c>
      <c r="D577" s="4" t="s">
        <v>1869</v>
      </c>
      <c r="E577" s="4" t="s">
        <v>1552</v>
      </c>
      <c r="F577" s="4" t="s">
        <v>1870</v>
      </c>
      <c r="G577" s="4" t="s">
        <v>1871</v>
      </c>
      <c r="H577" s="4" t="s">
        <v>511</v>
      </c>
      <c r="I577" s="4" t="s">
        <v>1121</v>
      </c>
      <c r="J577" s="4" t="s">
        <v>31</v>
      </c>
      <c r="K577" s="4" t="s">
        <v>489</v>
      </c>
      <c r="L577" s="2" t="s">
        <v>517</v>
      </c>
      <c r="M577" s="2" t="s">
        <v>32</v>
      </c>
      <c r="N577" s="4" t="s">
        <v>646</v>
      </c>
      <c r="O577" s="4" t="s">
        <v>312</v>
      </c>
      <c r="P577" s="4" t="s">
        <v>35</v>
      </c>
      <c r="Q577" s="150">
        <v>139</v>
      </c>
      <c r="R577" s="150">
        <v>1</v>
      </c>
      <c r="S577" s="150">
        <v>87800</v>
      </c>
      <c r="U577" s="150">
        <v>122.042</v>
      </c>
      <c r="V577" s="166">
        <v>5.0000000000000004E-6</v>
      </c>
      <c r="W577" s="166">
        <v>2.08439903925388E-2</v>
      </c>
      <c r="X577" s="166">
        <v>1.2551419512889701E-3</v>
      </c>
    </row>
    <row r="578" spans="1:24">
      <c r="A578" s="4" t="s">
        <v>256</v>
      </c>
      <c r="B578" s="4">
        <v>7207</v>
      </c>
      <c r="C578" s="4" t="s">
        <v>1872</v>
      </c>
      <c r="D578" s="4" t="s">
        <v>1873</v>
      </c>
      <c r="E578" s="4" t="s">
        <v>1552</v>
      </c>
      <c r="F578" s="4" t="s">
        <v>1874</v>
      </c>
      <c r="G578" s="4" t="s">
        <v>1875</v>
      </c>
      <c r="H578" s="4" t="s">
        <v>511</v>
      </c>
      <c r="I578" s="4" t="s">
        <v>1121</v>
      </c>
      <c r="J578" s="4" t="s">
        <v>31</v>
      </c>
      <c r="K578" s="4" t="s">
        <v>31</v>
      </c>
      <c r="L578" s="2" t="s">
        <v>517</v>
      </c>
      <c r="M578" s="2" t="s">
        <v>32</v>
      </c>
      <c r="N578" s="4" t="s">
        <v>666</v>
      </c>
      <c r="O578" s="4" t="s">
        <v>312</v>
      </c>
      <c r="P578" s="4" t="s">
        <v>35</v>
      </c>
      <c r="Q578" s="150">
        <v>14106</v>
      </c>
      <c r="R578" s="150">
        <v>1</v>
      </c>
      <c r="S578" s="150">
        <v>150.9</v>
      </c>
      <c r="U578" s="150">
        <v>21.286000000000001</v>
      </c>
      <c r="V578" s="166">
        <v>2.8E-5</v>
      </c>
      <c r="W578" s="166">
        <v>3.6355043400798301E-3</v>
      </c>
      <c r="X578" s="166">
        <v>2.1891556872721899E-4</v>
      </c>
    </row>
    <row r="579" spans="1:24">
      <c r="A579" s="4" t="s">
        <v>256</v>
      </c>
      <c r="B579" s="4">
        <v>7207</v>
      </c>
      <c r="C579" s="4" t="s">
        <v>1876</v>
      </c>
      <c r="D579" s="4" t="s">
        <v>1877</v>
      </c>
      <c r="E579" s="4" t="s">
        <v>1552</v>
      </c>
      <c r="F579" s="4" t="s">
        <v>1878</v>
      </c>
      <c r="G579" s="4" t="s">
        <v>1879</v>
      </c>
      <c r="H579" s="4" t="s">
        <v>511</v>
      </c>
      <c r="I579" s="4" t="s">
        <v>1121</v>
      </c>
      <c r="J579" s="4" t="s">
        <v>31</v>
      </c>
      <c r="K579" s="4" t="s">
        <v>31</v>
      </c>
      <c r="L579" s="2" t="s">
        <v>517</v>
      </c>
      <c r="M579" s="2" t="s">
        <v>32</v>
      </c>
      <c r="N579" s="4" t="s">
        <v>650</v>
      </c>
      <c r="O579" s="4" t="s">
        <v>312</v>
      </c>
      <c r="P579" s="4" t="s">
        <v>35</v>
      </c>
      <c r="Q579" s="150">
        <v>339</v>
      </c>
      <c r="R579" s="150">
        <v>1</v>
      </c>
      <c r="S579" s="150">
        <v>5893</v>
      </c>
      <c r="U579" s="150">
        <v>19.977</v>
      </c>
      <c r="V579" s="166">
        <v>1.5999999999999999E-5</v>
      </c>
      <c r="W579" s="166">
        <v>3.4119895113907798E-3</v>
      </c>
      <c r="X579" s="166">
        <v>2.05456397381448E-4</v>
      </c>
    </row>
    <row r="580" spans="1:24">
      <c r="A580" s="4" t="s">
        <v>256</v>
      </c>
      <c r="B580" s="4">
        <v>7207</v>
      </c>
      <c r="C580" s="4" t="s">
        <v>1880</v>
      </c>
      <c r="D580" s="4" t="s">
        <v>1881</v>
      </c>
      <c r="E580" s="4" t="s">
        <v>1552</v>
      </c>
      <c r="F580" s="4" t="s">
        <v>1882</v>
      </c>
      <c r="G580" s="4" t="s">
        <v>1883</v>
      </c>
      <c r="H580" s="4" t="s">
        <v>511</v>
      </c>
      <c r="I580" s="4" t="s">
        <v>1121</v>
      </c>
      <c r="J580" s="4" t="s">
        <v>31</v>
      </c>
      <c r="K580" s="4" t="s">
        <v>31</v>
      </c>
      <c r="L580" s="2" t="s">
        <v>517</v>
      </c>
      <c r="M580" s="2" t="s">
        <v>32</v>
      </c>
      <c r="N580" s="4" t="s">
        <v>642</v>
      </c>
      <c r="O580" s="4" t="s">
        <v>312</v>
      </c>
      <c r="P580" s="4" t="s">
        <v>35</v>
      </c>
      <c r="Q580" s="150">
        <v>2190.67</v>
      </c>
      <c r="R580" s="150">
        <v>1</v>
      </c>
      <c r="S580" s="150">
        <v>895.6</v>
      </c>
      <c r="U580" s="150">
        <v>19.62</v>
      </c>
      <c r="V580" s="166">
        <v>1.9999999999999999E-6</v>
      </c>
      <c r="W580" s="166">
        <v>3.3509086913025401E-3</v>
      </c>
      <c r="X580" s="166">
        <v>2.017783540573E-4</v>
      </c>
    </row>
    <row r="581" spans="1:24">
      <c r="A581" s="4" t="s">
        <v>256</v>
      </c>
      <c r="B581" s="4">
        <v>7207</v>
      </c>
      <c r="C581" s="4" t="s">
        <v>1884</v>
      </c>
      <c r="D581" s="4" t="s">
        <v>1885</v>
      </c>
      <c r="E581" s="4" t="s">
        <v>1552</v>
      </c>
      <c r="F581" s="4" t="s">
        <v>1886</v>
      </c>
      <c r="G581" s="4" t="s">
        <v>1887</v>
      </c>
      <c r="H581" s="4" t="s">
        <v>511</v>
      </c>
      <c r="I581" s="4" t="s">
        <v>1121</v>
      </c>
      <c r="J581" s="4" t="s">
        <v>31</v>
      </c>
      <c r="K581" s="4" t="s">
        <v>155</v>
      </c>
      <c r="L581" s="2" t="s">
        <v>517</v>
      </c>
      <c r="M581" s="2" t="s">
        <v>32</v>
      </c>
      <c r="N581" s="4" t="s">
        <v>669</v>
      </c>
      <c r="O581" s="4" t="s">
        <v>312</v>
      </c>
      <c r="P581" s="4" t="s">
        <v>35</v>
      </c>
      <c r="Q581" s="150">
        <v>296</v>
      </c>
      <c r="R581" s="150">
        <v>1</v>
      </c>
      <c r="S581" s="150">
        <v>64400</v>
      </c>
      <c r="U581" s="150">
        <v>190.624</v>
      </c>
      <c r="V581" s="166">
        <v>5.0000000000000004E-6</v>
      </c>
      <c r="W581" s="166">
        <v>3.2557355865909403E-2</v>
      </c>
      <c r="X581" s="166">
        <v>1.9604740935293499E-3</v>
      </c>
    </row>
    <row r="582" spans="1:24">
      <c r="A582" s="4" t="s">
        <v>256</v>
      </c>
      <c r="B582" s="4">
        <v>7207</v>
      </c>
      <c r="C582" s="4" t="s">
        <v>2054</v>
      </c>
      <c r="D582" s="4" t="s">
        <v>2055</v>
      </c>
      <c r="E582" s="4" t="s">
        <v>1552</v>
      </c>
      <c r="F582" s="4" t="s">
        <v>2056</v>
      </c>
      <c r="G582" s="4" t="s">
        <v>2057</v>
      </c>
      <c r="H582" s="4" t="s">
        <v>511</v>
      </c>
      <c r="I582" s="4" t="s">
        <v>1121</v>
      </c>
      <c r="J582" s="4" t="s">
        <v>31</v>
      </c>
      <c r="K582" s="4" t="s">
        <v>31</v>
      </c>
      <c r="L582" s="2" t="s">
        <v>517</v>
      </c>
      <c r="M582" s="2" t="s">
        <v>32</v>
      </c>
      <c r="N582" s="4" t="s">
        <v>654</v>
      </c>
      <c r="O582" s="4" t="s">
        <v>312</v>
      </c>
      <c r="P582" s="4" t="s">
        <v>35</v>
      </c>
      <c r="Q582" s="150">
        <v>738</v>
      </c>
      <c r="R582" s="150">
        <v>1</v>
      </c>
      <c r="S582" s="150">
        <v>1516</v>
      </c>
      <c r="U582" s="150">
        <v>11.188000000000001</v>
      </c>
      <c r="V582" s="166">
        <v>7.8999999999999996E-5</v>
      </c>
      <c r="W582" s="166">
        <v>1.9108522642283399E-3</v>
      </c>
      <c r="X582" s="166">
        <v>1.15063900643853E-4</v>
      </c>
    </row>
    <row r="583" spans="1:24">
      <c r="A583" s="4" t="s">
        <v>256</v>
      </c>
      <c r="B583" s="4">
        <v>7207</v>
      </c>
      <c r="C583" s="4" t="s">
        <v>1888</v>
      </c>
      <c r="D583" s="4" t="s">
        <v>1889</v>
      </c>
      <c r="E583" s="4" t="s">
        <v>1552</v>
      </c>
      <c r="F583" s="4" t="s">
        <v>1890</v>
      </c>
      <c r="G583" s="4" t="s">
        <v>1891</v>
      </c>
      <c r="H583" s="4" t="s">
        <v>511</v>
      </c>
      <c r="I583" s="4" t="s">
        <v>1121</v>
      </c>
      <c r="J583" s="4" t="s">
        <v>31</v>
      </c>
      <c r="K583" s="4" t="s">
        <v>489</v>
      </c>
      <c r="L583" s="2" t="s">
        <v>517</v>
      </c>
      <c r="M583" s="2" t="s">
        <v>32</v>
      </c>
      <c r="N583" s="4" t="s">
        <v>653</v>
      </c>
      <c r="O583" s="4" t="s">
        <v>312</v>
      </c>
      <c r="P583" s="4" t="s">
        <v>35</v>
      </c>
      <c r="Q583" s="150">
        <v>646</v>
      </c>
      <c r="R583" s="150">
        <v>1</v>
      </c>
      <c r="S583" s="150">
        <v>4210</v>
      </c>
      <c r="U583" s="150">
        <v>27.196999999999999</v>
      </c>
      <c r="V583" s="166">
        <v>9.0000000000000002E-6</v>
      </c>
      <c r="W583" s="166">
        <v>4.6450047451674003E-3</v>
      </c>
      <c r="X583" s="166">
        <v>2.7970365605632202E-4</v>
      </c>
    </row>
    <row r="584" spans="1:24">
      <c r="A584" s="4" t="s">
        <v>256</v>
      </c>
      <c r="B584" s="4">
        <v>7207</v>
      </c>
      <c r="C584" s="4" t="s">
        <v>1892</v>
      </c>
      <c r="D584" s="4" t="s">
        <v>1893</v>
      </c>
      <c r="E584" s="4" t="s">
        <v>1552</v>
      </c>
      <c r="F584" s="4" t="s">
        <v>1892</v>
      </c>
      <c r="G584" s="4" t="s">
        <v>1894</v>
      </c>
      <c r="H584" s="4" t="s">
        <v>511</v>
      </c>
      <c r="I584" s="4" t="s">
        <v>1121</v>
      </c>
      <c r="J584" s="4" t="s">
        <v>31</v>
      </c>
      <c r="K584" s="4" t="s">
        <v>31</v>
      </c>
      <c r="L584" s="2" t="s">
        <v>517</v>
      </c>
      <c r="M584" s="2" t="s">
        <v>32</v>
      </c>
      <c r="N584" s="4" t="s">
        <v>648</v>
      </c>
      <c r="O584" s="4" t="s">
        <v>312</v>
      </c>
      <c r="P584" s="4" t="s">
        <v>35</v>
      </c>
      <c r="Q584" s="150">
        <v>659</v>
      </c>
      <c r="R584" s="150">
        <v>1</v>
      </c>
      <c r="S584" s="150">
        <v>1772</v>
      </c>
      <c r="U584" s="150">
        <v>11.677</v>
      </c>
      <c r="V584" s="166">
        <v>1.9000000000000001E-5</v>
      </c>
      <c r="W584" s="166">
        <v>1.9944386434921101E-3</v>
      </c>
      <c r="X584" s="166">
        <v>1.20097138963127E-4</v>
      </c>
    </row>
    <row r="585" spans="1:24">
      <c r="A585" s="4" t="s">
        <v>256</v>
      </c>
      <c r="B585" s="4">
        <v>7207</v>
      </c>
      <c r="C585" s="4" t="s">
        <v>2058</v>
      </c>
      <c r="D585" s="4" t="s">
        <v>2059</v>
      </c>
      <c r="E585" s="4" t="s">
        <v>1552</v>
      </c>
      <c r="F585" s="4" t="s">
        <v>2060</v>
      </c>
      <c r="G585" s="4" t="s">
        <v>2061</v>
      </c>
      <c r="H585" s="4" t="s">
        <v>511</v>
      </c>
      <c r="I585" s="4" t="s">
        <v>1121</v>
      </c>
      <c r="J585" s="4" t="s">
        <v>31</v>
      </c>
      <c r="K585" s="4" t="s">
        <v>31</v>
      </c>
      <c r="L585" s="2" t="s">
        <v>517</v>
      </c>
      <c r="M585" s="2" t="s">
        <v>32</v>
      </c>
      <c r="N585" s="4" t="s">
        <v>654</v>
      </c>
      <c r="O585" s="4" t="s">
        <v>312</v>
      </c>
      <c r="P585" s="4" t="s">
        <v>35</v>
      </c>
      <c r="Q585" s="150">
        <v>2266</v>
      </c>
      <c r="R585" s="150">
        <v>1</v>
      </c>
      <c r="S585" s="150">
        <v>474.1</v>
      </c>
      <c r="T585" s="149">
        <v>0.79300000000000004</v>
      </c>
      <c r="U585" s="150">
        <v>11.536</v>
      </c>
      <c r="V585" s="166">
        <v>3.4E-5</v>
      </c>
      <c r="W585" s="166">
        <v>1.9703099509213902E-3</v>
      </c>
      <c r="X585" s="166">
        <v>1.18644205349892E-4</v>
      </c>
    </row>
    <row r="586" spans="1:24">
      <c r="A586" s="4" t="s">
        <v>256</v>
      </c>
      <c r="B586" s="4">
        <v>7207</v>
      </c>
      <c r="C586" s="4" t="s">
        <v>1895</v>
      </c>
      <c r="D586" s="4" t="s">
        <v>1896</v>
      </c>
      <c r="E586" s="4" t="s">
        <v>1552</v>
      </c>
      <c r="F586" s="4" t="s">
        <v>1897</v>
      </c>
      <c r="G586" s="4" t="s">
        <v>1898</v>
      </c>
      <c r="H586" s="4" t="s">
        <v>511</v>
      </c>
      <c r="I586" s="4" t="s">
        <v>1121</v>
      </c>
      <c r="J586" s="4" t="s">
        <v>31</v>
      </c>
      <c r="K586" s="4" t="s">
        <v>31</v>
      </c>
      <c r="L586" s="2" t="s">
        <v>517</v>
      </c>
      <c r="M586" s="2" t="s">
        <v>32</v>
      </c>
      <c r="N586" s="4" t="s">
        <v>652</v>
      </c>
      <c r="O586" s="4" t="s">
        <v>312</v>
      </c>
      <c r="P586" s="4" t="s">
        <v>35</v>
      </c>
      <c r="Q586" s="150">
        <v>628</v>
      </c>
      <c r="R586" s="150">
        <v>1</v>
      </c>
      <c r="S586" s="150">
        <v>22000</v>
      </c>
      <c r="U586" s="150">
        <v>138.16</v>
      </c>
      <c r="V586" s="166">
        <v>5.0000000000000004E-6</v>
      </c>
      <c r="W586" s="166">
        <v>2.35968413548873E-2</v>
      </c>
      <c r="X586" s="166">
        <v>1.42090765466056E-3</v>
      </c>
    </row>
    <row r="587" spans="1:24">
      <c r="A587" s="4" t="s">
        <v>256</v>
      </c>
      <c r="B587" s="4">
        <v>7207</v>
      </c>
      <c r="C587" s="4" t="s">
        <v>1899</v>
      </c>
      <c r="D587" s="4" t="s">
        <v>1900</v>
      </c>
      <c r="E587" s="4" t="s">
        <v>1552</v>
      </c>
      <c r="F587" s="4" t="s">
        <v>1901</v>
      </c>
      <c r="G587" s="4" t="s">
        <v>1902</v>
      </c>
      <c r="H587" s="4" t="s">
        <v>511</v>
      </c>
      <c r="I587" s="4" t="s">
        <v>1121</v>
      </c>
      <c r="J587" s="4" t="s">
        <v>31</v>
      </c>
      <c r="K587" s="4" t="s">
        <v>31</v>
      </c>
      <c r="L587" s="2" t="s">
        <v>517</v>
      </c>
      <c r="M587" s="2" t="s">
        <v>32</v>
      </c>
      <c r="N587" s="4" t="s">
        <v>639</v>
      </c>
      <c r="O587" s="4" t="s">
        <v>312</v>
      </c>
      <c r="P587" s="4" t="s">
        <v>35</v>
      </c>
      <c r="Q587" s="150">
        <v>63</v>
      </c>
      <c r="R587" s="150">
        <v>1</v>
      </c>
      <c r="S587" s="150">
        <v>8237</v>
      </c>
      <c r="U587" s="150">
        <v>5.1890000000000001</v>
      </c>
      <c r="V587" s="166">
        <v>9.0000000000000002E-6</v>
      </c>
      <c r="W587" s="166">
        <v>8.8630084547865E-4</v>
      </c>
      <c r="X587" s="166">
        <v>5.3369501313018302E-5</v>
      </c>
    </row>
    <row r="588" spans="1:24">
      <c r="A588" s="4" t="s">
        <v>256</v>
      </c>
      <c r="B588" s="4">
        <v>7207</v>
      </c>
      <c r="C588" s="4" t="s">
        <v>1903</v>
      </c>
      <c r="D588" s="4" t="s">
        <v>1904</v>
      </c>
      <c r="E588" s="4" t="s">
        <v>1552</v>
      </c>
      <c r="F588" s="4" t="s">
        <v>1905</v>
      </c>
      <c r="G588" s="4" t="s">
        <v>1906</v>
      </c>
      <c r="H588" s="4" t="s">
        <v>511</v>
      </c>
      <c r="I588" s="4" t="s">
        <v>1121</v>
      </c>
      <c r="J588" s="4" t="s">
        <v>31</v>
      </c>
      <c r="K588" s="4" t="s">
        <v>31</v>
      </c>
      <c r="L588" s="2" t="s">
        <v>517</v>
      </c>
      <c r="M588" s="2" t="s">
        <v>32</v>
      </c>
      <c r="N588" s="4" t="s">
        <v>636</v>
      </c>
      <c r="O588" s="4" t="s">
        <v>312</v>
      </c>
      <c r="P588" s="4" t="s">
        <v>35</v>
      </c>
      <c r="Q588" s="150">
        <v>11959</v>
      </c>
      <c r="R588" s="150">
        <v>1</v>
      </c>
      <c r="S588" s="150">
        <v>3365</v>
      </c>
      <c r="U588" s="150">
        <v>402.42</v>
      </c>
      <c r="V588" s="166">
        <v>9.0000000000000002E-6</v>
      </c>
      <c r="W588" s="166">
        <v>6.8730813237754998E-2</v>
      </c>
      <c r="X588" s="166">
        <v>4.1386953945149298E-3</v>
      </c>
    </row>
    <row r="589" spans="1:24">
      <c r="A589" s="4" t="s">
        <v>256</v>
      </c>
      <c r="B589" s="4">
        <v>7207</v>
      </c>
      <c r="C589" s="4" t="s">
        <v>1907</v>
      </c>
      <c r="D589" s="4" t="s">
        <v>1908</v>
      </c>
      <c r="E589" s="4" t="s">
        <v>1552</v>
      </c>
      <c r="F589" s="4" t="s">
        <v>1909</v>
      </c>
      <c r="G589" s="4" t="s">
        <v>1910</v>
      </c>
      <c r="H589" s="4" t="s">
        <v>511</v>
      </c>
      <c r="I589" s="4" t="s">
        <v>1121</v>
      </c>
      <c r="J589" s="4" t="s">
        <v>31</v>
      </c>
      <c r="K589" s="4" t="s">
        <v>31</v>
      </c>
      <c r="L589" s="2" t="s">
        <v>517</v>
      </c>
      <c r="M589" s="2" t="s">
        <v>32</v>
      </c>
      <c r="N589" s="4" t="s">
        <v>665</v>
      </c>
      <c r="O589" s="4" t="s">
        <v>312</v>
      </c>
      <c r="P589" s="4" t="s">
        <v>35</v>
      </c>
      <c r="Q589" s="150">
        <v>924.77</v>
      </c>
      <c r="R589" s="150">
        <v>1</v>
      </c>
      <c r="S589" s="150">
        <v>26800</v>
      </c>
      <c r="U589" s="150">
        <v>247.83799999999999</v>
      </c>
      <c r="V589" s="166">
        <v>6.0000000000000002E-5</v>
      </c>
      <c r="W589" s="166">
        <v>4.2329201379382203E-2</v>
      </c>
      <c r="X589" s="166">
        <v>2.5488956488312099E-3</v>
      </c>
    </row>
    <row r="590" spans="1:24">
      <c r="A590" s="4" t="s">
        <v>256</v>
      </c>
      <c r="B590" s="4">
        <v>7207</v>
      </c>
      <c r="C590" s="4" t="s">
        <v>1911</v>
      </c>
      <c r="D590" s="4" t="s">
        <v>1912</v>
      </c>
      <c r="E590" s="4" t="s">
        <v>1552</v>
      </c>
      <c r="F590" s="4" t="s">
        <v>1913</v>
      </c>
      <c r="G590" s="4" t="s">
        <v>1914</v>
      </c>
      <c r="H590" s="4" t="s">
        <v>511</v>
      </c>
      <c r="I590" s="4" t="s">
        <v>1121</v>
      </c>
      <c r="J590" s="4" t="s">
        <v>31</v>
      </c>
      <c r="K590" s="4" t="s">
        <v>31</v>
      </c>
      <c r="L590" s="2" t="s">
        <v>517</v>
      </c>
      <c r="M590" s="2" t="s">
        <v>32</v>
      </c>
      <c r="N590" s="4" t="s">
        <v>628</v>
      </c>
      <c r="O590" s="4" t="s">
        <v>312</v>
      </c>
      <c r="P590" s="4" t="s">
        <v>35</v>
      </c>
      <c r="Q590" s="150">
        <v>192</v>
      </c>
      <c r="R590" s="150">
        <v>1</v>
      </c>
      <c r="S590" s="150">
        <v>6189</v>
      </c>
      <c r="U590" s="150">
        <v>11.882999999999999</v>
      </c>
      <c r="V590" s="166">
        <v>1.5E-5</v>
      </c>
      <c r="W590" s="166">
        <v>2.0295196453326801E-3</v>
      </c>
      <c r="X590" s="166">
        <v>1.22209576950007E-4</v>
      </c>
    </row>
    <row r="591" spans="1:24">
      <c r="A591" s="4" t="s">
        <v>256</v>
      </c>
      <c r="B591" s="4">
        <v>7207</v>
      </c>
      <c r="C591" s="4" t="s">
        <v>1915</v>
      </c>
      <c r="D591" s="4" t="s">
        <v>1916</v>
      </c>
      <c r="E591" s="4" t="s">
        <v>1552</v>
      </c>
      <c r="F591" s="4" t="s">
        <v>1917</v>
      </c>
      <c r="G591" s="4" t="s">
        <v>1918</v>
      </c>
      <c r="H591" s="4" t="s">
        <v>511</v>
      </c>
      <c r="I591" s="4" t="s">
        <v>1121</v>
      </c>
      <c r="J591" s="4" t="s">
        <v>31</v>
      </c>
      <c r="K591" s="4" t="s">
        <v>31</v>
      </c>
      <c r="L591" s="2" t="s">
        <v>517</v>
      </c>
      <c r="M591" s="2" t="s">
        <v>32</v>
      </c>
      <c r="N591" s="4" t="s">
        <v>628</v>
      </c>
      <c r="O591" s="4" t="s">
        <v>312</v>
      </c>
      <c r="P591" s="4" t="s">
        <v>35</v>
      </c>
      <c r="Q591" s="150">
        <v>52</v>
      </c>
      <c r="R591" s="150">
        <v>1</v>
      </c>
      <c r="S591" s="150">
        <v>34440</v>
      </c>
      <c r="T591" s="149">
        <v>0.85299999999999998</v>
      </c>
      <c r="U591" s="150">
        <v>18.762</v>
      </c>
      <c r="V591" s="166">
        <v>5.0000000000000004E-6</v>
      </c>
      <c r="W591" s="166">
        <v>3.2043660007896298E-3</v>
      </c>
      <c r="X591" s="166">
        <v>1.92954137817815E-4</v>
      </c>
    </row>
    <row r="592" spans="1:24">
      <c r="A592" s="4" t="s">
        <v>256</v>
      </c>
      <c r="B592" s="4">
        <v>7207</v>
      </c>
      <c r="C592" s="4" t="s">
        <v>1919</v>
      </c>
      <c r="D592" s="4" t="s">
        <v>1920</v>
      </c>
      <c r="E592" s="4" t="s">
        <v>1552</v>
      </c>
      <c r="F592" s="4" t="s">
        <v>1921</v>
      </c>
      <c r="G592" s="4" t="s">
        <v>1922</v>
      </c>
      <c r="H592" s="4" t="s">
        <v>511</v>
      </c>
      <c r="I592" s="4" t="s">
        <v>1121</v>
      </c>
      <c r="J592" s="4" t="s">
        <v>31</v>
      </c>
      <c r="K592" s="4" t="s">
        <v>31</v>
      </c>
      <c r="L592" s="2" t="s">
        <v>517</v>
      </c>
      <c r="M592" s="2" t="s">
        <v>32</v>
      </c>
      <c r="N592" s="4" t="s">
        <v>636</v>
      </c>
      <c r="O592" s="4" t="s">
        <v>312</v>
      </c>
      <c r="P592" s="4" t="s">
        <v>35</v>
      </c>
      <c r="Q592" s="150">
        <v>991</v>
      </c>
      <c r="R592" s="150">
        <v>1</v>
      </c>
      <c r="S592" s="150">
        <v>15200</v>
      </c>
      <c r="U592" s="150">
        <v>150.63200000000001</v>
      </c>
      <c r="V592" s="166">
        <v>2.8E-5</v>
      </c>
      <c r="W592" s="166">
        <v>2.57269789155283E-2</v>
      </c>
      <c r="X592" s="166">
        <v>1.5491760410888101E-3</v>
      </c>
    </row>
    <row r="593" spans="1:24">
      <c r="A593" s="4" t="s">
        <v>256</v>
      </c>
      <c r="B593" s="4">
        <v>7207</v>
      </c>
      <c r="C593" s="4" t="s">
        <v>1923</v>
      </c>
      <c r="D593" s="4" t="s">
        <v>1924</v>
      </c>
      <c r="E593" s="4" t="s">
        <v>1552</v>
      </c>
      <c r="F593" s="4" t="s">
        <v>1925</v>
      </c>
      <c r="G593" s="4" t="s">
        <v>1926</v>
      </c>
      <c r="H593" s="4" t="s">
        <v>511</v>
      </c>
      <c r="I593" s="4" t="s">
        <v>1121</v>
      </c>
      <c r="J593" s="4" t="s">
        <v>31</v>
      </c>
      <c r="K593" s="4" t="s">
        <v>31</v>
      </c>
      <c r="L593" s="2" t="s">
        <v>517</v>
      </c>
      <c r="M593" s="2" t="s">
        <v>32</v>
      </c>
      <c r="N593" s="4" t="s">
        <v>659</v>
      </c>
      <c r="O593" s="4" t="s">
        <v>312</v>
      </c>
      <c r="P593" s="4" t="s">
        <v>35</v>
      </c>
      <c r="Q593" s="150">
        <v>2185</v>
      </c>
      <c r="R593" s="150">
        <v>1</v>
      </c>
      <c r="S593" s="150">
        <v>469.6</v>
      </c>
      <c r="U593" s="150">
        <v>10.260999999999999</v>
      </c>
      <c r="V593" s="166">
        <v>2.9E-5</v>
      </c>
      <c r="W593" s="166">
        <v>1.75247195932668E-3</v>
      </c>
      <c r="X593" s="166">
        <v>1.05526870488093E-4</v>
      </c>
    </row>
    <row r="594" spans="1:24">
      <c r="A594" s="4" t="s">
        <v>256</v>
      </c>
      <c r="B594" s="4">
        <v>7207</v>
      </c>
      <c r="C594" s="4" t="s">
        <v>1927</v>
      </c>
      <c r="D594" s="4" t="s">
        <v>1928</v>
      </c>
      <c r="E594" s="4" t="s">
        <v>1552</v>
      </c>
      <c r="F594" s="4" t="s">
        <v>1929</v>
      </c>
      <c r="G594" s="4" t="s">
        <v>1930</v>
      </c>
      <c r="H594" s="4" t="s">
        <v>511</v>
      </c>
      <c r="I594" s="4" t="s">
        <v>1121</v>
      </c>
      <c r="J594" s="4" t="s">
        <v>31</v>
      </c>
      <c r="K594" s="4" t="s">
        <v>31</v>
      </c>
      <c r="L594" s="2" t="s">
        <v>517</v>
      </c>
      <c r="M594" s="2" t="s">
        <v>32</v>
      </c>
      <c r="N594" s="4" t="s">
        <v>627</v>
      </c>
      <c r="O594" s="4" t="s">
        <v>312</v>
      </c>
      <c r="P594" s="4" t="s">
        <v>35</v>
      </c>
      <c r="Q594" s="150">
        <v>2500</v>
      </c>
      <c r="R594" s="150">
        <v>1</v>
      </c>
      <c r="S594" s="150">
        <v>379.1</v>
      </c>
      <c r="U594" s="150">
        <v>9.4770000000000003</v>
      </c>
      <c r="V594" s="166">
        <v>3.4999999999999997E-5</v>
      </c>
      <c r="W594" s="166">
        <v>1.6186961779165101E-3</v>
      </c>
      <c r="X594" s="166">
        <v>9.7471426585447998E-5</v>
      </c>
    </row>
    <row r="595" spans="1:24">
      <c r="A595" s="4" t="s">
        <v>256</v>
      </c>
      <c r="B595" s="4">
        <v>7207</v>
      </c>
      <c r="C595" s="4" t="s">
        <v>1931</v>
      </c>
      <c r="D595" s="4" t="s">
        <v>1932</v>
      </c>
      <c r="E595" s="4" t="s">
        <v>1552</v>
      </c>
      <c r="F595" s="4" t="s">
        <v>1933</v>
      </c>
      <c r="G595" s="4" t="s">
        <v>1934</v>
      </c>
      <c r="H595" s="4" t="s">
        <v>511</v>
      </c>
      <c r="I595" s="4" t="s">
        <v>1121</v>
      </c>
      <c r="J595" s="4" t="s">
        <v>31</v>
      </c>
      <c r="K595" s="4" t="s">
        <v>31</v>
      </c>
      <c r="L595" s="2" t="s">
        <v>517</v>
      </c>
      <c r="M595" s="2" t="s">
        <v>32</v>
      </c>
      <c r="N595" s="4" t="s">
        <v>648</v>
      </c>
      <c r="O595" s="4" t="s">
        <v>312</v>
      </c>
      <c r="P595" s="4" t="s">
        <v>35</v>
      </c>
      <c r="Q595" s="150">
        <v>1180</v>
      </c>
      <c r="R595" s="150">
        <v>1</v>
      </c>
      <c r="S595" s="150">
        <v>332.1</v>
      </c>
      <c r="U595" s="150">
        <v>3.919</v>
      </c>
      <c r="V595" s="166">
        <v>2.4000000000000001E-5</v>
      </c>
      <c r="W595" s="166">
        <v>6.6930247513538902E-4</v>
      </c>
      <c r="X595" s="166">
        <v>4.0302725093592402E-5</v>
      </c>
    </row>
    <row r="596" spans="1:24">
      <c r="A596" s="4" t="s">
        <v>256</v>
      </c>
      <c r="B596" s="4">
        <v>7207</v>
      </c>
      <c r="C596" s="4" t="s">
        <v>1935</v>
      </c>
      <c r="D596" s="4" t="s">
        <v>1936</v>
      </c>
      <c r="E596" s="4" t="s">
        <v>1552</v>
      </c>
      <c r="F596" s="4" t="s">
        <v>1937</v>
      </c>
      <c r="G596" s="4" t="s">
        <v>1938</v>
      </c>
      <c r="H596" s="4" t="s">
        <v>511</v>
      </c>
      <c r="I596" s="4" t="s">
        <v>1121</v>
      </c>
      <c r="J596" s="4" t="s">
        <v>31</v>
      </c>
      <c r="K596" s="4" t="s">
        <v>31</v>
      </c>
      <c r="L596" s="2" t="s">
        <v>517</v>
      </c>
      <c r="M596" s="2" t="s">
        <v>32</v>
      </c>
      <c r="N596" s="4" t="s">
        <v>644</v>
      </c>
      <c r="O596" s="4" t="s">
        <v>312</v>
      </c>
      <c r="P596" s="4" t="s">
        <v>35</v>
      </c>
      <c r="Q596" s="150">
        <v>107</v>
      </c>
      <c r="R596" s="150">
        <v>1</v>
      </c>
      <c r="S596" s="150">
        <v>5050</v>
      </c>
      <c r="U596" s="150">
        <v>5.4039999999999999</v>
      </c>
      <c r="V596" s="166">
        <v>3.9999999999999998E-6</v>
      </c>
      <c r="W596" s="166">
        <v>9.2288312290918998E-4</v>
      </c>
      <c r="X596" s="166">
        <v>5.5572340127087101E-5</v>
      </c>
    </row>
    <row r="597" spans="1:24">
      <c r="A597" s="4" t="s">
        <v>256</v>
      </c>
      <c r="B597" s="4">
        <v>7207</v>
      </c>
      <c r="C597" s="4" t="s">
        <v>1939</v>
      </c>
      <c r="D597" s="4" t="s">
        <v>1940</v>
      </c>
      <c r="E597" s="4" t="s">
        <v>1552</v>
      </c>
      <c r="F597" s="4" t="s">
        <v>1941</v>
      </c>
      <c r="G597" s="4" t="s">
        <v>1942</v>
      </c>
      <c r="H597" s="4" t="s">
        <v>511</v>
      </c>
      <c r="I597" s="4" t="s">
        <v>1121</v>
      </c>
      <c r="J597" s="4" t="s">
        <v>31</v>
      </c>
      <c r="K597" s="4" t="s">
        <v>31</v>
      </c>
      <c r="L597" s="2" t="s">
        <v>517</v>
      </c>
      <c r="M597" s="2" t="s">
        <v>32</v>
      </c>
      <c r="N597" s="4" t="s">
        <v>673</v>
      </c>
      <c r="O597" s="4" t="s">
        <v>312</v>
      </c>
      <c r="P597" s="4" t="s">
        <v>35</v>
      </c>
      <c r="Q597" s="150">
        <v>1175</v>
      </c>
      <c r="R597" s="150">
        <v>1</v>
      </c>
      <c r="S597" s="150">
        <v>1535</v>
      </c>
      <c r="U597" s="150">
        <v>18.036000000000001</v>
      </c>
      <c r="V597" s="166">
        <v>6.0000000000000002E-6</v>
      </c>
      <c r="W597" s="166">
        <v>3.0804757519331699E-3</v>
      </c>
      <c r="X597" s="166">
        <v>1.8549396125051799E-4</v>
      </c>
    </row>
    <row r="598" spans="1:24">
      <c r="A598" s="4" t="s">
        <v>256</v>
      </c>
      <c r="B598" s="4">
        <v>7207</v>
      </c>
      <c r="C598" s="4" t="s">
        <v>1943</v>
      </c>
      <c r="D598" s="4" t="s">
        <v>1944</v>
      </c>
      <c r="E598" s="4" t="s">
        <v>1552</v>
      </c>
      <c r="F598" s="4" t="s">
        <v>1945</v>
      </c>
      <c r="G598" s="4" t="s">
        <v>1946</v>
      </c>
      <c r="H598" s="4" t="s">
        <v>511</v>
      </c>
      <c r="I598" s="4" t="s">
        <v>1121</v>
      </c>
      <c r="J598" s="4" t="s">
        <v>31</v>
      </c>
      <c r="K598" s="4" t="s">
        <v>489</v>
      </c>
      <c r="L598" s="2" t="s">
        <v>517</v>
      </c>
      <c r="M598" s="2" t="s">
        <v>32</v>
      </c>
      <c r="N598" s="4" t="s">
        <v>646</v>
      </c>
      <c r="O598" s="4" t="s">
        <v>312</v>
      </c>
      <c r="P598" s="4" t="s">
        <v>35</v>
      </c>
      <c r="Q598" s="150">
        <v>516</v>
      </c>
      <c r="R598" s="150">
        <v>1</v>
      </c>
      <c r="S598" s="150">
        <v>22930</v>
      </c>
      <c r="U598" s="150">
        <v>118.319</v>
      </c>
      <c r="V598" s="166">
        <v>4.0000000000000003E-5</v>
      </c>
      <c r="W598" s="166">
        <v>2.0208091726264098E-2</v>
      </c>
      <c r="X598" s="166">
        <v>1.21685067031161E-3</v>
      </c>
    </row>
    <row r="599" spans="1:24">
      <c r="A599" s="4" t="s">
        <v>256</v>
      </c>
      <c r="B599" s="4">
        <v>7207</v>
      </c>
      <c r="C599" s="4" t="s">
        <v>1947</v>
      </c>
      <c r="D599" s="4" t="s">
        <v>1948</v>
      </c>
      <c r="E599" s="4" t="s">
        <v>1552</v>
      </c>
      <c r="F599" s="4" t="s">
        <v>1949</v>
      </c>
      <c r="G599" s="4" t="s">
        <v>1950</v>
      </c>
      <c r="H599" s="4" t="s">
        <v>511</v>
      </c>
      <c r="I599" s="4" t="s">
        <v>1121</v>
      </c>
      <c r="J599" s="4" t="s">
        <v>31</v>
      </c>
      <c r="K599" s="4" t="s">
        <v>31</v>
      </c>
      <c r="L599" s="2" t="s">
        <v>517</v>
      </c>
      <c r="M599" s="2" t="s">
        <v>32</v>
      </c>
      <c r="N599" s="4" t="s">
        <v>635</v>
      </c>
      <c r="O599" s="4" t="s">
        <v>312</v>
      </c>
      <c r="P599" s="4" t="s">
        <v>35</v>
      </c>
      <c r="Q599" s="150">
        <v>471</v>
      </c>
      <c r="R599" s="150">
        <v>1</v>
      </c>
      <c r="S599" s="150">
        <v>7294</v>
      </c>
      <c r="U599" s="150">
        <v>34.354999999999997</v>
      </c>
      <c r="V599" s="166">
        <v>2.1999999999999999E-5</v>
      </c>
      <c r="W599" s="166">
        <v>5.8675691196323201E-3</v>
      </c>
      <c r="X599" s="166">
        <v>3.5332160567366397E-4</v>
      </c>
    </row>
    <row r="600" spans="1:24">
      <c r="A600" s="4" t="s">
        <v>256</v>
      </c>
      <c r="B600" s="4">
        <v>7207</v>
      </c>
      <c r="C600" s="4" t="s">
        <v>2066</v>
      </c>
      <c r="D600" s="4" t="s">
        <v>2067</v>
      </c>
      <c r="E600" s="4" t="s">
        <v>1552</v>
      </c>
      <c r="F600" s="4" t="s">
        <v>2068</v>
      </c>
      <c r="G600" s="4" t="s">
        <v>2069</v>
      </c>
      <c r="H600" s="4" t="s">
        <v>511</v>
      </c>
      <c r="I600" s="4" t="s">
        <v>1121</v>
      </c>
      <c r="J600" s="4" t="s">
        <v>31</v>
      </c>
      <c r="K600" s="4" t="s">
        <v>31</v>
      </c>
      <c r="L600" s="2" t="s">
        <v>517</v>
      </c>
      <c r="M600" s="2" t="s">
        <v>32</v>
      </c>
      <c r="N600" s="4" t="s">
        <v>651</v>
      </c>
      <c r="O600" s="4" t="s">
        <v>312</v>
      </c>
      <c r="P600" s="4" t="s">
        <v>35</v>
      </c>
      <c r="Q600" s="150">
        <v>20</v>
      </c>
      <c r="R600" s="150">
        <v>1</v>
      </c>
      <c r="S600" s="150">
        <v>19350</v>
      </c>
      <c r="U600" s="150">
        <v>3.87</v>
      </c>
      <c r="V600" s="166">
        <v>9.0000000000000002E-6</v>
      </c>
      <c r="W600" s="166">
        <v>6.6097116418220895E-4</v>
      </c>
      <c r="X600" s="166">
        <v>3.9801046782979001E-5</v>
      </c>
    </row>
    <row r="601" spans="1:24">
      <c r="A601" s="4" t="s">
        <v>256</v>
      </c>
      <c r="B601" s="4">
        <v>7207</v>
      </c>
      <c r="C601" s="4" t="s">
        <v>1951</v>
      </c>
      <c r="D601" s="4" t="s">
        <v>1952</v>
      </c>
      <c r="E601" s="4" t="s">
        <v>1552</v>
      </c>
      <c r="F601" s="4" t="s">
        <v>1953</v>
      </c>
      <c r="G601" s="4" t="s">
        <v>1954</v>
      </c>
      <c r="H601" s="4" t="s">
        <v>511</v>
      </c>
      <c r="I601" s="4" t="s">
        <v>1121</v>
      </c>
      <c r="J601" s="4" t="s">
        <v>31</v>
      </c>
      <c r="K601" s="4" t="s">
        <v>489</v>
      </c>
      <c r="L601" s="2" t="s">
        <v>517</v>
      </c>
      <c r="M601" s="2" t="s">
        <v>32</v>
      </c>
      <c r="N601" s="4" t="s">
        <v>646</v>
      </c>
      <c r="O601" s="4" t="s">
        <v>312</v>
      </c>
      <c r="P601" s="4" t="s">
        <v>35</v>
      </c>
      <c r="Q601" s="150">
        <v>42</v>
      </c>
      <c r="R601" s="150">
        <v>1</v>
      </c>
      <c r="S601" s="150">
        <v>47200</v>
      </c>
      <c r="U601" s="150">
        <v>19.824000000000002</v>
      </c>
      <c r="V601" s="166">
        <v>9.9999999999999995E-7</v>
      </c>
      <c r="W601" s="166">
        <v>3.3858119790046801E-3</v>
      </c>
      <c r="X601" s="166">
        <v>2.03880090807694E-4</v>
      </c>
    </row>
    <row r="602" spans="1:24">
      <c r="A602" s="4" t="s">
        <v>256</v>
      </c>
      <c r="B602" s="4">
        <v>7207</v>
      </c>
      <c r="C602" s="4" t="s">
        <v>1955</v>
      </c>
      <c r="D602" s="4" t="s">
        <v>1956</v>
      </c>
      <c r="E602" s="4" t="s">
        <v>505</v>
      </c>
      <c r="F602" s="4" t="s">
        <v>1957</v>
      </c>
      <c r="G602" s="4" t="s">
        <v>1958</v>
      </c>
      <c r="H602" s="4" t="s">
        <v>511</v>
      </c>
      <c r="I602" s="4" t="s">
        <v>1121</v>
      </c>
      <c r="J602" s="4" t="s">
        <v>31</v>
      </c>
      <c r="K602" s="4" t="s">
        <v>31</v>
      </c>
      <c r="L602" s="2" t="s">
        <v>517</v>
      </c>
      <c r="M602" s="2" t="s">
        <v>32</v>
      </c>
      <c r="N602" s="4" t="s">
        <v>639</v>
      </c>
      <c r="O602" s="4" t="s">
        <v>312</v>
      </c>
      <c r="P602" s="4" t="s">
        <v>35</v>
      </c>
      <c r="Q602" s="150">
        <v>952</v>
      </c>
      <c r="R602" s="150">
        <v>1</v>
      </c>
      <c r="S602" s="150">
        <v>9392</v>
      </c>
      <c r="U602" s="150">
        <v>89.412000000000006</v>
      </c>
      <c r="V602" s="166">
        <v>1.8E-5</v>
      </c>
      <c r="W602" s="166">
        <v>1.5270968469373E-2</v>
      </c>
      <c r="X602" s="166">
        <v>9.1955680278869097E-4</v>
      </c>
    </row>
    <row r="603" spans="1:24">
      <c r="A603" s="4" t="s">
        <v>256</v>
      </c>
      <c r="B603" s="4">
        <v>7207</v>
      </c>
      <c r="C603" s="4" t="s">
        <v>2070</v>
      </c>
      <c r="D603" s="4" t="s">
        <v>2071</v>
      </c>
      <c r="E603" s="4" t="s">
        <v>1552</v>
      </c>
      <c r="F603" s="4" t="s">
        <v>2072</v>
      </c>
      <c r="G603" s="4" t="s">
        <v>2073</v>
      </c>
      <c r="H603" s="4" t="s">
        <v>511</v>
      </c>
      <c r="I603" s="4" t="s">
        <v>1121</v>
      </c>
      <c r="J603" s="4" t="s">
        <v>31</v>
      </c>
      <c r="K603" s="4" t="s">
        <v>31</v>
      </c>
      <c r="L603" s="2" t="s">
        <v>517</v>
      </c>
      <c r="M603" s="2" t="s">
        <v>32</v>
      </c>
      <c r="N603" s="4" t="s">
        <v>638</v>
      </c>
      <c r="O603" s="4" t="s">
        <v>312</v>
      </c>
      <c r="P603" s="4" t="s">
        <v>35</v>
      </c>
      <c r="Q603" s="150">
        <v>26236.58</v>
      </c>
      <c r="R603" s="150">
        <v>1</v>
      </c>
      <c r="S603" s="150">
        <v>53.9</v>
      </c>
      <c r="U603" s="150">
        <v>14.141999999999999</v>
      </c>
      <c r="V603" s="166">
        <v>1.7699999999999999E-4</v>
      </c>
      <c r="W603" s="166">
        <v>2.4152802851740199E-3</v>
      </c>
      <c r="X603" s="166">
        <v>1.45438543817802E-4</v>
      </c>
    </row>
    <row r="604" spans="1:24">
      <c r="A604" s="4" t="s">
        <v>256</v>
      </c>
      <c r="B604" s="4">
        <v>7207</v>
      </c>
      <c r="C604" s="4" t="s">
        <v>1959</v>
      </c>
      <c r="D604" s="4" t="s">
        <v>1960</v>
      </c>
      <c r="E604" s="4" t="s">
        <v>1552</v>
      </c>
      <c r="F604" s="4" t="s">
        <v>1961</v>
      </c>
      <c r="G604" s="4" t="s">
        <v>1962</v>
      </c>
      <c r="H604" s="4" t="s">
        <v>511</v>
      </c>
      <c r="I604" s="4" t="s">
        <v>1121</v>
      </c>
      <c r="J604" s="4" t="s">
        <v>31</v>
      </c>
      <c r="K604" s="4" t="s">
        <v>31</v>
      </c>
      <c r="L604" s="2" t="s">
        <v>517</v>
      </c>
      <c r="M604" s="2" t="s">
        <v>32</v>
      </c>
      <c r="N604" s="4" t="s">
        <v>647</v>
      </c>
      <c r="O604" s="4" t="s">
        <v>312</v>
      </c>
      <c r="P604" s="4" t="s">
        <v>35</v>
      </c>
      <c r="Q604" s="150">
        <v>63</v>
      </c>
      <c r="R604" s="150">
        <v>1</v>
      </c>
      <c r="S604" s="150">
        <v>6285</v>
      </c>
      <c r="U604" s="150">
        <v>3.96</v>
      </c>
      <c r="V604" s="166">
        <v>5.0000000000000004E-6</v>
      </c>
      <c r="W604" s="166">
        <v>6.7626572949293601E-4</v>
      </c>
      <c r="X604" s="166">
        <v>4.0722024493422401E-5</v>
      </c>
    </row>
    <row r="605" spans="1:24">
      <c r="A605" s="4" t="s">
        <v>256</v>
      </c>
      <c r="B605" s="4">
        <v>7207</v>
      </c>
      <c r="C605" s="4" t="s">
        <v>1963</v>
      </c>
      <c r="D605" s="4" t="s">
        <v>1964</v>
      </c>
      <c r="E605" s="4" t="s">
        <v>1552</v>
      </c>
      <c r="F605" s="4" t="s">
        <v>1965</v>
      </c>
      <c r="G605" s="4" t="s">
        <v>1966</v>
      </c>
      <c r="H605" s="4" t="s">
        <v>511</v>
      </c>
      <c r="I605" s="4" t="s">
        <v>1121</v>
      </c>
      <c r="J605" s="4" t="s">
        <v>31</v>
      </c>
      <c r="K605" s="4" t="s">
        <v>31</v>
      </c>
      <c r="L605" s="2" t="s">
        <v>517</v>
      </c>
      <c r="M605" s="2" t="s">
        <v>32</v>
      </c>
      <c r="N605" s="4" t="s">
        <v>644</v>
      </c>
      <c r="O605" s="4" t="s">
        <v>312</v>
      </c>
      <c r="P605" s="4" t="s">
        <v>35</v>
      </c>
      <c r="Q605" s="150">
        <v>4435</v>
      </c>
      <c r="R605" s="150">
        <v>1</v>
      </c>
      <c r="S605" s="150">
        <v>207.6</v>
      </c>
      <c r="U605" s="150">
        <v>9.2070000000000007</v>
      </c>
      <c r="V605" s="166">
        <v>5.1999999999999997E-5</v>
      </c>
      <c r="W605" s="166">
        <v>1.5725067614716899E-3</v>
      </c>
      <c r="X605" s="166">
        <v>9.4690084184417199E-5</v>
      </c>
    </row>
    <row r="606" spans="1:24">
      <c r="A606" s="4" t="s">
        <v>256</v>
      </c>
      <c r="B606" s="4">
        <v>7207</v>
      </c>
      <c r="C606" s="4" t="s">
        <v>1967</v>
      </c>
      <c r="D606" s="4" t="s">
        <v>1968</v>
      </c>
      <c r="E606" s="4" t="s">
        <v>1552</v>
      </c>
      <c r="F606" s="4" t="s">
        <v>1969</v>
      </c>
      <c r="G606" s="4" t="s">
        <v>1970</v>
      </c>
      <c r="H606" s="4" t="s">
        <v>511</v>
      </c>
      <c r="I606" s="4" t="s">
        <v>1121</v>
      </c>
      <c r="J606" s="4" t="s">
        <v>31</v>
      </c>
      <c r="K606" s="4" t="s">
        <v>31</v>
      </c>
      <c r="L606" s="2" t="s">
        <v>517</v>
      </c>
      <c r="M606" s="2" t="s">
        <v>32</v>
      </c>
      <c r="N606" s="4" t="s">
        <v>664</v>
      </c>
      <c r="O606" s="4" t="s">
        <v>312</v>
      </c>
      <c r="P606" s="4" t="s">
        <v>35</v>
      </c>
      <c r="Q606" s="150">
        <v>290</v>
      </c>
      <c r="R606" s="150">
        <v>1</v>
      </c>
      <c r="S606" s="150">
        <v>5970</v>
      </c>
      <c r="U606" s="150">
        <v>17.312999999999999</v>
      </c>
      <c r="V606" s="166">
        <v>6.0000000000000002E-6</v>
      </c>
      <c r="W606" s="166">
        <v>2.9569492934073799E-3</v>
      </c>
      <c r="X606" s="166">
        <v>1.7805569068571499E-4</v>
      </c>
    </row>
    <row r="607" spans="1:24">
      <c r="A607" s="4" t="s">
        <v>256</v>
      </c>
      <c r="B607" s="4">
        <v>7207</v>
      </c>
      <c r="C607" s="4" t="s">
        <v>1971</v>
      </c>
      <c r="D607" s="4" t="s">
        <v>1972</v>
      </c>
      <c r="E607" s="4" t="s">
        <v>1552</v>
      </c>
      <c r="F607" s="4" t="s">
        <v>1973</v>
      </c>
      <c r="G607" s="4" t="s">
        <v>1974</v>
      </c>
      <c r="H607" s="4" t="s">
        <v>511</v>
      </c>
      <c r="I607" s="4" t="s">
        <v>1121</v>
      </c>
      <c r="J607" s="4" t="s">
        <v>31</v>
      </c>
      <c r="K607" s="4" t="s">
        <v>31</v>
      </c>
      <c r="L607" s="2" t="s">
        <v>517</v>
      </c>
      <c r="M607" s="2" t="s">
        <v>32</v>
      </c>
      <c r="N607" s="4" t="s">
        <v>644</v>
      </c>
      <c r="O607" s="4" t="s">
        <v>312</v>
      </c>
      <c r="P607" s="4" t="s">
        <v>35</v>
      </c>
      <c r="Q607" s="150">
        <v>338</v>
      </c>
      <c r="R607" s="150">
        <v>1</v>
      </c>
      <c r="S607" s="150">
        <v>1190</v>
      </c>
      <c r="U607" s="150">
        <v>4.0220000000000002</v>
      </c>
      <c r="V607" s="166">
        <v>2.0000000000000002E-5</v>
      </c>
      <c r="W607" s="166">
        <v>6.86965947435059E-4</v>
      </c>
      <c r="X607" s="166">
        <v>4.1366348932945299E-5</v>
      </c>
    </row>
    <row r="608" spans="1:24">
      <c r="A608" s="4" t="s">
        <v>256</v>
      </c>
      <c r="B608" s="4">
        <v>7207</v>
      </c>
      <c r="C608" s="4" t="s">
        <v>1975</v>
      </c>
      <c r="D608" s="4" t="s">
        <v>1976</v>
      </c>
      <c r="E608" s="4" t="s">
        <v>1552</v>
      </c>
      <c r="F608" s="4" t="s">
        <v>1977</v>
      </c>
      <c r="G608" s="4" t="s">
        <v>1978</v>
      </c>
      <c r="H608" s="4" t="s">
        <v>511</v>
      </c>
      <c r="I608" s="4" t="s">
        <v>1121</v>
      </c>
      <c r="J608" s="4" t="s">
        <v>31</v>
      </c>
      <c r="K608" s="4" t="s">
        <v>31</v>
      </c>
      <c r="L608" s="2" t="s">
        <v>517</v>
      </c>
      <c r="M608" s="2" t="s">
        <v>32</v>
      </c>
      <c r="N608" s="4" t="s">
        <v>664</v>
      </c>
      <c r="O608" s="4" t="s">
        <v>312</v>
      </c>
      <c r="P608" s="4" t="s">
        <v>35</v>
      </c>
      <c r="Q608" s="150">
        <v>1880</v>
      </c>
      <c r="R608" s="150">
        <v>1</v>
      </c>
      <c r="S608" s="150">
        <v>2472</v>
      </c>
      <c r="U608" s="150">
        <v>46.473999999999997</v>
      </c>
      <c r="V608" s="166">
        <v>6.9999999999999999E-6</v>
      </c>
      <c r="W608" s="166">
        <v>7.9373926345576995E-3</v>
      </c>
      <c r="X608" s="166">
        <v>4.7795812087169298E-4</v>
      </c>
    </row>
    <row r="609" spans="1:24">
      <c r="A609" s="4" t="s">
        <v>256</v>
      </c>
      <c r="B609" s="4">
        <v>7207</v>
      </c>
      <c r="C609" s="4" t="s">
        <v>1979</v>
      </c>
      <c r="D609" s="4" t="s">
        <v>1980</v>
      </c>
      <c r="E609" s="4" t="s">
        <v>1552</v>
      </c>
      <c r="F609" s="4" t="s">
        <v>1981</v>
      </c>
      <c r="G609" s="4" t="s">
        <v>1982</v>
      </c>
      <c r="H609" s="4" t="s">
        <v>511</v>
      </c>
      <c r="I609" s="4" t="s">
        <v>1121</v>
      </c>
      <c r="J609" s="4" t="s">
        <v>31</v>
      </c>
      <c r="K609" s="4" t="s">
        <v>31</v>
      </c>
      <c r="L609" s="2" t="s">
        <v>517</v>
      </c>
      <c r="M609" s="2" t="s">
        <v>32</v>
      </c>
      <c r="N609" s="4" t="s">
        <v>647</v>
      </c>
      <c r="O609" s="4" t="s">
        <v>312</v>
      </c>
      <c r="P609" s="4" t="s">
        <v>35</v>
      </c>
      <c r="Q609" s="150">
        <v>2261</v>
      </c>
      <c r="R609" s="150">
        <v>1</v>
      </c>
      <c r="S609" s="150">
        <v>5599</v>
      </c>
      <c r="U609" s="150">
        <v>126.593</v>
      </c>
      <c r="V609" s="166">
        <v>1.9000000000000001E-5</v>
      </c>
      <c r="W609" s="166">
        <v>2.1621338595884301E-2</v>
      </c>
      <c r="X609" s="166">
        <v>1.3019507591229701E-3</v>
      </c>
    </row>
    <row r="610" spans="1:24">
      <c r="A610" s="4" t="s">
        <v>256</v>
      </c>
      <c r="B610" s="4">
        <v>7207</v>
      </c>
      <c r="C610" s="4" t="s">
        <v>1983</v>
      </c>
      <c r="D610" s="4" t="s">
        <v>1984</v>
      </c>
      <c r="E610" s="4" t="s">
        <v>1552</v>
      </c>
      <c r="F610" s="4" t="s">
        <v>1985</v>
      </c>
      <c r="G610" s="4" t="s">
        <v>1986</v>
      </c>
      <c r="H610" s="4" t="s">
        <v>511</v>
      </c>
      <c r="I610" s="4" t="s">
        <v>1121</v>
      </c>
      <c r="J610" s="4" t="s">
        <v>31</v>
      </c>
      <c r="K610" s="4" t="s">
        <v>489</v>
      </c>
      <c r="L610" s="2" t="s">
        <v>517</v>
      </c>
      <c r="M610" s="2" t="s">
        <v>32</v>
      </c>
      <c r="N610" s="4" t="s">
        <v>643</v>
      </c>
      <c r="O610" s="4" t="s">
        <v>312</v>
      </c>
      <c r="P610" s="4" t="s">
        <v>35</v>
      </c>
      <c r="Q610" s="150">
        <v>540</v>
      </c>
      <c r="R610" s="150">
        <v>1</v>
      </c>
      <c r="S610" s="150">
        <v>5620</v>
      </c>
      <c r="U610" s="150">
        <v>30.347999999999999</v>
      </c>
      <c r="V610" s="166">
        <v>5.0000000000000004E-6</v>
      </c>
      <c r="W610" s="166">
        <v>5.1832436409823398E-3</v>
      </c>
      <c r="X610" s="166">
        <v>3.12114255237687E-4</v>
      </c>
    </row>
    <row r="611" spans="1:24">
      <c r="A611" s="4" t="s">
        <v>256</v>
      </c>
      <c r="B611" s="4">
        <v>7207</v>
      </c>
      <c r="C611" s="4" t="s">
        <v>1987</v>
      </c>
      <c r="D611" s="4" t="s">
        <v>1988</v>
      </c>
      <c r="E611" s="4" t="s">
        <v>1552</v>
      </c>
      <c r="F611" s="4" t="s">
        <v>1989</v>
      </c>
      <c r="G611" s="4" t="s">
        <v>1990</v>
      </c>
      <c r="H611" s="4" t="s">
        <v>511</v>
      </c>
      <c r="I611" s="4" t="s">
        <v>1121</v>
      </c>
      <c r="J611" s="4" t="s">
        <v>31</v>
      </c>
      <c r="K611" s="4" t="s">
        <v>489</v>
      </c>
      <c r="L611" s="2" t="s">
        <v>517</v>
      </c>
      <c r="M611" s="2" t="s">
        <v>32</v>
      </c>
      <c r="N611" s="4" t="s">
        <v>647</v>
      </c>
      <c r="O611" s="4" t="s">
        <v>312</v>
      </c>
      <c r="P611" s="4" t="s">
        <v>35</v>
      </c>
      <c r="Q611" s="150">
        <v>2143</v>
      </c>
      <c r="R611" s="150">
        <v>1</v>
      </c>
      <c r="S611" s="150">
        <v>1708</v>
      </c>
      <c r="U611" s="150">
        <v>36.601999999999997</v>
      </c>
      <c r="V611" s="166">
        <v>2.0999999999999999E-5</v>
      </c>
      <c r="W611" s="166">
        <v>6.2514618549636804E-3</v>
      </c>
      <c r="X611" s="166">
        <v>3.7643809478325101E-4</v>
      </c>
    </row>
    <row r="612" spans="1:24">
      <c r="A612" s="4" t="s">
        <v>256</v>
      </c>
      <c r="B612" s="4">
        <v>7207</v>
      </c>
      <c r="C612" s="4" t="s">
        <v>2086</v>
      </c>
      <c r="D612" s="4" t="s">
        <v>2087</v>
      </c>
      <c r="E612" s="4" t="s">
        <v>505</v>
      </c>
      <c r="F612" s="4" t="s">
        <v>2088</v>
      </c>
      <c r="G612" s="4" t="s">
        <v>2089</v>
      </c>
      <c r="H612" s="4" t="s">
        <v>511</v>
      </c>
      <c r="I612" s="4" t="s">
        <v>1121</v>
      </c>
      <c r="J612" s="4" t="s">
        <v>154</v>
      </c>
      <c r="K612" s="4" t="s">
        <v>431</v>
      </c>
      <c r="L612" s="2" t="s">
        <v>517</v>
      </c>
      <c r="M612" s="2" t="s">
        <v>557</v>
      </c>
      <c r="N612" s="4" t="s">
        <v>757</v>
      </c>
      <c r="O612" s="4" t="s">
        <v>312</v>
      </c>
      <c r="P612" s="4" t="s">
        <v>169</v>
      </c>
      <c r="Q612" s="150">
        <v>5558.65</v>
      </c>
      <c r="R612" s="150">
        <v>4.0199999999999996</v>
      </c>
      <c r="S612" s="150">
        <v>1.966</v>
      </c>
      <c r="U612" s="150">
        <v>43.923000000000002</v>
      </c>
      <c r="V612" s="166">
        <v>6.9999999999999999E-6</v>
      </c>
      <c r="W612" s="166">
        <v>7.5017326951734298E-3</v>
      </c>
      <c r="X612" s="166">
        <v>4.5172441724203999E-4</v>
      </c>
    </row>
    <row r="613" spans="1:24">
      <c r="A613" s="4" t="s">
        <v>256</v>
      </c>
      <c r="B613" s="4">
        <v>7207</v>
      </c>
      <c r="C613" s="4" t="s">
        <v>2090</v>
      </c>
      <c r="D613" s="4" t="s">
        <v>2091</v>
      </c>
      <c r="E613" s="4" t="s">
        <v>505</v>
      </c>
      <c r="F613" s="4" t="s">
        <v>2092</v>
      </c>
      <c r="G613" s="4" t="s">
        <v>2093</v>
      </c>
      <c r="H613" s="4" t="s">
        <v>511</v>
      </c>
      <c r="I613" s="4" t="s">
        <v>1121</v>
      </c>
      <c r="J613" s="4" t="s">
        <v>154</v>
      </c>
      <c r="K613" s="4" t="s">
        <v>426</v>
      </c>
      <c r="L613" s="2" t="s">
        <v>517</v>
      </c>
      <c r="M613" s="2" t="s">
        <v>535</v>
      </c>
      <c r="N613" s="4" t="s">
        <v>723</v>
      </c>
      <c r="O613" s="4" t="s">
        <v>312</v>
      </c>
      <c r="P613" s="4" t="s">
        <v>159</v>
      </c>
      <c r="Q613" s="150">
        <v>450</v>
      </c>
      <c r="R613" s="150">
        <v>3.7589999999999999</v>
      </c>
      <c r="S613" s="150">
        <v>7799</v>
      </c>
      <c r="U613" s="150">
        <v>131.92400000000001</v>
      </c>
      <c r="V613" s="166">
        <v>0</v>
      </c>
      <c r="W613" s="166">
        <v>2.2531769927266299E-2</v>
      </c>
      <c r="X613" s="166">
        <v>1.35677330203656E-3</v>
      </c>
    </row>
    <row r="614" spans="1:24">
      <c r="A614" s="4" t="s">
        <v>256</v>
      </c>
      <c r="B614" s="4">
        <v>7207</v>
      </c>
      <c r="C614" s="4" t="s">
        <v>2094</v>
      </c>
      <c r="D614" s="4" t="s">
        <v>2095</v>
      </c>
      <c r="E614" s="4" t="s">
        <v>505</v>
      </c>
      <c r="F614" s="4" t="s">
        <v>2096</v>
      </c>
      <c r="G614" s="4" t="s">
        <v>2097</v>
      </c>
      <c r="H614" s="4" t="s">
        <v>511</v>
      </c>
      <c r="I614" s="4" t="s">
        <v>1121</v>
      </c>
      <c r="J614" s="4" t="s">
        <v>154</v>
      </c>
      <c r="K614" s="4" t="s">
        <v>155</v>
      </c>
      <c r="L614" s="2" t="s">
        <v>517</v>
      </c>
      <c r="M614" s="2" t="s">
        <v>535</v>
      </c>
      <c r="N614" s="4" t="s">
        <v>1999</v>
      </c>
      <c r="O614" s="4" t="s">
        <v>312</v>
      </c>
      <c r="P614" s="4" t="s">
        <v>159</v>
      </c>
      <c r="Q614" s="150">
        <v>850</v>
      </c>
      <c r="R614" s="150">
        <v>3.7589999999999999</v>
      </c>
      <c r="S614" s="150">
        <v>500</v>
      </c>
      <c r="U614" s="150">
        <v>15.976000000000001</v>
      </c>
      <c r="V614" s="166">
        <v>4.1999999999999998E-5</v>
      </c>
      <c r="W614" s="166">
        <v>2.72855557524132E-3</v>
      </c>
      <c r="X614" s="166">
        <v>1.6430273207833999E-4</v>
      </c>
    </row>
    <row r="615" spans="1:24">
      <c r="A615" s="4" t="s">
        <v>256</v>
      </c>
      <c r="B615" s="4">
        <v>7207</v>
      </c>
      <c r="C615" s="4" t="s">
        <v>2123</v>
      </c>
      <c r="D615" s="4" t="s">
        <v>2124</v>
      </c>
      <c r="E615" s="4" t="s">
        <v>1552</v>
      </c>
      <c r="F615" s="4" t="s">
        <v>2125</v>
      </c>
      <c r="G615" s="4" t="s">
        <v>2126</v>
      </c>
      <c r="H615" s="4" t="s">
        <v>511</v>
      </c>
      <c r="I615" s="4" t="s">
        <v>1121</v>
      </c>
      <c r="J615" s="4" t="s">
        <v>154</v>
      </c>
      <c r="K615" s="4" t="s">
        <v>155</v>
      </c>
      <c r="L615" s="2" t="s">
        <v>517</v>
      </c>
      <c r="M615" s="2" t="s">
        <v>535</v>
      </c>
      <c r="N615" s="4" t="s">
        <v>719</v>
      </c>
      <c r="O615" s="4" t="s">
        <v>312</v>
      </c>
      <c r="P615" s="4" t="s">
        <v>159</v>
      </c>
      <c r="Q615" s="150">
        <v>176</v>
      </c>
      <c r="R615" s="150">
        <v>3.7589999999999999</v>
      </c>
      <c r="S615" s="150">
        <v>1824</v>
      </c>
      <c r="U615" s="150">
        <v>12.067</v>
      </c>
      <c r="V615" s="166">
        <v>1.9999999999999999E-6</v>
      </c>
      <c r="W615" s="166">
        <v>2.0610160587912199E-3</v>
      </c>
      <c r="X615" s="166">
        <v>1.2410616532403999E-4</v>
      </c>
    </row>
    <row r="616" spans="1:24">
      <c r="A616" s="4" t="s">
        <v>256</v>
      </c>
      <c r="B616" s="4">
        <v>7207</v>
      </c>
      <c r="C616" s="4" t="s">
        <v>2127</v>
      </c>
      <c r="D616" s="4" t="s">
        <v>2128</v>
      </c>
      <c r="E616" s="4" t="s">
        <v>505</v>
      </c>
      <c r="F616" s="4" t="s">
        <v>2129</v>
      </c>
      <c r="G616" s="4" t="s">
        <v>2130</v>
      </c>
      <c r="H616" s="4" t="s">
        <v>511</v>
      </c>
      <c r="I616" s="4" t="s">
        <v>1121</v>
      </c>
      <c r="J616" s="4" t="s">
        <v>154</v>
      </c>
      <c r="K616" s="4" t="s">
        <v>155</v>
      </c>
      <c r="L616" s="2" t="s">
        <v>517</v>
      </c>
      <c r="M616" s="2" t="s">
        <v>156</v>
      </c>
      <c r="N616" s="4" t="s">
        <v>678</v>
      </c>
      <c r="O616" s="4" t="s">
        <v>312</v>
      </c>
      <c r="P616" s="4" t="s">
        <v>159</v>
      </c>
      <c r="Q616" s="150">
        <v>310.36</v>
      </c>
      <c r="R616" s="150">
        <v>3.7589999999999999</v>
      </c>
      <c r="S616" s="150">
        <v>9521</v>
      </c>
      <c r="T616" s="149">
        <v>9.2999999999999999E-2</v>
      </c>
      <c r="U616" s="150">
        <v>111.426</v>
      </c>
      <c r="V616" s="166">
        <v>9.9999999999999995E-7</v>
      </c>
      <c r="W616" s="166">
        <v>1.9030760816135899E-2</v>
      </c>
      <c r="X616" s="166">
        <v>1.14595649947281E-3</v>
      </c>
    </row>
    <row r="617" spans="1:24">
      <c r="A617" s="4" t="s">
        <v>256</v>
      </c>
      <c r="B617" s="4">
        <v>7207</v>
      </c>
      <c r="C617" s="4" t="s">
        <v>1991</v>
      </c>
      <c r="D617" s="4" t="s">
        <v>1992</v>
      </c>
      <c r="E617" s="4" t="s">
        <v>505</v>
      </c>
      <c r="F617" s="4" t="s">
        <v>1993</v>
      </c>
      <c r="G617" s="4" t="s">
        <v>1994</v>
      </c>
      <c r="H617" s="4" t="s">
        <v>511</v>
      </c>
      <c r="I617" s="4" t="s">
        <v>1121</v>
      </c>
      <c r="J617" s="4" t="s">
        <v>154</v>
      </c>
      <c r="K617" s="4" t="s">
        <v>155</v>
      </c>
      <c r="L617" s="2" t="s">
        <v>517</v>
      </c>
      <c r="M617" s="2" t="s">
        <v>156</v>
      </c>
      <c r="N617" s="4" t="s">
        <v>723</v>
      </c>
      <c r="O617" s="4" t="s">
        <v>312</v>
      </c>
      <c r="P617" s="4" t="s">
        <v>159</v>
      </c>
      <c r="Q617" s="150">
        <v>190</v>
      </c>
      <c r="R617" s="150">
        <v>3.7589999999999999</v>
      </c>
      <c r="S617" s="150">
        <v>14616</v>
      </c>
      <c r="U617" s="150">
        <v>104.389</v>
      </c>
      <c r="V617" s="166">
        <v>0</v>
      </c>
      <c r="W617" s="166">
        <v>1.7828959940395701E-2</v>
      </c>
      <c r="X617" s="166">
        <v>1.0735888449196101E-3</v>
      </c>
    </row>
    <row r="618" spans="1:24">
      <c r="A618" s="4" t="s">
        <v>256</v>
      </c>
      <c r="B618" s="4">
        <v>7207</v>
      </c>
      <c r="C618" s="4" t="s">
        <v>1995</v>
      </c>
      <c r="D618" s="4" t="s">
        <v>1996</v>
      </c>
      <c r="E618" s="4" t="s">
        <v>1552</v>
      </c>
      <c r="F618" s="4" t="s">
        <v>1997</v>
      </c>
      <c r="G618" s="4" t="s">
        <v>1998</v>
      </c>
      <c r="H618" s="4" t="s">
        <v>511</v>
      </c>
      <c r="I618" s="4" t="s">
        <v>1121</v>
      </c>
      <c r="J618" s="4" t="s">
        <v>31</v>
      </c>
      <c r="K618" s="4" t="s">
        <v>155</v>
      </c>
      <c r="L618" s="2" t="s">
        <v>517</v>
      </c>
      <c r="M618" s="2" t="s">
        <v>535</v>
      </c>
      <c r="N618" s="4" t="s">
        <v>1999</v>
      </c>
      <c r="O618" s="4" t="s">
        <v>312</v>
      </c>
      <c r="P618" s="4" t="s">
        <v>159</v>
      </c>
      <c r="Q618" s="150">
        <v>381</v>
      </c>
      <c r="R618" s="150">
        <v>3.7589999999999999</v>
      </c>
      <c r="S618" s="150">
        <v>1464</v>
      </c>
      <c r="U618" s="150">
        <v>20.966999999999999</v>
      </c>
      <c r="V618" s="166">
        <v>7.9999999999999996E-6</v>
      </c>
      <c r="W618" s="166">
        <v>3.5810462187774298E-3</v>
      </c>
      <c r="X618" s="166">
        <v>2.1563631790490599E-4</v>
      </c>
    </row>
    <row r="619" spans="1:24">
      <c r="A619" s="4" t="s">
        <v>256</v>
      </c>
      <c r="B619" s="4">
        <v>7207</v>
      </c>
      <c r="C619" s="4" t="s">
        <v>2000</v>
      </c>
      <c r="D619" s="4" t="s">
        <v>2001</v>
      </c>
      <c r="E619" s="4" t="s">
        <v>505</v>
      </c>
      <c r="F619" s="4" t="s">
        <v>2000</v>
      </c>
      <c r="G619" s="4" t="s">
        <v>2002</v>
      </c>
      <c r="H619" s="4" t="s">
        <v>511</v>
      </c>
      <c r="I619" s="4" t="s">
        <v>1121</v>
      </c>
      <c r="J619" s="4" t="s">
        <v>154</v>
      </c>
      <c r="K619" s="4" t="s">
        <v>155</v>
      </c>
      <c r="L619" s="2" t="s">
        <v>517</v>
      </c>
      <c r="M619" s="2" t="s">
        <v>156</v>
      </c>
      <c r="N619" s="4" t="s">
        <v>723</v>
      </c>
      <c r="O619" s="4" t="s">
        <v>312</v>
      </c>
      <c r="P619" s="4" t="s">
        <v>159</v>
      </c>
      <c r="Q619" s="150">
        <v>482</v>
      </c>
      <c r="R619" s="150">
        <v>3.7589999999999999</v>
      </c>
      <c r="S619" s="150">
        <v>2798</v>
      </c>
      <c r="U619" s="150">
        <v>50.695</v>
      </c>
      <c r="V619" s="166">
        <v>0</v>
      </c>
      <c r="W619" s="166">
        <v>8.6584194747556607E-3</v>
      </c>
      <c r="X619" s="166">
        <v>5.2137548089224597E-4</v>
      </c>
    </row>
    <row r="620" spans="1:24">
      <c r="A620" s="4" t="s">
        <v>256</v>
      </c>
      <c r="B620" s="4">
        <v>7207</v>
      </c>
      <c r="C620" s="4" t="s">
        <v>2003</v>
      </c>
      <c r="D620" s="4" t="s">
        <v>2004</v>
      </c>
      <c r="E620" s="4" t="s">
        <v>1552</v>
      </c>
      <c r="F620" s="4" t="s">
        <v>2005</v>
      </c>
      <c r="G620" s="4" t="s">
        <v>2006</v>
      </c>
      <c r="H620" s="4" t="s">
        <v>511</v>
      </c>
      <c r="I620" s="4" t="s">
        <v>1121</v>
      </c>
      <c r="J620" s="4" t="s">
        <v>31</v>
      </c>
      <c r="K620" s="4" t="s">
        <v>31</v>
      </c>
      <c r="L620" s="2" t="s">
        <v>517</v>
      </c>
      <c r="M620" s="2" t="s">
        <v>535</v>
      </c>
      <c r="N620" s="4" t="s">
        <v>733</v>
      </c>
      <c r="O620" s="4" t="s">
        <v>312</v>
      </c>
      <c r="P620" s="4" t="s">
        <v>159</v>
      </c>
      <c r="Q620" s="150">
        <v>910</v>
      </c>
      <c r="R620" s="150">
        <v>3.7589999999999999</v>
      </c>
      <c r="S620" s="150">
        <v>935</v>
      </c>
      <c r="U620" s="150">
        <v>31.983000000000001</v>
      </c>
      <c r="V620" s="166">
        <v>7.1000000000000005E-5</v>
      </c>
      <c r="W620" s="166">
        <v>5.4625682616331302E-3</v>
      </c>
      <c r="X620" s="166">
        <v>3.28934069620837E-4</v>
      </c>
    </row>
    <row r="621" spans="1:24">
      <c r="A621" s="4" t="s">
        <v>256</v>
      </c>
      <c r="B621" s="4">
        <v>7207</v>
      </c>
      <c r="C621" s="4" t="s">
        <v>2007</v>
      </c>
      <c r="D621" s="4" t="s">
        <v>2008</v>
      </c>
      <c r="E621" s="4" t="s">
        <v>505</v>
      </c>
      <c r="F621" s="4" t="s">
        <v>2009</v>
      </c>
      <c r="G621" s="4" t="s">
        <v>2010</v>
      </c>
      <c r="H621" s="4" t="s">
        <v>511</v>
      </c>
      <c r="I621" s="4" t="s">
        <v>1121</v>
      </c>
      <c r="J621" s="4" t="s">
        <v>154</v>
      </c>
      <c r="K621" s="4" t="s">
        <v>155</v>
      </c>
      <c r="L621" s="2" t="s">
        <v>517</v>
      </c>
      <c r="M621" s="2" t="s">
        <v>535</v>
      </c>
      <c r="N621" s="4" t="s">
        <v>737</v>
      </c>
      <c r="O621" s="4" t="s">
        <v>312</v>
      </c>
      <c r="P621" s="4" t="s">
        <v>159</v>
      </c>
      <c r="Q621" s="150">
        <v>117</v>
      </c>
      <c r="R621" s="150">
        <v>3.7589999999999999</v>
      </c>
      <c r="S621" s="150">
        <v>25.26</v>
      </c>
      <c r="U621" s="150">
        <v>11.109</v>
      </c>
      <c r="V621" s="166">
        <v>1.9999999999999999E-6</v>
      </c>
      <c r="W621" s="166">
        <v>1.89741828663052E-3</v>
      </c>
      <c r="X621" s="166">
        <v>1.14254960103287E-4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54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15" width="11.6640625" style="2" customWidth="1"/>
    <col min="16" max="16" width="11.6640625" style="4" customWidth="1"/>
    <col min="17" max="18" width="11.6640625" style="2" customWidth="1"/>
    <col min="19" max="19" width="11.6640625" style="132" customWidth="1"/>
    <col min="20" max="24" width="11.6640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759</v>
      </c>
      <c r="N1" s="19" t="s">
        <v>298</v>
      </c>
      <c r="O1" s="19" t="s">
        <v>11</v>
      </c>
      <c r="P1" s="19" t="s">
        <v>17</v>
      </c>
      <c r="Q1" s="19" t="s">
        <v>18</v>
      </c>
      <c r="R1" s="19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 t="s">
        <v>26</v>
      </c>
      <c r="B2" s="20">
        <v>13711</v>
      </c>
      <c r="C2" s="20" t="s">
        <v>1560</v>
      </c>
      <c r="D2" s="20" t="s">
        <v>1561</v>
      </c>
      <c r="E2" s="18" t="s">
        <v>1552</v>
      </c>
      <c r="F2" s="20" t="s">
        <v>1562</v>
      </c>
      <c r="G2" s="20" t="s">
        <v>1563</v>
      </c>
      <c r="H2" s="18" t="s">
        <v>511</v>
      </c>
      <c r="I2" s="20" t="s">
        <v>1169</v>
      </c>
      <c r="J2" s="18" t="s">
        <v>31</v>
      </c>
      <c r="K2" s="18" t="s">
        <v>155</v>
      </c>
      <c r="L2" s="18" t="s">
        <v>32</v>
      </c>
      <c r="M2" s="20" t="s">
        <v>1564</v>
      </c>
      <c r="N2" s="20" t="s">
        <v>312</v>
      </c>
      <c r="O2" s="18" t="s">
        <v>35</v>
      </c>
      <c r="P2" s="151">
        <v>3116</v>
      </c>
      <c r="Q2" s="152">
        <v>1</v>
      </c>
      <c r="R2" s="152">
        <v>8781</v>
      </c>
      <c r="S2" s="131"/>
      <c r="T2" s="152">
        <v>273.61599999999999</v>
      </c>
      <c r="U2" s="170">
        <v>4.1999999999999998E-5</v>
      </c>
      <c r="V2" s="170">
        <v>4.6008301230113499E-2</v>
      </c>
      <c r="W2" s="170">
        <v>7.45344243860781E-3</v>
      </c>
    </row>
    <row r="3" spans="1:23">
      <c r="A3" s="20" t="s">
        <v>26</v>
      </c>
      <c r="B3" s="20">
        <v>13711</v>
      </c>
      <c r="C3" s="20" t="s">
        <v>1560</v>
      </c>
      <c r="D3" s="20" t="s">
        <v>1561</v>
      </c>
      <c r="E3" s="18" t="s">
        <v>1552</v>
      </c>
      <c r="F3" s="20" t="s">
        <v>1565</v>
      </c>
      <c r="G3" s="20" t="s">
        <v>1566</v>
      </c>
      <c r="H3" s="18" t="s">
        <v>511</v>
      </c>
      <c r="I3" s="20" t="s">
        <v>1169</v>
      </c>
      <c r="J3" s="18" t="s">
        <v>31</v>
      </c>
      <c r="K3" s="18" t="s">
        <v>155</v>
      </c>
      <c r="L3" s="18" t="s">
        <v>32</v>
      </c>
      <c r="M3" s="20" t="s">
        <v>1567</v>
      </c>
      <c r="N3" s="20" t="s">
        <v>312</v>
      </c>
      <c r="O3" s="18" t="s">
        <v>35</v>
      </c>
      <c r="P3" s="151">
        <v>2323</v>
      </c>
      <c r="Q3" s="152">
        <v>1</v>
      </c>
      <c r="R3" s="152">
        <v>6815</v>
      </c>
      <c r="S3" s="131"/>
      <c r="T3" s="152">
        <v>158.31200000000001</v>
      </c>
      <c r="U3" s="170">
        <v>5.1599999999999997E-4</v>
      </c>
      <c r="V3" s="170">
        <v>2.6620109762885501E-2</v>
      </c>
      <c r="W3" s="170">
        <v>4.3125142750809397E-3</v>
      </c>
    </row>
    <row r="4" spans="1:23">
      <c r="A4" s="20" t="s">
        <v>26</v>
      </c>
      <c r="B4" s="20">
        <v>13711</v>
      </c>
      <c r="C4" s="20" t="s">
        <v>1568</v>
      </c>
      <c r="D4" s="20" t="s">
        <v>1569</v>
      </c>
      <c r="E4" s="18" t="s">
        <v>1552</v>
      </c>
      <c r="F4" s="20" t="s">
        <v>1570</v>
      </c>
      <c r="G4" s="20" t="s">
        <v>1571</v>
      </c>
      <c r="H4" s="18" t="s">
        <v>511</v>
      </c>
      <c r="I4" s="20" t="s">
        <v>1169</v>
      </c>
      <c r="J4" s="18" t="s">
        <v>31</v>
      </c>
      <c r="K4" s="18" t="s">
        <v>155</v>
      </c>
      <c r="L4" s="18" t="s">
        <v>32</v>
      </c>
      <c r="M4" s="20" t="s">
        <v>1564</v>
      </c>
      <c r="N4" s="20" t="s">
        <v>312</v>
      </c>
      <c r="O4" s="18" t="s">
        <v>35</v>
      </c>
      <c r="P4" s="151">
        <v>1788</v>
      </c>
      <c r="Q4" s="152">
        <v>1</v>
      </c>
      <c r="R4" s="152">
        <v>17620</v>
      </c>
      <c r="S4" s="131"/>
      <c r="T4" s="152">
        <v>315.04599999999999</v>
      </c>
      <c r="U4" s="170">
        <v>2.43E-4</v>
      </c>
      <c r="V4" s="170">
        <v>5.2974661514707803E-2</v>
      </c>
      <c r="W4" s="170">
        <v>8.5820075887994892E-3</v>
      </c>
    </row>
    <row r="5" spans="1:23">
      <c r="A5" s="20" t="s">
        <v>26</v>
      </c>
      <c r="B5" s="20">
        <v>13711</v>
      </c>
      <c r="C5" s="20" t="s">
        <v>1572</v>
      </c>
      <c r="D5" s="20" t="s">
        <v>1573</v>
      </c>
      <c r="E5" s="18" t="s">
        <v>505</v>
      </c>
      <c r="F5" s="20" t="s">
        <v>1574</v>
      </c>
      <c r="G5" s="20" t="s">
        <v>1575</v>
      </c>
      <c r="H5" s="18" t="s">
        <v>511</v>
      </c>
      <c r="I5" s="20" t="s">
        <v>1169</v>
      </c>
      <c r="J5" s="18" t="s">
        <v>154</v>
      </c>
      <c r="K5" s="18" t="s">
        <v>155</v>
      </c>
      <c r="L5" s="18" t="s">
        <v>156</v>
      </c>
      <c r="M5" s="20" t="s">
        <v>925</v>
      </c>
      <c r="N5" s="20" t="s">
        <v>312</v>
      </c>
      <c r="O5" s="18" t="s">
        <v>159</v>
      </c>
      <c r="P5" s="151">
        <v>153</v>
      </c>
      <c r="Q5" s="152">
        <v>3.7589999999999999</v>
      </c>
      <c r="R5" s="152">
        <v>7658</v>
      </c>
      <c r="S5" s="131"/>
      <c r="T5" s="152">
        <v>44.042999999999999</v>
      </c>
      <c r="U5" s="170">
        <v>9.9999999999999995E-7</v>
      </c>
      <c r="V5" s="170">
        <v>7.4058325885344601E-3</v>
      </c>
      <c r="W5" s="170">
        <v>1.19976059608301E-3</v>
      </c>
    </row>
    <row r="6" spans="1:23">
      <c r="A6" s="20" t="s">
        <v>26</v>
      </c>
      <c r="B6" s="20">
        <v>13711</v>
      </c>
      <c r="C6" s="20" t="s">
        <v>1572</v>
      </c>
      <c r="D6" s="20" t="s">
        <v>1573</v>
      </c>
      <c r="E6" s="18" t="s">
        <v>505</v>
      </c>
      <c r="F6" s="20" t="s">
        <v>1576</v>
      </c>
      <c r="G6" s="20" t="s">
        <v>1577</v>
      </c>
      <c r="H6" s="18" t="s">
        <v>511</v>
      </c>
      <c r="I6" s="20" t="s">
        <v>1169</v>
      </c>
      <c r="J6" s="18" t="s">
        <v>154</v>
      </c>
      <c r="K6" s="18" t="s">
        <v>155</v>
      </c>
      <c r="L6" s="18" t="s">
        <v>156</v>
      </c>
      <c r="M6" s="20" t="s">
        <v>925</v>
      </c>
      <c r="N6" s="20" t="s">
        <v>312</v>
      </c>
      <c r="O6" s="18" t="s">
        <v>159</v>
      </c>
      <c r="P6" s="151">
        <v>314</v>
      </c>
      <c r="Q6" s="152">
        <v>3.7589999999999999</v>
      </c>
      <c r="R6" s="152">
        <v>4111</v>
      </c>
      <c r="S6" s="131"/>
      <c r="T6" s="152">
        <v>48.523000000000003</v>
      </c>
      <c r="U6" s="170">
        <v>0</v>
      </c>
      <c r="V6" s="170">
        <v>8.1591369444402404E-3</v>
      </c>
      <c r="W6" s="170">
        <v>1.32179750041064E-3</v>
      </c>
    </row>
    <row r="7" spans="1:23">
      <c r="A7" s="20" t="s">
        <v>26</v>
      </c>
      <c r="B7" s="20">
        <v>13711</v>
      </c>
      <c r="C7" s="20" t="s">
        <v>1572</v>
      </c>
      <c r="D7" s="20" t="s">
        <v>1573</v>
      </c>
      <c r="E7" s="18" t="s">
        <v>505</v>
      </c>
      <c r="F7" s="20" t="s">
        <v>1578</v>
      </c>
      <c r="G7" s="20" t="s">
        <v>1579</v>
      </c>
      <c r="H7" s="18" t="s">
        <v>511</v>
      </c>
      <c r="I7" s="20" t="s">
        <v>1169</v>
      </c>
      <c r="J7" s="18" t="s">
        <v>154</v>
      </c>
      <c r="K7" s="18" t="s">
        <v>155</v>
      </c>
      <c r="L7" s="18" t="s">
        <v>156</v>
      </c>
      <c r="M7" s="20" t="s">
        <v>925</v>
      </c>
      <c r="N7" s="20" t="s">
        <v>312</v>
      </c>
      <c r="O7" s="18" t="s">
        <v>159</v>
      </c>
      <c r="P7" s="151">
        <v>90</v>
      </c>
      <c r="Q7" s="152">
        <v>3.7589999999999999</v>
      </c>
      <c r="R7" s="152">
        <v>14575</v>
      </c>
      <c r="S7" s="131"/>
      <c r="T7" s="152">
        <v>49.308999999999997</v>
      </c>
      <c r="U7" s="170">
        <v>0</v>
      </c>
      <c r="V7" s="170">
        <v>8.2912148754773797E-3</v>
      </c>
      <c r="W7" s="170">
        <v>1.34319440553591E-3</v>
      </c>
    </row>
    <row r="8" spans="1:23">
      <c r="A8" s="20" t="s">
        <v>26</v>
      </c>
      <c r="B8" s="20">
        <v>13711</v>
      </c>
      <c r="C8" s="20" t="s">
        <v>1580</v>
      </c>
      <c r="D8" s="20" t="s">
        <v>1581</v>
      </c>
      <c r="E8" s="18" t="s">
        <v>505</v>
      </c>
      <c r="F8" s="20" t="s">
        <v>1582</v>
      </c>
      <c r="G8" s="20" t="s">
        <v>1583</v>
      </c>
      <c r="H8" s="18" t="s">
        <v>511</v>
      </c>
      <c r="I8" s="20" t="s">
        <v>1169</v>
      </c>
      <c r="J8" s="18" t="s">
        <v>154</v>
      </c>
      <c r="K8" s="18" t="s">
        <v>155</v>
      </c>
      <c r="L8" s="18" t="s">
        <v>535</v>
      </c>
      <c r="M8" s="20" t="s">
        <v>925</v>
      </c>
      <c r="N8" s="20" t="s">
        <v>312</v>
      </c>
      <c r="O8" s="18" t="s">
        <v>159</v>
      </c>
      <c r="P8" s="151">
        <v>145</v>
      </c>
      <c r="Q8" s="152">
        <v>3.7589999999999999</v>
      </c>
      <c r="R8" s="152">
        <v>19711</v>
      </c>
      <c r="S8" s="131"/>
      <c r="T8" s="152">
        <v>107.43600000000001</v>
      </c>
      <c r="U8" s="170">
        <v>0</v>
      </c>
      <c r="V8" s="170">
        <v>1.80652409220717E-2</v>
      </c>
      <c r="W8" s="170">
        <v>2.9266073676311498E-3</v>
      </c>
    </row>
    <row r="9" spans="1:23">
      <c r="A9" s="20" t="s">
        <v>26</v>
      </c>
      <c r="B9" s="20">
        <v>13711</v>
      </c>
      <c r="C9" s="20" t="s">
        <v>1584</v>
      </c>
      <c r="D9" s="20" t="s">
        <v>1585</v>
      </c>
      <c r="E9" s="18" t="s">
        <v>505</v>
      </c>
      <c r="F9" s="20" t="s">
        <v>1586</v>
      </c>
      <c r="G9" s="20" t="s">
        <v>1587</v>
      </c>
      <c r="H9" s="18" t="s">
        <v>511</v>
      </c>
      <c r="I9" s="20" t="s">
        <v>1169</v>
      </c>
      <c r="J9" s="18" t="s">
        <v>154</v>
      </c>
      <c r="K9" s="18" t="s">
        <v>155</v>
      </c>
      <c r="L9" s="18" t="s">
        <v>569</v>
      </c>
      <c r="M9" s="20" t="s">
        <v>925</v>
      </c>
      <c r="N9" s="20" t="s">
        <v>312</v>
      </c>
      <c r="O9" s="18" t="s">
        <v>159</v>
      </c>
      <c r="P9" s="151">
        <v>3405</v>
      </c>
      <c r="Q9" s="152">
        <v>3.7589999999999999</v>
      </c>
      <c r="R9" s="152">
        <v>3431</v>
      </c>
      <c r="S9" s="131"/>
      <c r="T9" s="152">
        <v>439.14699999999999</v>
      </c>
      <c r="U9" s="170">
        <v>2.5000000000000001E-5</v>
      </c>
      <c r="V9" s="170">
        <v>7.3842251800710995E-2</v>
      </c>
      <c r="W9" s="170">
        <v>1.19626015005646E-2</v>
      </c>
    </row>
    <row r="10" spans="1:23">
      <c r="A10" s="20" t="s">
        <v>26</v>
      </c>
      <c r="B10" s="20">
        <v>13711</v>
      </c>
      <c r="C10" s="20" t="s">
        <v>1588</v>
      </c>
      <c r="D10" s="20" t="s">
        <v>1589</v>
      </c>
      <c r="E10" s="18" t="s">
        <v>505</v>
      </c>
      <c r="F10" s="20" t="s">
        <v>1590</v>
      </c>
      <c r="G10" s="20" t="s">
        <v>1591</v>
      </c>
      <c r="H10" s="18" t="s">
        <v>511</v>
      </c>
      <c r="I10" s="20" t="s">
        <v>1169</v>
      </c>
      <c r="J10" s="18" t="s">
        <v>154</v>
      </c>
      <c r="K10" s="18" t="s">
        <v>474</v>
      </c>
      <c r="L10" s="18" t="s">
        <v>553</v>
      </c>
      <c r="M10" s="20" t="s">
        <v>925</v>
      </c>
      <c r="N10" s="20" t="s">
        <v>312</v>
      </c>
      <c r="O10" s="18" t="s">
        <v>169</v>
      </c>
      <c r="P10" s="151">
        <v>326</v>
      </c>
      <c r="Q10" s="152">
        <v>4.0199999999999996</v>
      </c>
      <c r="R10" s="152">
        <v>23725</v>
      </c>
      <c r="S10" s="131"/>
      <c r="T10" s="152">
        <v>310.93599999999998</v>
      </c>
      <c r="U10" s="170">
        <v>0</v>
      </c>
      <c r="V10" s="170">
        <v>5.2283692567853798E-2</v>
      </c>
      <c r="W10" s="170">
        <v>8.4700691530271502E-3</v>
      </c>
    </row>
    <row r="11" spans="1:23">
      <c r="A11" s="20" t="s">
        <v>26</v>
      </c>
      <c r="B11" s="20">
        <v>13711</v>
      </c>
      <c r="C11" s="20" t="s">
        <v>1580</v>
      </c>
      <c r="D11" s="20" t="s">
        <v>1581</v>
      </c>
      <c r="E11" s="18" t="s">
        <v>505</v>
      </c>
      <c r="F11" s="20" t="s">
        <v>1592</v>
      </c>
      <c r="G11" s="20" t="s">
        <v>1593</v>
      </c>
      <c r="H11" s="18" t="s">
        <v>511</v>
      </c>
      <c r="I11" s="20" t="s">
        <v>1169</v>
      </c>
      <c r="J11" s="18" t="s">
        <v>154</v>
      </c>
      <c r="K11" s="18" t="s">
        <v>155</v>
      </c>
      <c r="L11" s="18" t="s">
        <v>569</v>
      </c>
      <c r="M11" s="20" t="s">
        <v>925</v>
      </c>
      <c r="N11" s="20" t="s">
        <v>312</v>
      </c>
      <c r="O11" s="18" t="s">
        <v>159</v>
      </c>
      <c r="P11" s="151">
        <v>1163</v>
      </c>
      <c r="Q11" s="152">
        <v>3.7589999999999999</v>
      </c>
      <c r="R11" s="152">
        <v>47911</v>
      </c>
      <c r="S11" s="153">
        <v>0.66300000000000003</v>
      </c>
      <c r="T11" s="152">
        <v>2097.0259999999998</v>
      </c>
      <c r="U11" s="170">
        <v>0</v>
      </c>
      <c r="V11" s="170">
        <v>0.35261323587384502</v>
      </c>
      <c r="W11" s="170">
        <v>5.7124092531300401E-2</v>
      </c>
    </row>
    <row r="12" spans="1:23">
      <c r="A12" s="20" t="s">
        <v>26</v>
      </c>
      <c r="B12" s="20">
        <v>13711</v>
      </c>
      <c r="C12" s="20" t="s">
        <v>1580</v>
      </c>
      <c r="D12" s="20" t="s">
        <v>1581</v>
      </c>
      <c r="E12" s="18" t="s">
        <v>505</v>
      </c>
      <c r="F12" s="20" t="s">
        <v>1594</v>
      </c>
      <c r="G12" s="20" t="s">
        <v>1595</v>
      </c>
      <c r="H12" s="18" t="s">
        <v>511</v>
      </c>
      <c r="I12" s="20" t="s">
        <v>1169</v>
      </c>
      <c r="J12" s="18" t="s">
        <v>154</v>
      </c>
      <c r="K12" s="18" t="s">
        <v>155</v>
      </c>
      <c r="L12" s="18" t="s">
        <v>569</v>
      </c>
      <c r="M12" s="20" t="s">
        <v>925</v>
      </c>
      <c r="N12" s="20" t="s">
        <v>312</v>
      </c>
      <c r="O12" s="18" t="s">
        <v>159</v>
      </c>
      <c r="P12" s="151">
        <v>507</v>
      </c>
      <c r="Q12" s="152">
        <v>3.7589999999999999</v>
      </c>
      <c r="R12" s="152">
        <v>107787</v>
      </c>
      <c r="S12" s="131"/>
      <c r="T12" s="152">
        <v>2054.2190000000001</v>
      </c>
      <c r="U12" s="170">
        <v>5.0000000000000002E-5</v>
      </c>
      <c r="V12" s="170">
        <v>0.34541519735927001</v>
      </c>
      <c r="W12" s="170">
        <v>5.5957995016181601E-2</v>
      </c>
    </row>
    <row r="13" spans="1:23">
      <c r="A13" s="20" t="s">
        <v>26</v>
      </c>
      <c r="B13" s="20">
        <v>13711</v>
      </c>
      <c r="C13" s="20" t="s">
        <v>1572</v>
      </c>
      <c r="D13" s="20" t="s">
        <v>1573</v>
      </c>
      <c r="E13" s="18" t="s">
        <v>505</v>
      </c>
      <c r="F13" s="20" t="s">
        <v>1596</v>
      </c>
      <c r="G13" s="20" t="s">
        <v>1597</v>
      </c>
      <c r="H13" s="18" t="s">
        <v>511</v>
      </c>
      <c r="I13" s="20" t="s">
        <v>1169</v>
      </c>
      <c r="J13" s="18" t="s">
        <v>154</v>
      </c>
      <c r="K13" s="18" t="s">
        <v>155</v>
      </c>
      <c r="L13" s="18" t="s">
        <v>156</v>
      </c>
      <c r="M13" s="20" t="s">
        <v>925</v>
      </c>
      <c r="N13" s="20" t="s">
        <v>312</v>
      </c>
      <c r="O13" s="18" t="s">
        <v>159</v>
      </c>
      <c r="P13" s="151">
        <v>142</v>
      </c>
      <c r="Q13" s="152">
        <v>3.7589999999999999</v>
      </c>
      <c r="R13" s="152">
        <v>9271</v>
      </c>
      <c r="S13" s="131"/>
      <c r="T13" s="152">
        <v>49.487000000000002</v>
      </c>
      <c r="U13" s="170">
        <v>0</v>
      </c>
      <c r="V13" s="170">
        <v>8.3211245600901193E-3</v>
      </c>
      <c r="W13" s="170">
        <v>1.34803983791784E-3</v>
      </c>
    </row>
    <row r="14" spans="1:23">
      <c r="A14" s="20" t="s">
        <v>256</v>
      </c>
      <c r="B14" s="20">
        <v>556</v>
      </c>
      <c r="C14" s="20" t="s">
        <v>1560</v>
      </c>
      <c r="D14" s="20" t="s">
        <v>1561</v>
      </c>
      <c r="E14" s="18" t="s">
        <v>1552</v>
      </c>
      <c r="F14" s="20" t="s">
        <v>1562</v>
      </c>
      <c r="G14" s="20" t="s">
        <v>1563</v>
      </c>
      <c r="H14" s="18" t="s">
        <v>511</v>
      </c>
      <c r="I14" s="20" t="s">
        <v>1169</v>
      </c>
      <c r="J14" s="18" t="s">
        <v>31</v>
      </c>
      <c r="K14" s="18" t="s">
        <v>155</v>
      </c>
      <c r="L14" s="18" t="s">
        <v>32</v>
      </c>
      <c r="M14" s="20" t="s">
        <v>1564</v>
      </c>
      <c r="N14" s="20" t="s">
        <v>312</v>
      </c>
      <c r="O14" s="18" t="s">
        <v>35</v>
      </c>
      <c r="P14" s="151">
        <v>11913</v>
      </c>
      <c r="Q14" s="152">
        <v>1</v>
      </c>
      <c r="R14" s="152">
        <v>8781</v>
      </c>
      <c r="S14" s="131"/>
      <c r="T14" s="152">
        <v>1046.0809999999999</v>
      </c>
      <c r="U14" s="170">
        <v>1.6000000000000001E-4</v>
      </c>
      <c r="V14" s="170">
        <v>5.9397260251502999E-2</v>
      </c>
      <c r="W14" s="170">
        <v>3.2798496796522E-3</v>
      </c>
    </row>
    <row r="15" spans="1:23">
      <c r="A15" s="20" t="s">
        <v>256</v>
      </c>
      <c r="B15" s="20">
        <v>556</v>
      </c>
      <c r="C15" s="20" t="s">
        <v>1598</v>
      </c>
      <c r="D15" s="20" t="s">
        <v>1599</v>
      </c>
      <c r="E15" s="18" t="s">
        <v>1552</v>
      </c>
      <c r="F15" s="20" t="s">
        <v>1600</v>
      </c>
      <c r="G15" s="20" t="s">
        <v>1601</v>
      </c>
      <c r="H15" s="18" t="s">
        <v>511</v>
      </c>
      <c r="I15" s="20" t="s">
        <v>1169</v>
      </c>
      <c r="J15" s="18" t="s">
        <v>31</v>
      </c>
      <c r="K15" s="18" t="s">
        <v>155</v>
      </c>
      <c r="L15" s="18" t="s">
        <v>32</v>
      </c>
      <c r="M15" s="20" t="s">
        <v>1564</v>
      </c>
      <c r="N15" s="20" t="s">
        <v>312</v>
      </c>
      <c r="O15" s="18" t="s">
        <v>35</v>
      </c>
      <c r="P15" s="151">
        <v>6561</v>
      </c>
      <c r="Q15" s="152">
        <v>1</v>
      </c>
      <c r="R15" s="152">
        <v>24140</v>
      </c>
      <c r="S15" s="131"/>
      <c r="T15" s="152">
        <v>1583.825</v>
      </c>
      <c r="U15" s="170">
        <v>4.06E-4</v>
      </c>
      <c r="V15" s="170">
        <v>8.9930829203694995E-2</v>
      </c>
      <c r="W15" s="170">
        <v>4.9658788992229998E-3</v>
      </c>
    </row>
    <row r="16" spans="1:23">
      <c r="A16" s="20" t="s">
        <v>256</v>
      </c>
      <c r="B16" s="20">
        <v>556</v>
      </c>
      <c r="C16" s="20" t="s">
        <v>1572</v>
      </c>
      <c r="D16" s="20" t="s">
        <v>1573</v>
      </c>
      <c r="E16" s="18" t="s">
        <v>505</v>
      </c>
      <c r="F16" s="20" t="s">
        <v>1574</v>
      </c>
      <c r="G16" s="20" t="s">
        <v>1575</v>
      </c>
      <c r="H16" s="18" t="s">
        <v>511</v>
      </c>
      <c r="I16" s="20" t="s">
        <v>1169</v>
      </c>
      <c r="J16" s="18" t="s">
        <v>154</v>
      </c>
      <c r="K16" s="18" t="s">
        <v>155</v>
      </c>
      <c r="L16" s="18" t="s">
        <v>156</v>
      </c>
      <c r="M16" s="20" t="s">
        <v>925</v>
      </c>
      <c r="N16" s="20" t="s">
        <v>312</v>
      </c>
      <c r="O16" s="18" t="s">
        <v>159</v>
      </c>
      <c r="P16" s="151">
        <v>5377</v>
      </c>
      <c r="Q16" s="152">
        <v>3.7589999999999999</v>
      </c>
      <c r="R16" s="152">
        <v>7658</v>
      </c>
      <c r="S16" s="131"/>
      <c r="T16" s="152">
        <v>1547.846</v>
      </c>
      <c r="U16" s="170">
        <v>2.5999999999999998E-5</v>
      </c>
      <c r="V16" s="170">
        <v>8.7887886032376406E-2</v>
      </c>
      <c r="W16" s="170">
        <v>4.8530698828201302E-3</v>
      </c>
    </row>
    <row r="17" spans="1:23">
      <c r="A17" s="20" t="s">
        <v>256</v>
      </c>
      <c r="B17" s="20">
        <v>556</v>
      </c>
      <c r="C17" s="20" t="s">
        <v>1572</v>
      </c>
      <c r="D17" s="20" t="s">
        <v>1573</v>
      </c>
      <c r="E17" s="18" t="s">
        <v>505</v>
      </c>
      <c r="F17" s="20" t="s">
        <v>1576</v>
      </c>
      <c r="G17" s="20" t="s">
        <v>1577</v>
      </c>
      <c r="H17" s="18" t="s">
        <v>511</v>
      </c>
      <c r="I17" s="20" t="s">
        <v>1169</v>
      </c>
      <c r="J17" s="18" t="s">
        <v>154</v>
      </c>
      <c r="K17" s="18" t="s">
        <v>155</v>
      </c>
      <c r="L17" s="18" t="s">
        <v>156</v>
      </c>
      <c r="M17" s="20" t="s">
        <v>925</v>
      </c>
      <c r="N17" s="20" t="s">
        <v>312</v>
      </c>
      <c r="O17" s="18" t="s">
        <v>159</v>
      </c>
      <c r="P17" s="151">
        <v>5241</v>
      </c>
      <c r="Q17" s="152">
        <v>3.7589999999999999</v>
      </c>
      <c r="R17" s="152">
        <v>4111</v>
      </c>
      <c r="S17" s="131"/>
      <c r="T17" s="152">
        <v>809.90499999999997</v>
      </c>
      <c r="U17" s="170">
        <v>6.0000000000000002E-6</v>
      </c>
      <c r="V17" s="170">
        <v>4.5987018802407097E-2</v>
      </c>
      <c r="W17" s="170">
        <v>2.5393512806580702E-3</v>
      </c>
    </row>
    <row r="18" spans="1:23">
      <c r="A18" s="20" t="s">
        <v>256</v>
      </c>
      <c r="B18" s="20">
        <v>556</v>
      </c>
      <c r="C18" s="20" t="s">
        <v>1572</v>
      </c>
      <c r="D18" s="20" t="s">
        <v>1573</v>
      </c>
      <c r="E18" s="18" t="s">
        <v>505</v>
      </c>
      <c r="F18" s="20" t="s">
        <v>1578</v>
      </c>
      <c r="G18" s="20" t="s">
        <v>1579</v>
      </c>
      <c r="H18" s="18" t="s">
        <v>511</v>
      </c>
      <c r="I18" s="20" t="s">
        <v>1169</v>
      </c>
      <c r="J18" s="18" t="s">
        <v>154</v>
      </c>
      <c r="K18" s="18" t="s">
        <v>155</v>
      </c>
      <c r="L18" s="18" t="s">
        <v>156</v>
      </c>
      <c r="M18" s="20" t="s">
        <v>925</v>
      </c>
      <c r="N18" s="20" t="s">
        <v>312</v>
      </c>
      <c r="O18" s="18" t="s">
        <v>159</v>
      </c>
      <c r="P18" s="151">
        <v>1102</v>
      </c>
      <c r="Q18" s="152">
        <v>3.7589999999999999</v>
      </c>
      <c r="R18" s="152">
        <v>14575</v>
      </c>
      <c r="S18" s="131"/>
      <c r="T18" s="152">
        <v>603.75699999999995</v>
      </c>
      <c r="U18" s="170">
        <v>5.0000000000000004E-6</v>
      </c>
      <c r="V18" s="170">
        <v>3.4281812713220498E-2</v>
      </c>
      <c r="W18" s="170">
        <v>1.8930030100589999E-3</v>
      </c>
    </row>
    <row r="19" spans="1:23">
      <c r="A19" s="20" t="s">
        <v>256</v>
      </c>
      <c r="B19" s="20">
        <v>556</v>
      </c>
      <c r="C19" s="20" t="s">
        <v>1580</v>
      </c>
      <c r="D19" s="20" t="s">
        <v>1581</v>
      </c>
      <c r="E19" s="18" t="s">
        <v>505</v>
      </c>
      <c r="F19" s="20" t="s">
        <v>1582</v>
      </c>
      <c r="G19" s="20" t="s">
        <v>1583</v>
      </c>
      <c r="H19" s="18" t="s">
        <v>511</v>
      </c>
      <c r="I19" s="20" t="s">
        <v>1169</v>
      </c>
      <c r="J19" s="18" t="s">
        <v>154</v>
      </c>
      <c r="K19" s="18" t="s">
        <v>155</v>
      </c>
      <c r="L19" s="18" t="s">
        <v>535</v>
      </c>
      <c r="M19" s="20" t="s">
        <v>925</v>
      </c>
      <c r="N19" s="20" t="s">
        <v>312</v>
      </c>
      <c r="O19" s="18" t="s">
        <v>159</v>
      </c>
      <c r="P19" s="151">
        <v>290</v>
      </c>
      <c r="Q19" s="152">
        <v>3.7589999999999999</v>
      </c>
      <c r="R19" s="152">
        <v>19711</v>
      </c>
      <c r="S19" s="131"/>
      <c r="T19" s="152">
        <v>214.87200000000001</v>
      </c>
      <c r="U19" s="170">
        <v>0</v>
      </c>
      <c r="V19" s="170">
        <v>1.22005743502806E-2</v>
      </c>
      <c r="W19" s="170">
        <v>6.7370194694001801E-4</v>
      </c>
    </row>
    <row r="20" spans="1:23">
      <c r="A20" s="2" t="s">
        <v>256</v>
      </c>
      <c r="B20" s="2">
        <v>556</v>
      </c>
      <c r="C20" s="2" t="s">
        <v>1584</v>
      </c>
      <c r="D20" s="2" t="s">
        <v>1585</v>
      </c>
      <c r="E20" s="18" t="s">
        <v>505</v>
      </c>
      <c r="F20" s="2" t="s">
        <v>1586</v>
      </c>
      <c r="G20" s="2" t="s">
        <v>1587</v>
      </c>
      <c r="H20" s="18" t="s">
        <v>511</v>
      </c>
      <c r="I20" s="20" t="s">
        <v>1169</v>
      </c>
      <c r="J20" s="18" t="s">
        <v>154</v>
      </c>
      <c r="K20" s="18" t="s">
        <v>155</v>
      </c>
      <c r="L20" s="18" t="s">
        <v>569</v>
      </c>
      <c r="M20" s="20" t="s">
        <v>925</v>
      </c>
      <c r="N20" s="20" t="s">
        <v>312</v>
      </c>
      <c r="O20" s="2" t="s">
        <v>159</v>
      </c>
      <c r="P20" s="151">
        <v>8316</v>
      </c>
      <c r="Q20" s="149">
        <v>3.7589999999999999</v>
      </c>
      <c r="R20" s="149">
        <v>3431</v>
      </c>
      <c r="T20" s="149">
        <v>1072.5250000000001</v>
      </c>
      <c r="U20" s="164">
        <v>6.2000000000000003E-5</v>
      </c>
      <c r="V20" s="164">
        <v>6.0898811739074001E-2</v>
      </c>
      <c r="W20" s="164">
        <v>3.3627636582538702E-3</v>
      </c>
    </row>
    <row r="21" spans="1:23">
      <c r="A21" s="2" t="s">
        <v>256</v>
      </c>
      <c r="B21" s="2">
        <v>556</v>
      </c>
      <c r="C21" s="2" t="s">
        <v>1588</v>
      </c>
      <c r="D21" s="2" t="s">
        <v>1589</v>
      </c>
      <c r="E21" s="4" t="s">
        <v>505</v>
      </c>
      <c r="F21" s="2" t="s">
        <v>1590</v>
      </c>
      <c r="G21" s="2" t="s">
        <v>1591</v>
      </c>
      <c r="H21" s="4" t="s">
        <v>511</v>
      </c>
      <c r="I21" s="2" t="s">
        <v>1169</v>
      </c>
      <c r="J21" s="2" t="s">
        <v>154</v>
      </c>
      <c r="K21" s="2" t="s">
        <v>474</v>
      </c>
      <c r="L21" s="4" t="s">
        <v>553</v>
      </c>
      <c r="M21" s="2" t="s">
        <v>925</v>
      </c>
      <c r="N21" s="2" t="s">
        <v>312</v>
      </c>
      <c r="O21" s="2" t="s">
        <v>169</v>
      </c>
      <c r="P21" s="150">
        <v>3261</v>
      </c>
      <c r="Q21" s="149">
        <v>4.0199999999999996</v>
      </c>
      <c r="R21" s="149">
        <v>23725</v>
      </c>
      <c r="T21" s="149">
        <v>3110.317</v>
      </c>
      <c r="U21" s="164">
        <v>0</v>
      </c>
      <c r="V21" s="164">
        <v>0.17660621116092501</v>
      </c>
      <c r="W21" s="164">
        <v>9.7519956753576199E-3</v>
      </c>
    </row>
    <row r="22" spans="1:23">
      <c r="A22" s="2" t="s">
        <v>256</v>
      </c>
      <c r="B22" s="2">
        <v>556</v>
      </c>
      <c r="C22" s="2" t="s">
        <v>1580</v>
      </c>
      <c r="D22" s="2" t="s">
        <v>1581</v>
      </c>
      <c r="E22" s="4" t="s">
        <v>505</v>
      </c>
      <c r="F22" s="2" t="s">
        <v>1592</v>
      </c>
      <c r="G22" s="2" t="s">
        <v>1593</v>
      </c>
      <c r="H22" s="2" t="s">
        <v>511</v>
      </c>
      <c r="I22" s="2" t="s">
        <v>1169</v>
      </c>
      <c r="J22" s="2" t="s">
        <v>154</v>
      </c>
      <c r="K22" s="2" t="s">
        <v>155</v>
      </c>
      <c r="L22" s="4" t="s">
        <v>569</v>
      </c>
      <c r="M22" s="2" t="s">
        <v>925</v>
      </c>
      <c r="N22" s="2" t="s">
        <v>312</v>
      </c>
      <c r="O22" s="2" t="s">
        <v>159</v>
      </c>
      <c r="P22" s="150">
        <v>3602</v>
      </c>
      <c r="Q22" s="149">
        <v>3.7589999999999999</v>
      </c>
      <c r="R22" s="149">
        <v>47911</v>
      </c>
      <c r="S22" s="154">
        <v>2.0539999999999998</v>
      </c>
      <c r="T22" s="149">
        <v>6494.8310000000001</v>
      </c>
      <c r="U22" s="164">
        <v>0</v>
      </c>
      <c r="V22" s="164">
        <v>0.36878150473773302</v>
      </c>
      <c r="W22" s="164">
        <v>2.0363698511584202E-2</v>
      </c>
    </row>
    <row r="23" spans="1:23">
      <c r="A23" s="2" t="s">
        <v>256</v>
      </c>
      <c r="B23" s="2">
        <v>556</v>
      </c>
      <c r="C23" s="2" t="s">
        <v>1580</v>
      </c>
      <c r="D23" s="2" t="s">
        <v>1581</v>
      </c>
      <c r="E23" s="4" t="s">
        <v>505</v>
      </c>
      <c r="F23" s="2" t="s">
        <v>1594</v>
      </c>
      <c r="G23" s="2" t="s">
        <v>1595</v>
      </c>
      <c r="H23" s="2" t="s">
        <v>511</v>
      </c>
      <c r="I23" s="2" t="s">
        <v>1169</v>
      </c>
      <c r="J23" s="2" t="s">
        <v>154</v>
      </c>
      <c r="K23" s="2" t="s">
        <v>155</v>
      </c>
      <c r="L23" s="2" t="s">
        <v>569</v>
      </c>
      <c r="M23" s="2" t="s">
        <v>925</v>
      </c>
      <c r="N23" s="2" t="s">
        <v>312</v>
      </c>
      <c r="O23" s="2" t="s">
        <v>159</v>
      </c>
      <c r="P23" s="150">
        <v>172</v>
      </c>
      <c r="Q23" s="149">
        <v>3.7589999999999999</v>
      </c>
      <c r="R23" s="149">
        <v>107787</v>
      </c>
      <c r="T23" s="149">
        <v>696.89499999999998</v>
      </c>
      <c r="U23" s="164">
        <v>1.7E-5</v>
      </c>
      <c r="V23" s="164">
        <v>3.95702187801516E-2</v>
      </c>
      <c r="W23" s="164">
        <v>2.18502282496377E-3</v>
      </c>
    </row>
    <row r="24" spans="1:23">
      <c r="A24" s="2" t="s">
        <v>256</v>
      </c>
      <c r="B24" s="2">
        <v>556</v>
      </c>
      <c r="C24" s="2" t="s">
        <v>1572</v>
      </c>
      <c r="D24" s="2" t="s">
        <v>1573</v>
      </c>
      <c r="E24" s="4" t="s">
        <v>505</v>
      </c>
      <c r="F24" s="2" t="s">
        <v>1596</v>
      </c>
      <c r="G24" s="2" t="s">
        <v>1597</v>
      </c>
      <c r="H24" s="2" t="s">
        <v>511</v>
      </c>
      <c r="I24" s="2" t="s">
        <v>1169</v>
      </c>
      <c r="J24" s="2" t="s">
        <v>154</v>
      </c>
      <c r="K24" s="2" t="s">
        <v>155</v>
      </c>
      <c r="L24" s="2" t="s">
        <v>156</v>
      </c>
      <c r="M24" s="2" t="s">
        <v>925</v>
      </c>
      <c r="N24" s="2" t="s">
        <v>312</v>
      </c>
      <c r="O24" s="2" t="s">
        <v>159</v>
      </c>
      <c r="P24" s="150">
        <v>1236</v>
      </c>
      <c r="Q24" s="149">
        <v>3.7589999999999999</v>
      </c>
      <c r="R24" s="149">
        <v>9271</v>
      </c>
      <c r="T24" s="149">
        <v>430.74200000000002</v>
      </c>
      <c r="U24" s="164">
        <v>0</v>
      </c>
      <c r="V24" s="164">
        <v>2.4457872228633701E-2</v>
      </c>
      <c r="W24" s="164">
        <v>1.3505361030861499E-3</v>
      </c>
    </row>
    <row r="25" spans="1:23">
      <c r="A25" s="2" t="s">
        <v>256</v>
      </c>
      <c r="B25" s="2">
        <v>7205</v>
      </c>
      <c r="C25" s="2" t="s">
        <v>1560</v>
      </c>
      <c r="D25" s="2" t="s">
        <v>1561</v>
      </c>
      <c r="E25" s="4" t="s">
        <v>1552</v>
      </c>
      <c r="F25" s="2" t="s">
        <v>1562</v>
      </c>
      <c r="G25" s="2" t="s">
        <v>1563</v>
      </c>
      <c r="H25" s="2" t="s">
        <v>511</v>
      </c>
      <c r="I25" s="2" t="s">
        <v>1169</v>
      </c>
      <c r="J25" s="2" t="s">
        <v>31</v>
      </c>
      <c r="K25" s="2" t="s">
        <v>155</v>
      </c>
      <c r="L25" s="2" t="s">
        <v>32</v>
      </c>
      <c r="M25" s="2" t="s">
        <v>1564</v>
      </c>
      <c r="N25" s="2" t="s">
        <v>312</v>
      </c>
      <c r="O25" s="2" t="s">
        <v>35</v>
      </c>
      <c r="P25" s="150">
        <v>66934</v>
      </c>
      <c r="Q25" s="149">
        <v>1</v>
      </c>
      <c r="R25" s="149">
        <v>8781</v>
      </c>
      <c r="T25" s="149">
        <v>5877.4750000000004</v>
      </c>
      <c r="U25" s="164">
        <v>8.9800000000000004E-4</v>
      </c>
      <c r="V25" s="164">
        <v>5.07036243729065E-2</v>
      </c>
      <c r="W25" s="164">
        <v>3.19554171760611E-3</v>
      </c>
    </row>
    <row r="26" spans="1:23">
      <c r="A26" s="2" t="s">
        <v>256</v>
      </c>
      <c r="B26" s="2">
        <v>7205</v>
      </c>
      <c r="C26" s="2" t="s">
        <v>1598</v>
      </c>
      <c r="D26" s="2" t="s">
        <v>1599</v>
      </c>
      <c r="E26" s="4" t="s">
        <v>1552</v>
      </c>
      <c r="F26" s="2" t="s">
        <v>1600</v>
      </c>
      <c r="G26" s="11" t="s">
        <v>1601</v>
      </c>
      <c r="H26" s="2" t="s">
        <v>511</v>
      </c>
      <c r="I26" s="2" t="s">
        <v>1169</v>
      </c>
      <c r="J26" s="2" t="s">
        <v>31</v>
      </c>
      <c r="K26" s="2" t="s">
        <v>155</v>
      </c>
      <c r="L26" s="2" t="s">
        <v>32</v>
      </c>
      <c r="M26" s="2" t="s">
        <v>1564</v>
      </c>
      <c r="N26" s="2" t="s">
        <v>312</v>
      </c>
      <c r="O26" s="2" t="s">
        <v>35</v>
      </c>
      <c r="P26" s="150">
        <v>22100</v>
      </c>
      <c r="Q26" s="149">
        <v>1</v>
      </c>
      <c r="R26" s="149">
        <v>24140</v>
      </c>
      <c r="T26" s="149">
        <v>5334.94</v>
      </c>
      <c r="U26" s="164">
        <v>1.366E-3</v>
      </c>
      <c r="V26" s="164">
        <v>4.6023303371382003E-2</v>
      </c>
      <c r="W26" s="164">
        <v>2.9005694903317301E-3</v>
      </c>
    </row>
    <row r="27" spans="1:23">
      <c r="A27" s="2" t="s">
        <v>256</v>
      </c>
      <c r="B27" s="2">
        <v>7205</v>
      </c>
      <c r="C27" s="2" t="s">
        <v>1572</v>
      </c>
      <c r="D27" s="2" t="s">
        <v>1573</v>
      </c>
      <c r="E27" s="4" t="s">
        <v>505</v>
      </c>
      <c r="F27" s="2" t="s">
        <v>1574</v>
      </c>
      <c r="G27" s="2" t="s">
        <v>1575</v>
      </c>
      <c r="H27" s="2" t="s">
        <v>511</v>
      </c>
      <c r="I27" s="2" t="s">
        <v>1169</v>
      </c>
      <c r="J27" s="2" t="s">
        <v>154</v>
      </c>
      <c r="K27" s="2" t="s">
        <v>155</v>
      </c>
      <c r="L27" s="2" t="s">
        <v>156</v>
      </c>
      <c r="M27" s="2" t="s">
        <v>925</v>
      </c>
      <c r="N27" s="2" t="s">
        <v>312</v>
      </c>
      <c r="O27" s="2" t="s">
        <v>159</v>
      </c>
      <c r="P27" s="150">
        <v>40375</v>
      </c>
      <c r="Q27" s="149">
        <v>3.7589999999999999</v>
      </c>
      <c r="R27" s="149">
        <v>7658</v>
      </c>
      <c r="T27" s="149">
        <v>11622.518</v>
      </c>
      <c r="U27" s="164">
        <v>1.95E-4</v>
      </c>
      <c r="V27" s="164">
        <v>0.100264795189001</v>
      </c>
      <c r="W27" s="164">
        <v>6.3190815212194398E-3</v>
      </c>
    </row>
    <row r="28" spans="1:23">
      <c r="A28" s="2" t="s">
        <v>256</v>
      </c>
      <c r="B28" s="2">
        <v>7205</v>
      </c>
      <c r="C28" s="2" t="s">
        <v>1572</v>
      </c>
      <c r="D28" s="2" t="s">
        <v>1573</v>
      </c>
      <c r="E28" s="4" t="s">
        <v>505</v>
      </c>
      <c r="F28" s="2" t="s">
        <v>1576</v>
      </c>
      <c r="G28" s="2" t="s">
        <v>1577</v>
      </c>
      <c r="H28" s="2" t="s">
        <v>511</v>
      </c>
      <c r="I28" s="2" t="s">
        <v>1169</v>
      </c>
      <c r="J28" s="2" t="s">
        <v>154</v>
      </c>
      <c r="K28" s="2" t="s">
        <v>155</v>
      </c>
      <c r="L28" s="2" t="s">
        <v>156</v>
      </c>
      <c r="M28" s="2" t="s">
        <v>925</v>
      </c>
      <c r="N28" s="2" t="s">
        <v>312</v>
      </c>
      <c r="O28" s="2" t="s">
        <v>159</v>
      </c>
      <c r="P28" s="150">
        <v>40308</v>
      </c>
      <c r="Q28" s="149">
        <v>3.7589999999999999</v>
      </c>
      <c r="R28" s="149">
        <v>4111</v>
      </c>
      <c r="T28" s="149">
        <v>6228.8959999999997</v>
      </c>
      <c r="U28" s="164">
        <v>4.5000000000000003E-5</v>
      </c>
      <c r="V28" s="164">
        <v>5.3735253289811602E-2</v>
      </c>
      <c r="W28" s="164">
        <v>3.3866068889047501E-3</v>
      </c>
    </row>
    <row r="29" spans="1:23">
      <c r="A29" s="2" t="s">
        <v>256</v>
      </c>
      <c r="B29" s="2">
        <v>7205</v>
      </c>
      <c r="C29" s="2" t="s">
        <v>1572</v>
      </c>
      <c r="D29" s="2" t="s">
        <v>1573</v>
      </c>
      <c r="E29" s="4" t="s">
        <v>505</v>
      </c>
      <c r="F29" s="2" t="s">
        <v>1578</v>
      </c>
      <c r="G29" s="2" t="s">
        <v>1579</v>
      </c>
      <c r="H29" s="2" t="s">
        <v>511</v>
      </c>
      <c r="I29" s="2" t="s">
        <v>1169</v>
      </c>
      <c r="J29" s="2" t="s">
        <v>154</v>
      </c>
      <c r="K29" s="2" t="s">
        <v>155</v>
      </c>
      <c r="L29" s="2" t="s">
        <v>156</v>
      </c>
      <c r="M29" s="2" t="s">
        <v>925</v>
      </c>
      <c r="N29" s="2" t="s">
        <v>312</v>
      </c>
      <c r="O29" s="2" t="s">
        <v>159</v>
      </c>
      <c r="P29" s="150">
        <v>10657</v>
      </c>
      <c r="Q29" s="149">
        <v>3.7589999999999999</v>
      </c>
      <c r="R29" s="149">
        <v>14575</v>
      </c>
      <c r="T29" s="149">
        <v>5838.6959999999999</v>
      </c>
      <c r="U29" s="164">
        <v>5.0000000000000002E-5</v>
      </c>
      <c r="V29" s="164">
        <v>5.03690897895816E-2</v>
      </c>
      <c r="W29" s="164">
        <v>3.1744580331512398E-3</v>
      </c>
    </row>
    <row r="30" spans="1:23">
      <c r="A30" s="2" t="s">
        <v>256</v>
      </c>
      <c r="B30" s="2">
        <v>7205</v>
      </c>
      <c r="C30" s="2" t="s">
        <v>1580</v>
      </c>
      <c r="D30" s="2" t="s">
        <v>1581</v>
      </c>
      <c r="E30" s="4" t="s">
        <v>505</v>
      </c>
      <c r="F30" s="2" t="s">
        <v>1582</v>
      </c>
      <c r="G30" s="2" t="s">
        <v>1583</v>
      </c>
      <c r="H30" s="2" t="s">
        <v>511</v>
      </c>
      <c r="I30" s="2" t="s">
        <v>1169</v>
      </c>
      <c r="J30" s="2" t="s">
        <v>154</v>
      </c>
      <c r="K30" s="18" t="s">
        <v>155</v>
      </c>
      <c r="L30" s="18" t="s">
        <v>535</v>
      </c>
      <c r="M30" s="2" t="s">
        <v>925</v>
      </c>
      <c r="N30" s="2" t="s">
        <v>312</v>
      </c>
      <c r="O30" s="2" t="s">
        <v>159</v>
      </c>
      <c r="P30" s="150">
        <v>1445</v>
      </c>
      <c r="Q30" s="149">
        <v>3.7589999999999999</v>
      </c>
      <c r="R30" s="149">
        <v>19711</v>
      </c>
      <c r="T30" s="149">
        <v>1070.653</v>
      </c>
      <c r="U30" s="164">
        <v>0</v>
      </c>
      <c r="V30" s="164">
        <v>9.2362797557413098E-3</v>
      </c>
      <c r="W30" s="164">
        <v>5.8210665687093198E-4</v>
      </c>
    </row>
    <row r="31" spans="1:23">
      <c r="A31" s="2" t="s">
        <v>256</v>
      </c>
      <c r="B31" s="2">
        <v>7205</v>
      </c>
      <c r="C31" s="2" t="s">
        <v>1584</v>
      </c>
      <c r="D31" s="2" t="s">
        <v>1585</v>
      </c>
      <c r="E31" s="4" t="s">
        <v>505</v>
      </c>
      <c r="F31" s="2" t="s">
        <v>1586</v>
      </c>
      <c r="G31" s="2" t="s">
        <v>1587</v>
      </c>
      <c r="H31" s="2" t="s">
        <v>511</v>
      </c>
      <c r="I31" s="2" t="s">
        <v>1169</v>
      </c>
      <c r="J31" s="2" t="s">
        <v>154</v>
      </c>
      <c r="K31" s="2" t="s">
        <v>155</v>
      </c>
      <c r="L31" s="2" t="s">
        <v>569</v>
      </c>
      <c r="M31" s="2" t="s">
        <v>925</v>
      </c>
      <c r="N31" s="2" t="s">
        <v>312</v>
      </c>
      <c r="O31" s="2" t="s">
        <v>159</v>
      </c>
      <c r="P31" s="150">
        <v>64366</v>
      </c>
      <c r="Q31" s="149">
        <v>3.7589999999999999</v>
      </c>
      <c r="R31" s="149">
        <v>3431</v>
      </c>
      <c r="T31" s="149">
        <v>8301.366</v>
      </c>
      <c r="U31" s="164">
        <v>4.8099999999999998E-4</v>
      </c>
      <c r="V31" s="164">
        <v>7.1613980328650503E-2</v>
      </c>
      <c r="W31" s="164">
        <v>4.5133945459391997E-3</v>
      </c>
    </row>
    <row r="32" spans="1:23">
      <c r="A32" s="2" t="s">
        <v>256</v>
      </c>
      <c r="B32" s="2">
        <v>7205</v>
      </c>
      <c r="C32" s="2" t="s">
        <v>1588</v>
      </c>
      <c r="D32" s="2" t="s">
        <v>1589</v>
      </c>
      <c r="E32" s="4" t="s">
        <v>505</v>
      </c>
      <c r="F32" s="2" t="s">
        <v>1590</v>
      </c>
      <c r="G32" s="2" t="s">
        <v>1591</v>
      </c>
      <c r="H32" s="2" t="s">
        <v>511</v>
      </c>
      <c r="I32" s="2" t="s">
        <v>1169</v>
      </c>
      <c r="J32" s="2" t="s">
        <v>154</v>
      </c>
      <c r="K32" s="2" t="s">
        <v>474</v>
      </c>
      <c r="L32" s="2" t="s">
        <v>553</v>
      </c>
      <c r="M32" s="2" t="s">
        <v>925</v>
      </c>
      <c r="N32" s="2" t="s">
        <v>312</v>
      </c>
      <c r="O32" s="2" t="s">
        <v>169</v>
      </c>
      <c r="P32" s="150">
        <v>20146</v>
      </c>
      <c r="Q32" s="149">
        <v>4.0199999999999996</v>
      </c>
      <c r="R32" s="149">
        <v>23725</v>
      </c>
      <c r="T32" s="149">
        <v>19215.102999999999</v>
      </c>
      <c r="U32" s="164">
        <v>0</v>
      </c>
      <c r="V32" s="164">
        <v>0.165764282404021</v>
      </c>
      <c r="W32" s="164">
        <v>1.04471166758276E-2</v>
      </c>
    </row>
    <row r="33" spans="1:23">
      <c r="A33" s="2" t="s">
        <v>256</v>
      </c>
      <c r="B33" s="2">
        <v>7205</v>
      </c>
      <c r="C33" s="2" t="s">
        <v>1580</v>
      </c>
      <c r="D33" s="2" t="s">
        <v>1581</v>
      </c>
      <c r="E33" s="4" t="s">
        <v>505</v>
      </c>
      <c r="F33" s="2" t="s">
        <v>1592</v>
      </c>
      <c r="G33" s="2" t="s">
        <v>1593</v>
      </c>
      <c r="H33" s="2" t="s">
        <v>511</v>
      </c>
      <c r="I33" s="2" t="s">
        <v>1169</v>
      </c>
      <c r="J33" s="2" t="s">
        <v>154</v>
      </c>
      <c r="K33" s="2" t="s">
        <v>155</v>
      </c>
      <c r="L33" s="2" t="s">
        <v>569</v>
      </c>
      <c r="M33" s="2" t="s">
        <v>925</v>
      </c>
      <c r="N33" s="2" t="s">
        <v>312</v>
      </c>
      <c r="O33" s="2" t="s">
        <v>159</v>
      </c>
      <c r="P33" s="150">
        <v>25237</v>
      </c>
      <c r="Q33" s="149">
        <v>3.7589999999999999</v>
      </c>
      <c r="R33" s="149">
        <v>47911</v>
      </c>
      <c r="S33" s="154">
        <v>14.39</v>
      </c>
      <c r="T33" s="149">
        <v>45505.286999999997</v>
      </c>
      <c r="U33" s="164">
        <v>0</v>
      </c>
      <c r="V33" s="164">
        <v>0.39256367050663099</v>
      </c>
      <c r="W33" s="164">
        <v>2.4740905634170699E-2</v>
      </c>
    </row>
    <row r="34" spans="1:23">
      <c r="A34" s="2" t="s">
        <v>256</v>
      </c>
      <c r="B34" s="2">
        <v>7205</v>
      </c>
      <c r="C34" s="2" t="s">
        <v>1580</v>
      </c>
      <c r="D34" s="2" t="s">
        <v>1581</v>
      </c>
      <c r="E34" s="4" t="s">
        <v>505</v>
      </c>
      <c r="F34" s="2" t="s">
        <v>1594</v>
      </c>
      <c r="G34" s="2" t="s">
        <v>1595</v>
      </c>
      <c r="H34" s="2" t="s">
        <v>511</v>
      </c>
      <c r="I34" s="2" t="s">
        <v>1169</v>
      </c>
      <c r="J34" s="2" t="s">
        <v>154</v>
      </c>
      <c r="K34" s="2" t="s">
        <v>155</v>
      </c>
      <c r="L34" s="2" t="s">
        <v>569</v>
      </c>
      <c r="M34" s="2" t="s">
        <v>925</v>
      </c>
      <c r="N34" s="2" t="s">
        <v>312</v>
      </c>
      <c r="O34" s="2" t="s">
        <v>159</v>
      </c>
      <c r="P34" s="150">
        <v>837</v>
      </c>
      <c r="Q34" s="149">
        <v>3.7589999999999999</v>
      </c>
      <c r="R34" s="149">
        <v>107787</v>
      </c>
      <c r="T34" s="149">
        <v>3391.2840000000001</v>
      </c>
      <c r="U34" s="164">
        <v>8.2000000000000001E-5</v>
      </c>
      <c r="V34" s="164">
        <v>2.9255829490773402E-2</v>
      </c>
      <c r="W34" s="164">
        <v>1.8438173755265699E-3</v>
      </c>
    </row>
    <row r="35" spans="1:23">
      <c r="A35" s="2" t="s">
        <v>256</v>
      </c>
      <c r="B35" s="2">
        <v>7205</v>
      </c>
      <c r="C35" s="2" t="s">
        <v>1572</v>
      </c>
      <c r="D35" s="2" t="s">
        <v>1573</v>
      </c>
      <c r="E35" s="4" t="s">
        <v>505</v>
      </c>
      <c r="F35" s="2" t="s">
        <v>1596</v>
      </c>
      <c r="G35" s="2" t="s">
        <v>1597</v>
      </c>
      <c r="H35" s="2" t="s">
        <v>511</v>
      </c>
      <c r="I35" s="2" t="s">
        <v>1169</v>
      </c>
      <c r="J35" s="2" t="s">
        <v>154</v>
      </c>
      <c r="K35" s="2" t="s">
        <v>155</v>
      </c>
      <c r="L35" s="2" t="s">
        <v>156</v>
      </c>
      <c r="M35" s="2" t="s">
        <v>925</v>
      </c>
      <c r="N35" s="2" t="s">
        <v>312</v>
      </c>
      <c r="O35" s="2" t="s">
        <v>159</v>
      </c>
      <c r="P35" s="150">
        <v>10135</v>
      </c>
      <c r="Q35" s="149">
        <v>3.7589999999999999</v>
      </c>
      <c r="R35" s="149">
        <v>9271</v>
      </c>
      <c r="T35" s="149">
        <v>3532.0160000000001</v>
      </c>
      <c r="U35" s="164">
        <v>0</v>
      </c>
      <c r="V35" s="164">
        <v>3.04698915015E-2</v>
      </c>
      <c r="W35" s="164">
        <v>1.92033233576895E-3</v>
      </c>
    </row>
    <row r="36" spans="1:23">
      <c r="A36" s="2" t="s">
        <v>256</v>
      </c>
      <c r="B36" s="2">
        <v>7206</v>
      </c>
      <c r="C36" s="2" t="s">
        <v>1560</v>
      </c>
      <c r="D36" s="2" t="s">
        <v>1561</v>
      </c>
      <c r="E36" s="4" t="s">
        <v>1552</v>
      </c>
      <c r="F36" s="2" t="s">
        <v>1562</v>
      </c>
      <c r="G36" s="2" t="s">
        <v>1563</v>
      </c>
      <c r="H36" s="2" t="s">
        <v>511</v>
      </c>
      <c r="I36" s="2" t="s">
        <v>1169</v>
      </c>
      <c r="J36" s="2" t="s">
        <v>31</v>
      </c>
      <c r="K36" s="2" t="s">
        <v>155</v>
      </c>
      <c r="L36" s="2" t="s">
        <v>32</v>
      </c>
      <c r="M36" s="2" t="s">
        <v>1564</v>
      </c>
      <c r="N36" s="2" t="s">
        <v>312</v>
      </c>
      <c r="O36" s="2" t="s">
        <v>35</v>
      </c>
      <c r="P36" s="150">
        <v>4062</v>
      </c>
      <c r="Q36" s="149">
        <v>1</v>
      </c>
      <c r="R36" s="149">
        <v>8781</v>
      </c>
      <c r="T36" s="149">
        <v>356.68400000000003</v>
      </c>
      <c r="U36" s="164">
        <v>5.5000000000000002E-5</v>
      </c>
      <c r="V36" s="164">
        <v>4.6801550921785402E-2</v>
      </c>
      <c r="W36" s="164">
        <v>5.32614383951905E-3</v>
      </c>
    </row>
    <row r="37" spans="1:23">
      <c r="A37" s="2" t="s">
        <v>256</v>
      </c>
      <c r="B37" s="2">
        <v>7206</v>
      </c>
      <c r="C37" s="2" t="s">
        <v>1560</v>
      </c>
      <c r="D37" s="2" t="s">
        <v>1561</v>
      </c>
      <c r="E37" s="4" t="s">
        <v>1552</v>
      </c>
      <c r="F37" s="2" t="s">
        <v>1565</v>
      </c>
      <c r="G37" s="2" t="s">
        <v>1566</v>
      </c>
      <c r="H37" s="2" t="s">
        <v>511</v>
      </c>
      <c r="I37" s="2" t="s">
        <v>1169</v>
      </c>
      <c r="J37" s="2" t="s">
        <v>31</v>
      </c>
      <c r="K37" s="2" t="s">
        <v>155</v>
      </c>
      <c r="L37" s="2" t="s">
        <v>32</v>
      </c>
      <c r="M37" s="2" t="s">
        <v>1567</v>
      </c>
      <c r="N37" s="2" t="s">
        <v>312</v>
      </c>
      <c r="O37" s="2" t="s">
        <v>35</v>
      </c>
      <c r="P37" s="150">
        <v>5978</v>
      </c>
      <c r="Q37" s="149">
        <v>1</v>
      </c>
      <c r="R37" s="149">
        <v>6815</v>
      </c>
      <c r="T37" s="149">
        <v>407.40100000000001</v>
      </c>
      <c r="U37" s="164">
        <v>1.328E-3</v>
      </c>
      <c r="V37" s="164">
        <v>5.3456204501059798E-2</v>
      </c>
      <c r="W37" s="164">
        <v>6.0834615238115897E-3</v>
      </c>
    </row>
    <row r="38" spans="1:23">
      <c r="A38" s="2" t="s">
        <v>256</v>
      </c>
      <c r="B38" s="2">
        <v>7206</v>
      </c>
      <c r="C38" s="2" t="s">
        <v>1572</v>
      </c>
      <c r="D38" s="2" t="s">
        <v>1573</v>
      </c>
      <c r="E38" s="4" t="s">
        <v>505</v>
      </c>
      <c r="F38" s="2" t="s">
        <v>1574</v>
      </c>
      <c r="G38" s="2" t="s">
        <v>1575</v>
      </c>
      <c r="H38" s="2" t="s">
        <v>511</v>
      </c>
      <c r="I38" s="2" t="s">
        <v>1169</v>
      </c>
      <c r="J38" s="2" t="s">
        <v>154</v>
      </c>
      <c r="K38" s="2" t="s">
        <v>155</v>
      </c>
      <c r="L38" s="2" t="s">
        <v>156</v>
      </c>
      <c r="M38" s="2" t="s">
        <v>925</v>
      </c>
      <c r="N38" s="2" t="s">
        <v>312</v>
      </c>
      <c r="O38" s="2" t="s">
        <v>159</v>
      </c>
      <c r="P38" s="150">
        <v>734</v>
      </c>
      <c r="Q38" s="149">
        <v>3.7589999999999999</v>
      </c>
      <c r="R38" s="149">
        <v>7658</v>
      </c>
      <c r="T38" s="149">
        <v>211.292</v>
      </c>
      <c r="U38" s="164">
        <v>3.9999999999999998E-6</v>
      </c>
      <c r="V38" s="164">
        <v>2.7724268519513699E-2</v>
      </c>
      <c r="W38" s="164">
        <v>3.15509719383347E-3</v>
      </c>
    </row>
    <row r="39" spans="1:23">
      <c r="A39" s="2" t="s">
        <v>256</v>
      </c>
      <c r="B39" s="2">
        <v>7206</v>
      </c>
      <c r="C39" s="2" t="s">
        <v>1572</v>
      </c>
      <c r="D39" s="2" t="s">
        <v>1573</v>
      </c>
      <c r="E39" s="4" t="s">
        <v>505</v>
      </c>
      <c r="F39" s="2" t="s">
        <v>1576</v>
      </c>
      <c r="G39" s="2" t="s">
        <v>1577</v>
      </c>
      <c r="H39" s="2" t="s">
        <v>511</v>
      </c>
      <c r="I39" s="2" t="s">
        <v>1169</v>
      </c>
      <c r="J39" s="2" t="s">
        <v>154</v>
      </c>
      <c r="K39" s="2" t="s">
        <v>155</v>
      </c>
      <c r="L39" s="2" t="s">
        <v>156</v>
      </c>
      <c r="M39" s="2" t="s">
        <v>925</v>
      </c>
      <c r="N39" s="2" t="s">
        <v>312</v>
      </c>
      <c r="O39" s="2" t="s">
        <v>159</v>
      </c>
      <c r="P39" s="150">
        <v>1436</v>
      </c>
      <c r="Q39" s="149">
        <v>3.7589999999999999</v>
      </c>
      <c r="R39" s="149">
        <v>4111</v>
      </c>
      <c r="T39" s="149">
        <v>221.90899999999999</v>
      </c>
      <c r="U39" s="164">
        <v>1.9999999999999999E-6</v>
      </c>
      <c r="V39" s="164">
        <v>2.9117265818264699E-2</v>
      </c>
      <c r="W39" s="164">
        <v>3.3136240767055502E-3</v>
      </c>
    </row>
    <row r="40" spans="1:23">
      <c r="A40" s="2" t="s">
        <v>256</v>
      </c>
      <c r="B40" s="2">
        <v>7206</v>
      </c>
      <c r="C40" s="2" t="s">
        <v>1572</v>
      </c>
      <c r="D40" s="2" t="s">
        <v>1573</v>
      </c>
      <c r="E40" s="4" t="s">
        <v>505</v>
      </c>
      <c r="F40" s="2" t="s">
        <v>1578</v>
      </c>
      <c r="G40" s="2" t="s">
        <v>1579</v>
      </c>
      <c r="H40" s="2" t="s">
        <v>511</v>
      </c>
      <c r="I40" s="2" t="s">
        <v>1169</v>
      </c>
      <c r="J40" s="2" t="s">
        <v>154</v>
      </c>
      <c r="K40" s="2" t="s">
        <v>155</v>
      </c>
      <c r="L40" s="2" t="s">
        <v>156</v>
      </c>
      <c r="M40" s="2" t="s">
        <v>925</v>
      </c>
      <c r="N40" s="2" t="s">
        <v>312</v>
      </c>
      <c r="O40" s="2" t="s">
        <v>159</v>
      </c>
      <c r="P40" s="150">
        <v>417</v>
      </c>
      <c r="Q40" s="149">
        <v>3.7589999999999999</v>
      </c>
      <c r="R40" s="149">
        <v>14575</v>
      </c>
      <c r="T40" s="149">
        <v>228.464</v>
      </c>
      <c r="U40" s="164">
        <v>1.9999999999999999E-6</v>
      </c>
      <c r="V40" s="164">
        <v>2.9977353756821298E-2</v>
      </c>
      <c r="W40" s="164">
        <v>3.4115044243684602E-3</v>
      </c>
    </row>
    <row r="41" spans="1:23">
      <c r="A41" s="2" t="s">
        <v>256</v>
      </c>
      <c r="B41" s="2">
        <v>7206</v>
      </c>
      <c r="C41" s="2" t="s">
        <v>1580</v>
      </c>
      <c r="D41" s="2" t="s">
        <v>1581</v>
      </c>
      <c r="E41" s="4" t="s">
        <v>505</v>
      </c>
      <c r="F41" s="2" t="s">
        <v>1582</v>
      </c>
      <c r="G41" s="2" t="s">
        <v>1583</v>
      </c>
      <c r="H41" s="2" t="s">
        <v>511</v>
      </c>
      <c r="I41" s="2" t="s">
        <v>1169</v>
      </c>
      <c r="J41" s="2" t="s">
        <v>154</v>
      </c>
      <c r="K41" s="18" t="s">
        <v>155</v>
      </c>
      <c r="L41" s="18" t="s">
        <v>535</v>
      </c>
      <c r="M41" s="2" t="s">
        <v>925</v>
      </c>
      <c r="N41" s="2" t="s">
        <v>312</v>
      </c>
      <c r="O41" s="2" t="s">
        <v>159</v>
      </c>
      <c r="P41" s="150">
        <v>290</v>
      </c>
      <c r="Q41" s="149">
        <v>3.7589999999999999</v>
      </c>
      <c r="R41" s="149">
        <v>19711</v>
      </c>
      <c r="T41" s="149">
        <v>214.87200000000001</v>
      </c>
      <c r="U41" s="164">
        <v>0</v>
      </c>
      <c r="V41" s="164">
        <v>2.81939113855324E-2</v>
      </c>
      <c r="W41" s="164">
        <v>3.2085438298605599E-3</v>
      </c>
    </row>
    <row r="42" spans="1:23">
      <c r="A42" s="2" t="s">
        <v>256</v>
      </c>
      <c r="B42" s="2">
        <v>7206</v>
      </c>
      <c r="C42" s="2" t="s">
        <v>1584</v>
      </c>
      <c r="D42" s="2" t="s">
        <v>1585</v>
      </c>
      <c r="E42" s="4" t="s">
        <v>505</v>
      </c>
      <c r="F42" s="2" t="s">
        <v>1586</v>
      </c>
      <c r="G42" s="2" t="s">
        <v>1587</v>
      </c>
      <c r="H42" s="2" t="s">
        <v>511</v>
      </c>
      <c r="I42" s="2" t="s">
        <v>1169</v>
      </c>
      <c r="J42" s="2" t="s">
        <v>154</v>
      </c>
      <c r="K42" s="2" t="s">
        <v>155</v>
      </c>
      <c r="L42" s="2" t="s">
        <v>569</v>
      </c>
      <c r="M42" s="2" t="s">
        <v>925</v>
      </c>
      <c r="N42" s="2" t="s">
        <v>312</v>
      </c>
      <c r="O42" s="2" t="s">
        <v>159</v>
      </c>
      <c r="P42" s="150">
        <v>4837</v>
      </c>
      <c r="Q42" s="149">
        <v>3.7589999999999999</v>
      </c>
      <c r="R42" s="149">
        <v>3431</v>
      </c>
      <c r="T42" s="149">
        <v>623.83399999999995</v>
      </c>
      <c r="U42" s="164">
        <v>3.6000000000000001E-5</v>
      </c>
      <c r="V42" s="164">
        <v>8.1855050356043998E-2</v>
      </c>
      <c r="W42" s="164">
        <v>9.3153274539119393E-3</v>
      </c>
    </row>
    <row r="43" spans="1:23">
      <c r="A43" s="2" t="s">
        <v>256</v>
      </c>
      <c r="B43" s="2">
        <v>7206</v>
      </c>
      <c r="C43" s="2" t="s">
        <v>1588</v>
      </c>
      <c r="D43" s="2" t="s">
        <v>1589</v>
      </c>
      <c r="E43" s="4" t="s">
        <v>505</v>
      </c>
      <c r="F43" s="2" t="s">
        <v>1590</v>
      </c>
      <c r="G43" s="2" t="s">
        <v>1591</v>
      </c>
      <c r="H43" s="2" t="s">
        <v>511</v>
      </c>
      <c r="I43" s="2" t="s">
        <v>1169</v>
      </c>
      <c r="J43" s="2" t="s">
        <v>154</v>
      </c>
      <c r="K43" s="2" t="s">
        <v>474</v>
      </c>
      <c r="L43" s="2" t="s">
        <v>553</v>
      </c>
      <c r="M43" s="2" t="s">
        <v>925</v>
      </c>
      <c r="N43" s="2" t="s">
        <v>312</v>
      </c>
      <c r="O43" s="2" t="s">
        <v>169</v>
      </c>
      <c r="P43" s="150">
        <v>618</v>
      </c>
      <c r="Q43" s="149">
        <v>4.0199999999999996</v>
      </c>
      <c r="R43" s="149">
        <v>23725</v>
      </c>
      <c r="T43" s="149">
        <v>589.44399999999996</v>
      </c>
      <c r="U43" s="164">
        <v>0</v>
      </c>
      <c r="V43" s="164">
        <v>7.7342588738600504E-2</v>
      </c>
      <c r="W43" s="164">
        <v>8.8017970436702203E-3</v>
      </c>
    </row>
    <row r="44" spans="1:23">
      <c r="A44" s="2" t="s">
        <v>256</v>
      </c>
      <c r="B44" s="2">
        <v>7206</v>
      </c>
      <c r="C44" s="2" t="s">
        <v>1580</v>
      </c>
      <c r="D44" s="2" t="s">
        <v>1581</v>
      </c>
      <c r="E44" s="4" t="s">
        <v>505</v>
      </c>
      <c r="F44" s="2" t="s">
        <v>1592</v>
      </c>
      <c r="G44" s="2" t="s">
        <v>1593</v>
      </c>
      <c r="H44" s="2" t="s">
        <v>511</v>
      </c>
      <c r="I44" s="2" t="s">
        <v>1169</v>
      </c>
      <c r="J44" s="2" t="s">
        <v>154</v>
      </c>
      <c r="K44" s="2" t="s">
        <v>155</v>
      </c>
      <c r="L44" s="2" t="s">
        <v>569</v>
      </c>
      <c r="M44" s="2" t="s">
        <v>925</v>
      </c>
      <c r="N44" s="2" t="s">
        <v>312</v>
      </c>
      <c r="O44" s="2" t="s">
        <v>159</v>
      </c>
      <c r="P44" s="150">
        <v>2079</v>
      </c>
      <c r="Q44" s="149">
        <v>3.7589999999999999</v>
      </c>
      <c r="R44" s="149">
        <v>47911</v>
      </c>
      <c r="S44" s="154">
        <v>1.1850000000000001</v>
      </c>
      <c r="T44" s="149">
        <v>3748.6819999999998</v>
      </c>
      <c r="U44" s="164">
        <v>0</v>
      </c>
      <c r="V44" s="164">
        <v>0.49187524814319999</v>
      </c>
      <c r="W44" s="164">
        <v>5.5976741606020897E-2</v>
      </c>
    </row>
    <row r="45" spans="1:23">
      <c r="A45" s="2" t="s">
        <v>256</v>
      </c>
      <c r="B45" s="2">
        <v>7206</v>
      </c>
      <c r="C45" s="2" t="s">
        <v>1580</v>
      </c>
      <c r="D45" s="2" t="s">
        <v>1581</v>
      </c>
      <c r="E45" s="4" t="s">
        <v>505</v>
      </c>
      <c r="F45" s="2" t="s">
        <v>1594</v>
      </c>
      <c r="G45" s="2" t="s">
        <v>1595</v>
      </c>
      <c r="H45" s="2" t="s">
        <v>511</v>
      </c>
      <c r="I45" s="2" t="s">
        <v>1169</v>
      </c>
      <c r="J45" s="2" t="s">
        <v>154</v>
      </c>
      <c r="K45" s="2" t="s">
        <v>155</v>
      </c>
      <c r="L45" s="2" t="s">
        <v>569</v>
      </c>
      <c r="M45" s="2" t="s">
        <v>925</v>
      </c>
      <c r="N45" s="2" t="s">
        <v>312</v>
      </c>
      <c r="O45" s="2" t="s">
        <v>159</v>
      </c>
      <c r="P45" s="150">
        <v>225</v>
      </c>
      <c r="Q45" s="149">
        <v>3.7589999999999999</v>
      </c>
      <c r="R45" s="149">
        <v>107787</v>
      </c>
      <c r="T45" s="149">
        <v>911.63499999999999</v>
      </c>
      <c r="U45" s="164">
        <v>2.1999999999999999E-5</v>
      </c>
      <c r="V45" s="164">
        <v>0.119618286562428</v>
      </c>
      <c r="W45" s="164">
        <v>1.3612886486027501E-2</v>
      </c>
    </row>
    <row r="46" spans="1:23">
      <c r="A46" s="2" t="s">
        <v>256</v>
      </c>
      <c r="B46" s="2">
        <v>7206</v>
      </c>
      <c r="C46" s="2" t="s">
        <v>1572</v>
      </c>
      <c r="D46" s="2" t="s">
        <v>1573</v>
      </c>
      <c r="E46" s="4" t="s">
        <v>505</v>
      </c>
      <c r="F46" s="2" t="s">
        <v>1596</v>
      </c>
      <c r="G46" s="2" t="s">
        <v>1597</v>
      </c>
      <c r="H46" s="2" t="s">
        <v>511</v>
      </c>
      <c r="I46" s="2" t="s">
        <v>1169</v>
      </c>
      <c r="J46" s="2" t="s">
        <v>154</v>
      </c>
      <c r="K46" s="2" t="s">
        <v>155</v>
      </c>
      <c r="L46" s="2" t="s">
        <v>156</v>
      </c>
      <c r="M46" s="2" t="s">
        <v>925</v>
      </c>
      <c r="N46" s="2" t="s">
        <v>312</v>
      </c>
      <c r="O46" s="2" t="s">
        <v>159</v>
      </c>
      <c r="P46" s="150">
        <v>307</v>
      </c>
      <c r="Q46" s="149">
        <v>3.7589999999999999</v>
      </c>
      <c r="R46" s="149">
        <v>9271</v>
      </c>
      <c r="T46" s="149">
        <v>106.989</v>
      </c>
      <c r="U46" s="164">
        <v>0</v>
      </c>
      <c r="V46" s="164">
        <v>1.40382712967498E-2</v>
      </c>
      <c r="W46" s="164">
        <v>1.5975934709863799E-3</v>
      </c>
    </row>
    <row r="47" spans="1:23">
      <c r="A47" s="2" t="s">
        <v>256</v>
      </c>
      <c r="B47" s="2">
        <v>7207</v>
      </c>
      <c r="C47" s="2" t="s">
        <v>1572</v>
      </c>
      <c r="D47" s="2" t="s">
        <v>1573</v>
      </c>
      <c r="E47" s="4" t="s">
        <v>505</v>
      </c>
      <c r="F47" s="2" t="s">
        <v>1574</v>
      </c>
      <c r="G47" s="2" t="s">
        <v>1575</v>
      </c>
      <c r="H47" s="2" t="s">
        <v>511</v>
      </c>
      <c r="I47" s="2" t="s">
        <v>1169</v>
      </c>
      <c r="J47" s="2" t="s">
        <v>154</v>
      </c>
      <c r="K47" s="2" t="s">
        <v>155</v>
      </c>
      <c r="L47" s="2" t="s">
        <v>156</v>
      </c>
      <c r="M47" s="2" t="s">
        <v>925</v>
      </c>
      <c r="N47" s="2" t="s">
        <v>312</v>
      </c>
      <c r="O47" s="2" t="s">
        <v>159</v>
      </c>
      <c r="P47" s="150">
        <v>593</v>
      </c>
      <c r="Q47" s="149">
        <v>3.7589999999999999</v>
      </c>
      <c r="R47" s="149">
        <v>7658</v>
      </c>
      <c r="T47" s="149">
        <v>170.703</v>
      </c>
      <c r="U47" s="164">
        <v>3.0000000000000001E-6</v>
      </c>
      <c r="V47" s="164">
        <v>3.9884157854546499E-2</v>
      </c>
      <c r="W47" s="164">
        <v>1.75560136728886E-3</v>
      </c>
    </row>
    <row r="48" spans="1:23">
      <c r="A48" s="2" t="s">
        <v>256</v>
      </c>
      <c r="B48" s="2">
        <v>7207</v>
      </c>
      <c r="C48" s="2" t="s">
        <v>1572</v>
      </c>
      <c r="D48" s="2" t="s">
        <v>1573</v>
      </c>
      <c r="E48" s="4" t="s">
        <v>505</v>
      </c>
      <c r="F48" s="2" t="s">
        <v>1576</v>
      </c>
      <c r="G48" s="2" t="s">
        <v>1577</v>
      </c>
      <c r="H48" s="2" t="s">
        <v>511</v>
      </c>
      <c r="I48" s="2" t="s">
        <v>1169</v>
      </c>
      <c r="J48" s="2" t="s">
        <v>154</v>
      </c>
      <c r="K48" s="2" t="s">
        <v>155</v>
      </c>
      <c r="L48" s="2" t="s">
        <v>156</v>
      </c>
      <c r="M48" s="2" t="s">
        <v>925</v>
      </c>
      <c r="N48" s="2" t="s">
        <v>312</v>
      </c>
      <c r="O48" s="2" t="s">
        <v>159</v>
      </c>
      <c r="P48" s="150">
        <v>1181</v>
      </c>
      <c r="Q48" s="149">
        <v>3.7589999999999999</v>
      </c>
      <c r="R48" s="149">
        <v>4111</v>
      </c>
      <c r="T48" s="149">
        <v>182.50299999999999</v>
      </c>
      <c r="U48" s="164">
        <v>9.9999999999999995E-7</v>
      </c>
      <c r="V48" s="164">
        <v>4.2641035780939598E-2</v>
      </c>
      <c r="W48" s="164">
        <v>1.8769522724446099E-3</v>
      </c>
    </row>
    <row r="49" spans="1:23">
      <c r="A49" s="2" t="s">
        <v>256</v>
      </c>
      <c r="B49" s="2">
        <v>7207</v>
      </c>
      <c r="C49" s="2" t="s">
        <v>1572</v>
      </c>
      <c r="D49" s="2" t="s">
        <v>1573</v>
      </c>
      <c r="E49" s="4" t="s">
        <v>505</v>
      </c>
      <c r="F49" s="2" t="s">
        <v>1578</v>
      </c>
      <c r="G49" s="2" t="s">
        <v>1579</v>
      </c>
      <c r="H49" s="2" t="s">
        <v>511</v>
      </c>
      <c r="I49" s="2" t="s">
        <v>1169</v>
      </c>
      <c r="J49" s="2" t="s">
        <v>154</v>
      </c>
      <c r="K49" s="2" t="s">
        <v>155</v>
      </c>
      <c r="L49" s="2" t="s">
        <v>156</v>
      </c>
      <c r="M49" s="2" t="s">
        <v>925</v>
      </c>
      <c r="N49" s="2" t="s">
        <v>312</v>
      </c>
      <c r="O49" s="2" t="s">
        <v>159</v>
      </c>
      <c r="P49" s="150">
        <v>366</v>
      </c>
      <c r="Q49" s="149">
        <v>3.7589999999999999</v>
      </c>
      <c r="R49" s="149">
        <v>14575</v>
      </c>
      <c r="T49" s="149">
        <v>200.52199999999999</v>
      </c>
      <c r="U49" s="164">
        <v>1.9999999999999999E-6</v>
      </c>
      <c r="V49" s="164">
        <v>4.6851124586878602E-2</v>
      </c>
      <c r="W49" s="164">
        <v>2.0622699038477699E-3</v>
      </c>
    </row>
    <row r="50" spans="1:23">
      <c r="A50" s="2" t="s">
        <v>256</v>
      </c>
      <c r="B50" s="2">
        <v>7207</v>
      </c>
      <c r="C50" s="2" t="s">
        <v>1580</v>
      </c>
      <c r="D50" s="2" t="s">
        <v>1581</v>
      </c>
      <c r="E50" s="4" t="s">
        <v>505</v>
      </c>
      <c r="F50" s="2" t="s">
        <v>1582</v>
      </c>
      <c r="G50" s="2" t="s">
        <v>1583</v>
      </c>
      <c r="H50" s="2" t="s">
        <v>511</v>
      </c>
      <c r="I50" s="2" t="s">
        <v>1169</v>
      </c>
      <c r="J50" s="2" t="s">
        <v>154</v>
      </c>
      <c r="K50" s="18" t="s">
        <v>155</v>
      </c>
      <c r="L50" s="18" t="s">
        <v>535</v>
      </c>
      <c r="M50" s="2" t="s">
        <v>925</v>
      </c>
      <c r="N50" s="2" t="s">
        <v>312</v>
      </c>
      <c r="O50" s="2" t="s">
        <v>159</v>
      </c>
      <c r="P50" s="150">
        <v>290</v>
      </c>
      <c r="Q50" s="149">
        <v>3.7589999999999999</v>
      </c>
      <c r="R50" s="149">
        <v>19711</v>
      </c>
      <c r="T50" s="149">
        <v>214.87200000000001</v>
      </c>
      <c r="U50" s="164">
        <v>0</v>
      </c>
      <c r="V50" s="164">
        <v>5.0203850416119702E-2</v>
      </c>
      <c r="W50" s="164">
        <v>2.2098485507738501E-3</v>
      </c>
    </row>
    <row r="51" spans="1:23">
      <c r="A51" s="2" t="s">
        <v>256</v>
      </c>
      <c r="B51" s="2">
        <v>7207</v>
      </c>
      <c r="C51" s="2" t="s">
        <v>1584</v>
      </c>
      <c r="D51" s="2" t="s">
        <v>1585</v>
      </c>
      <c r="E51" s="4" t="s">
        <v>505</v>
      </c>
      <c r="F51" s="2" t="s">
        <v>1586</v>
      </c>
      <c r="G51" s="2" t="s">
        <v>1587</v>
      </c>
      <c r="H51" s="2" t="s">
        <v>511</v>
      </c>
      <c r="I51" s="2" t="s">
        <v>1169</v>
      </c>
      <c r="J51" s="2" t="s">
        <v>154</v>
      </c>
      <c r="K51" s="2" t="s">
        <v>155</v>
      </c>
      <c r="L51" s="2" t="s">
        <v>569</v>
      </c>
      <c r="M51" s="2" t="s">
        <v>925</v>
      </c>
      <c r="N51" s="2" t="s">
        <v>312</v>
      </c>
      <c r="O51" s="2" t="s">
        <v>159</v>
      </c>
      <c r="P51" s="150">
        <v>3588</v>
      </c>
      <c r="Q51" s="149">
        <v>3.7589999999999999</v>
      </c>
      <c r="R51" s="149">
        <v>3431</v>
      </c>
      <c r="T51" s="149">
        <v>462.74900000000002</v>
      </c>
      <c r="U51" s="164">
        <v>2.6999999999999999E-5</v>
      </c>
      <c r="V51" s="164">
        <v>0.10811937424585499</v>
      </c>
      <c r="W51" s="164">
        <v>4.7591457728322299E-3</v>
      </c>
    </row>
    <row r="52" spans="1:23">
      <c r="A52" s="2" t="s">
        <v>256</v>
      </c>
      <c r="B52" s="2">
        <v>7207</v>
      </c>
      <c r="C52" s="2" t="s">
        <v>1588</v>
      </c>
      <c r="D52" s="2" t="s">
        <v>1589</v>
      </c>
      <c r="E52" s="4" t="s">
        <v>505</v>
      </c>
      <c r="F52" s="2" t="s">
        <v>1590</v>
      </c>
      <c r="G52" s="2" t="s">
        <v>1591</v>
      </c>
      <c r="H52" s="2" t="s">
        <v>511</v>
      </c>
      <c r="I52" s="2" t="s">
        <v>1169</v>
      </c>
      <c r="J52" s="2" t="s">
        <v>154</v>
      </c>
      <c r="K52" s="2" t="s">
        <v>474</v>
      </c>
      <c r="L52" s="2" t="s">
        <v>553</v>
      </c>
      <c r="M52" s="2" t="s">
        <v>925</v>
      </c>
      <c r="N52" s="2" t="s">
        <v>312</v>
      </c>
      <c r="O52" s="2" t="s">
        <v>169</v>
      </c>
      <c r="P52" s="150">
        <v>434</v>
      </c>
      <c r="Q52" s="149">
        <v>4.0199999999999996</v>
      </c>
      <c r="R52" s="149">
        <v>23725</v>
      </c>
      <c r="T52" s="149">
        <v>413.94600000000003</v>
      </c>
      <c r="U52" s="164">
        <v>0</v>
      </c>
      <c r="V52" s="164">
        <v>9.6716741276862195E-2</v>
      </c>
      <c r="W52" s="164">
        <v>4.2572302477743504E-3</v>
      </c>
    </row>
    <row r="53" spans="1:23">
      <c r="A53" s="2" t="s">
        <v>256</v>
      </c>
      <c r="B53" s="2">
        <v>7207</v>
      </c>
      <c r="C53" s="2" t="s">
        <v>1580</v>
      </c>
      <c r="D53" s="2" t="s">
        <v>1581</v>
      </c>
      <c r="E53" s="4" t="s">
        <v>505</v>
      </c>
      <c r="F53" s="2" t="s">
        <v>1592</v>
      </c>
      <c r="G53" s="2" t="s">
        <v>1593</v>
      </c>
      <c r="H53" s="2" t="s">
        <v>511</v>
      </c>
      <c r="I53" s="2" t="s">
        <v>1169</v>
      </c>
      <c r="J53" s="2" t="s">
        <v>154</v>
      </c>
      <c r="K53" s="2" t="s">
        <v>155</v>
      </c>
      <c r="L53" s="2" t="s">
        <v>569</v>
      </c>
      <c r="M53" s="2" t="s">
        <v>925</v>
      </c>
      <c r="N53" s="2" t="s">
        <v>312</v>
      </c>
      <c r="O53" s="2" t="s">
        <v>159</v>
      </c>
      <c r="P53" s="150">
        <v>1409</v>
      </c>
      <c r="Q53" s="149">
        <v>3.7589999999999999</v>
      </c>
      <c r="R53" s="149">
        <v>47911</v>
      </c>
      <c r="S53" s="154">
        <v>0.80300000000000005</v>
      </c>
      <c r="T53" s="149">
        <v>2540.5929999999998</v>
      </c>
      <c r="U53" s="164">
        <v>0</v>
      </c>
      <c r="V53" s="164">
        <v>0.59359900709991598</v>
      </c>
      <c r="W53" s="164">
        <v>2.61287509764263E-2</v>
      </c>
    </row>
    <row r="54" spans="1:23">
      <c r="A54" s="2" t="s">
        <v>256</v>
      </c>
      <c r="B54" s="2">
        <v>7207</v>
      </c>
      <c r="C54" s="2" t="s">
        <v>1572</v>
      </c>
      <c r="D54" s="2" t="s">
        <v>1573</v>
      </c>
      <c r="E54" s="4" t="s">
        <v>505</v>
      </c>
      <c r="F54" s="2" t="s">
        <v>1596</v>
      </c>
      <c r="G54" s="2" t="s">
        <v>1597</v>
      </c>
      <c r="H54" s="2" t="s">
        <v>511</v>
      </c>
      <c r="I54" s="2" t="s">
        <v>1169</v>
      </c>
      <c r="J54" s="2" t="s">
        <v>154</v>
      </c>
      <c r="K54" s="2" t="s">
        <v>155</v>
      </c>
      <c r="L54" s="2" t="s">
        <v>156</v>
      </c>
      <c r="M54" s="2" t="s">
        <v>925</v>
      </c>
      <c r="N54" s="2" t="s">
        <v>312</v>
      </c>
      <c r="O54" s="2" t="s">
        <v>159</v>
      </c>
      <c r="P54" s="150">
        <v>270</v>
      </c>
      <c r="Q54" s="149">
        <v>3.7589999999999999</v>
      </c>
      <c r="R54" s="149">
        <v>9271</v>
      </c>
      <c r="T54" s="149">
        <v>94.093999999999994</v>
      </c>
      <c r="U54" s="164">
        <v>0</v>
      </c>
      <c r="V54" s="164">
        <v>2.1984708738883502E-2</v>
      </c>
      <c r="W54" s="164">
        <v>9.6771216436832702E-4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 K30 K41 K5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 L30 L41 L5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4"/>
  <cols>
    <col min="1" max="12" width="11.6640625" style="4" customWidth="1"/>
    <col min="13" max="13" width="11.6640625" style="2" customWidth="1"/>
    <col min="14" max="24" width="11.6640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1299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516</v>
      </c>
      <c r="M1" s="19" t="s">
        <v>8</v>
      </c>
      <c r="N1" s="19" t="s">
        <v>759</v>
      </c>
      <c r="O1" s="19" t="s">
        <v>298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9" t="s">
        <v>23</v>
      </c>
      <c r="V1" s="19" t="s">
        <v>24</v>
      </c>
      <c r="W1" s="19" t="s">
        <v>25</v>
      </c>
    </row>
    <row r="2" spans="1:2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M2" s="18"/>
      <c r="N2" s="20"/>
      <c r="O2" s="20"/>
      <c r="P2" s="18"/>
      <c r="Q2" s="18"/>
      <c r="R2" s="18"/>
      <c r="S2" s="18"/>
      <c r="T2" s="18"/>
      <c r="U2" s="18"/>
      <c r="V2" s="18"/>
      <c r="W2" s="18"/>
    </row>
    <row r="3" spans="1:2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M3" s="18"/>
      <c r="N3" s="20"/>
      <c r="O3" s="20"/>
      <c r="P3" s="18"/>
      <c r="Q3" s="18"/>
      <c r="R3" s="18"/>
      <c r="S3" s="18"/>
      <c r="T3" s="18"/>
      <c r="U3" s="18"/>
      <c r="V3" s="18"/>
      <c r="W3" s="18"/>
    </row>
    <row r="4" spans="1:2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M4" s="18"/>
      <c r="N4" s="20"/>
      <c r="O4" s="20"/>
      <c r="P4" s="18"/>
      <c r="Q4" s="18"/>
      <c r="R4" s="18"/>
      <c r="S4" s="18"/>
      <c r="T4" s="18"/>
      <c r="U4" s="18"/>
      <c r="V4" s="18"/>
      <c r="W4" s="18"/>
    </row>
    <row r="5" spans="1:23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M5" s="18"/>
      <c r="N5" s="20"/>
      <c r="O5" s="20"/>
      <c r="P5" s="18"/>
      <c r="Q5" s="18"/>
      <c r="R5" s="18"/>
      <c r="S5" s="18"/>
      <c r="T5" s="18"/>
      <c r="U5" s="18"/>
      <c r="V5" s="18"/>
      <c r="W5" s="18"/>
    </row>
    <row r="6" spans="1:2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M6" s="18"/>
      <c r="N6" s="20"/>
      <c r="O6" s="20"/>
      <c r="P6" s="18"/>
      <c r="Q6" s="18"/>
      <c r="R6" s="18"/>
      <c r="S6" s="18"/>
      <c r="T6" s="18"/>
      <c r="U6" s="18"/>
      <c r="V6" s="18"/>
      <c r="W6" s="18"/>
    </row>
    <row r="7" spans="1:2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M7" s="18"/>
      <c r="N7" s="20"/>
      <c r="O7" s="20"/>
      <c r="P7" s="18"/>
      <c r="Q7" s="18"/>
      <c r="R7" s="18"/>
      <c r="S7" s="18"/>
      <c r="T7" s="18"/>
      <c r="U7" s="18"/>
      <c r="V7" s="18"/>
      <c r="W7" s="18"/>
    </row>
    <row r="8" spans="1:2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M8" s="18"/>
      <c r="N8" s="20"/>
      <c r="O8" s="20"/>
      <c r="P8" s="18"/>
      <c r="Q8" s="18"/>
      <c r="R8" s="18"/>
      <c r="S8" s="18"/>
      <c r="T8" s="18"/>
      <c r="U8" s="18"/>
      <c r="V8" s="18"/>
      <c r="W8" s="18"/>
    </row>
    <row r="9" spans="1:23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M9" s="18"/>
      <c r="N9" s="20"/>
      <c r="O9" s="20"/>
      <c r="P9" s="18"/>
      <c r="Q9" s="18"/>
      <c r="R9" s="18"/>
      <c r="S9" s="18"/>
      <c r="T9" s="18"/>
      <c r="U9" s="18"/>
      <c r="V9" s="18"/>
      <c r="W9" s="18"/>
    </row>
    <row r="10" spans="1:23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M10" s="18"/>
      <c r="N10" s="20"/>
      <c r="O10" s="20"/>
      <c r="P10" s="18"/>
      <c r="Q10" s="18"/>
      <c r="R10" s="18"/>
      <c r="S10" s="18"/>
      <c r="T10" s="18"/>
      <c r="U10" s="18"/>
      <c r="V10" s="18"/>
      <c r="W10" s="18"/>
    </row>
    <row r="11" spans="1:23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M11" s="18"/>
      <c r="N11" s="20"/>
      <c r="O11" s="20"/>
      <c r="P11" s="18"/>
      <c r="Q11" s="18"/>
      <c r="R11" s="18"/>
      <c r="S11" s="18"/>
      <c r="T11" s="18"/>
      <c r="U11" s="18"/>
      <c r="V11" s="18"/>
      <c r="W11" s="18"/>
    </row>
    <row r="12" spans="1:23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M12" s="18"/>
      <c r="N12" s="20"/>
      <c r="O12" s="20"/>
      <c r="P12" s="18"/>
      <c r="Q12" s="18"/>
      <c r="R12" s="18"/>
      <c r="S12" s="18"/>
      <c r="T12" s="18"/>
      <c r="U12" s="18"/>
      <c r="V12" s="18"/>
      <c r="W12" s="18"/>
    </row>
    <row r="13" spans="1:2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M13" s="18"/>
      <c r="N13" s="20"/>
      <c r="O13" s="20"/>
      <c r="P13" s="18"/>
      <c r="Q13" s="18"/>
      <c r="R13" s="18"/>
      <c r="S13" s="18"/>
      <c r="T13" s="18"/>
      <c r="U13" s="18"/>
      <c r="V13" s="18"/>
      <c r="W13" s="18"/>
    </row>
    <row r="14" spans="1:23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M14" s="18"/>
      <c r="N14" s="20"/>
      <c r="O14" s="20"/>
      <c r="P14" s="18"/>
      <c r="Q14" s="18"/>
      <c r="R14" s="18"/>
      <c r="S14" s="18"/>
      <c r="T14" s="18"/>
      <c r="U14" s="18"/>
      <c r="V14" s="18"/>
      <c r="W14" s="18"/>
    </row>
    <row r="15" spans="1:2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M15" s="18"/>
      <c r="N15" s="20"/>
      <c r="O15" s="20"/>
      <c r="P15" s="18"/>
      <c r="Q15" s="18"/>
      <c r="R15" s="18"/>
      <c r="S15" s="18"/>
      <c r="T15" s="18"/>
      <c r="U15" s="18"/>
      <c r="V15" s="18"/>
      <c r="W15" s="18"/>
    </row>
    <row r="16" spans="1:23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18"/>
      <c r="N16" s="20"/>
      <c r="O16" s="20"/>
      <c r="P16" s="18"/>
      <c r="Q16" s="18"/>
      <c r="R16" s="18"/>
      <c r="S16" s="18"/>
      <c r="T16" s="18"/>
      <c r="U16" s="18"/>
      <c r="V16" s="18"/>
      <c r="W16" s="18"/>
    </row>
    <row r="17" spans="1:2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M17" s="18"/>
      <c r="N17" s="20"/>
      <c r="O17" s="20"/>
      <c r="P17" s="18"/>
      <c r="Q17" s="18"/>
      <c r="R17" s="18"/>
      <c r="S17" s="18"/>
      <c r="T17" s="18"/>
      <c r="U17" s="18"/>
      <c r="V17" s="18"/>
      <c r="W17" s="18"/>
    </row>
    <row r="18" spans="1:2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M18" s="18"/>
      <c r="N18" s="20"/>
      <c r="O18" s="20"/>
      <c r="P18" s="18"/>
      <c r="Q18" s="18"/>
      <c r="R18" s="18"/>
      <c r="S18" s="18"/>
      <c r="T18" s="18"/>
      <c r="U18" s="18"/>
      <c r="V18" s="18"/>
      <c r="W18" s="18"/>
    </row>
    <row r="19" spans="1:2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M19" s="18"/>
      <c r="N19" s="20"/>
      <c r="O19" s="20"/>
      <c r="P19" s="18"/>
      <c r="Q19" s="18"/>
      <c r="R19" s="18"/>
      <c r="S19" s="18"/>
      <c r="T19" s="18"/>
      <c r="U19" s="18"/>
      <c r="V19" s="18"/>
      <c r="W19" s="18"/>
    </row>
    <row r="20" spans="1:23">
      <c r="E20" s="18"/>
      <c r="H20" s="18"/>
      <c r="I20" s="18"/>
      <c r="J20" s="18"/>
      <c r="K20" s="18"/>
      <c r="M20" s="18"/>
      <c r="N20" s="20"/>
      <c r="O20" s="20"/>
    </row>
    <row r="21" spans="1:23" ht="13.8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6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27" width="11.6640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6</v>
      </c>
      <c r="J1" s="19" t="s">
        <v>7</v>
      </c>
      <c r="K1" s="19" t="s">
        <v>516</v>
      </c>
      <c r="L1" s="19" t="s">
        <v>8</v>
      </c>
      <c r="M1" s="19" t="s">
        <v>1305</v>
      </c>
      <c r="N1" s="19" t="s">
        <v>322</v>
      </c>
      <c r="O1" s="19" t="s">
        <v>1306</v>
      </c>
      <c r="P1" s="19" t="s">
        <v>298</v>
      </c>
      <c r="Q1" s="19" t="s">
        <v>11</v>
      </c>
      <c r="R1" s="19" t="s">
        <v>1307</v>
      </c>
      <c r="S1" s="19" t="s">
        <v>1308</v>
      </c>
      <c r="T1" s="19" t="s">
        <v>17</v>
      </c>
      <c r="U1" s="19" t="s">
        <v>18</v>
      </c>
      <c r="V1" s="19" t="s">
        <v>19</v>
      </c>
      <c r="W1" s="19" t="s">
        <v>20</v>
      </c>
      <c r="X1" s="163" t="s">
        <v>24</v>
      </c>
      <c r="Y1" s="163" t="s">
        <v>25</v>
      </c>
    </row>
    <row r="2" spans="1:25">
      <c r="A2" s="27" t="s">
        <v>26</v>
      </c>
      <c r="B2" s="20">
        <v>13711</v>
      </c>
      <c r="C2" s="20" t="s">
        <v>2176</v>
      </c>
      <c r="D2" s="20" t="s">
        <v>2177</v>
      </c>
      <c r="E2" s="18" t="s">
        <v>1552</v>
      </c>
      <c r="F2" s="20" t="s">
        <v>3062</v>
      </c>
      <c r="G2" s="20" t="s">
        <v>3063</v>
      </c>
      <c r="H2" s="18" t="s">
        <v>511</v>
      </c>
      <c r="I2" s="18" t="s">
        <v>31</v>
      </c>
      <c r="J2" s="18" t="s">
        <v>31</v>
      </c>
      <c r="K2" s="20" t="s">
        <v>517</v>
      </c>
      <c r="L2" s="18" t="s">
        <v>32</v>
      </c>
      <c r="M2" s="20" t="s">
        <v>3063</v>
      </c>
      <c r="N2" s="20" t="s">
        <v>639</v>
      </c>
      <c r="O2" s="20" t="s">
        <v>3064</v>
      </c>
      <c r="P2" s="20" t="s">
        <v>312</v>
      </c>
      <c r="Q2" s="18" t="s">
        <v>35</v>
      </c>
      <c r="R2" s="151">
        <v>100</v>
      </c>
      <c r="S2" s="151">
        <v>1</v>
      </c>
      <c r="T2" s="152">
        <v>4200</v>
      </c>
      <c r="U2" s="152">
        <v>1</v>
      </c>
      <c r="V2" s="152">
        <v>1</v>
      </c>
      <c r="W2" s="152">
        <v>4.2000000000000003E-2</v>
      </c>
      <c r="X2" s="170">
        <v>4.1142104830083098E-2</v>
      </c>
      <c r="Y2" s="170">
        <v>1.14410205611371E-6</v>
      </c>
    </row>
    <row r="3" spans="1:25">
      <c r="A3" s="20" t="s">
        <v>26</v>
      </c>
      <c r="B3" s="20">
        <v>13711</v>
      </c>
      <c r="C3" s="20" t="s">
        <v>1646</v>
      </c>
      <c r="D3" s="20" t="s">
        <v>1647</v>
      </c>
      <c r="E3" s="18" t="s">
        <v>1552</v>
      </c>
      <c r="F3" s="20" t="s">
        <v>3065</v>
      </c>
      <c r="G3" s="20" t="s">
        <v>3066</v>
      </c>
      <c r="H3" s="18" t="s">
        <v>511</v>
      </c>
      <c r="I3" s="18" t="s">
        <v>31</v>
      </c>
      <c r="J3" s="18" t="s">
        <v>31</v>
      </c>
      <c r="K3" s="20" t="s">
        <v>517</v>
      </c>
      <c r="L3" s="18" t="s">
        <v>32</v>
      </c>
      <c r="M3" s="20" t="s">
        <v>3066</v>
      </c>
      <c r="N3" s="20" t="s">
        <v>629</v>
      </c>
      <c r="O3" s="20" t="s">
        <v>3067</v>
      </c>
      <c r="P3" s="20" t="s">
        <v>312</v>
      </c>
      <c r="Q3" s="18" t="s">
        <v>35</v>
      </c>
      <c r="R3" s="151">
        <v>8000</v>
      </c>
      <c r="S3" s="151">
        <v>0</v>
      </c>
      <c r="T3" s="152">
        <v>36</v>
      </c>
      <c r="U3" s="152">
        <v>1</v>
      </c>
      <c r="V3" s="152">
        <v>498.2</v>
      </c>
      <c r="W3" s="152">
        <v>0.17899999999999999</v>
      </c>
      <c r="X3" s="170">
        <v>0.175688542511549</v>
      </c>
      <c r="Y3" s="170">
        <v>4.8856426659073099E-6</v>
      </c>
    </row>
    <row r="4" spans="1:25">
      <c r="A4" s="20" t="s">
        <v>26</v>
      </c>
      <c r="B4" s="20">
        <v>13711</v>
      </c>
      <c r="C4" s="20" t="s">
        <v>1860</v>
      </c>
      <c r="D4" s="20" t="s">
        <v>1861</v>
      </c>
      <c r="E4" s="18" t="s">
        <v>1552</v>
      </c>
      <c r="F4" s="20" t="s">
        <v>3068</v>
      </c>
      <c r="G4" s="20" t="s">
        <v>3069</v>
      </c>
      <c r="H4" s="18" t="s">
        <v>511</v>
      </c>
      <c r="I4" s="18" t="s">
        <v>31</v>
      </c>
      <c r="J4" s="18" t="s">
        <v>31</v>
      </c>
      <c r="K4" s="20" t="s">
        <v>517</v>
      </c>
      <c r="L4" s="18" t="s">
        <v>32</v>
      </c>
      <c r="M4" s="20" t="s">
        <v>3069</v>
      </c>
      <c r="N4" s="20" t="s">
        <v>652</v>
      </c>
      <c r="O4" s="20" t="s">
        <v>3070</v>
      </c>
      <c r="P4" s="20" t="s">
        <v>312</v>
      </c>
      <c r="Q4" s="18" t="s">
        <v>35</v>
      </c>
      <c r="R4" s="151">
        <v>190</v>
      </c>
      <c r="S4" s="151">
        <v>0</v>
      </c>
      <c r="T4" s="152">
        <v>6500</v>
      </c>
      <c r="U4" s="152">
        <v>1</v>
      </c>
      <c r="V4" s="152">
        <v>12.3</v>
      </c>
      <c r="W4" s="152">
        <v>0.79900000000000004</v>
      </c>
      <c r="X4" s="170">
        <v>0.78316935265836796</v>
      </c>
      <c r="Y4" s="170">
        <v>2.1778799853878901E-5</v>
      </c>
    </row>
    <row r="5" spans="1:25">
      <c r="A5" s="20" t="s">
        <v>256</v>
      </c>
      <c r="B5" s="20">
        <v>556</v>
      </c>
      <c r="C5" s="20" t="s">
        <v>2176</v>
      </c>
      <c r="D5" s="20" t="s">
        <v>2177</v>
      </c>
      <c r="E5" s="18" t="s">
        <v>1552</v>
      </c>
      <c r="F5" s="20" t="s">
        <v>3062</v>
      </c>
      <c r="G5" s="20" t="s">
        <v>3063</v>
      </c>
      <c r="H5" s="18" t="s">
        <v>511</v>
      </c>
      <c r="I5" s="18" t="s">
        <v>31</v>
      </c>
      <c r="J5" s="18" t="s">
        <v>31</v>
      </c>
      <c r="K5" s="20" t="s">
        <v>517</v>
      </c>
      <c r="L5" s="18" t="s">
        <v>32</v>
      </c>
      <c r="M5" s="20" t="s">
        <v>3063</v>
      </c>
      <c r="N5" s="20" t="s">
        <v>639</v>
      </c>
      <c r="O5" s="20" t="s">
        <v>3064</v>
      </c>
      <c r="P5" s="20" t="s">
        <v>312</v>
      </c>
      <c r="Q5" s="18" t="s">
        <v>35</v>
      </c>
      <c r="R5" s="151">
        <v>100</v>
      </c>
      <c r="S5" s="151">
        <v>1</v>
      </c>
      <c r="T5" s="152">
        <v>156200</v>
      </c>
      <c r="U5" s="152">
        <v>1</v>
      </c>
      <c r="V5" s="152">
        <v>1</v>
      </c>
      <c r="W5" s="152">
        <v>1.5620000000000001</v>
      </c>
      <c r="X5" s="170">
        <v>5.8378776679334998E-2</v>
      </c>
      <c r="Y5" s="170">
        <v>4.8974481913134597E-6</v>
      </c>
    </row>
    <row r="6" spans="1:25">
      <c r="A6" s="20" t="s">
        <v>256</v>
      </c>
      <c r="B6" s="20">
        <v>556</v>
      </c>
      <c r="C6" s="20" t="s">
        <v>1646</v>
      </c>
      <c r="D6" s="20" t="s">
        <v>1647</v>
      </c>
      <c r="E6" s="18" t="s">
        <v>1552</v>
      </c>
      <c r="F6" s="20" t="s">
        <v>3071</v>
      </c>
      <c r="G6" s="20" t="s">
        <v>3072</v>
      </c>
      <c r="H6" s="18" t="s">
        <v>511</v>
      </c>
      <c r="I6" s="18" t="s">
        <v>31</v>
      </c>
      <c r="J6" s="18" t="s">
        <v>31</v>
      </c>
      <c r="K6" s="20" t="s">
        <v>517</v>
      </c>
      <c r="L6" s="18" t="s">
        <v>32</v>
      </c>
      <c r="M6" s="20" t="s">
        <v>3072</v>
      </c>
      <c r="N6" s="20" t="s">
        <v>629</v>
      </c>
      <c r="O6" s="20" t="s">
        <v>3073</v>
      </c>
      <c r="P6" s="20" t="s">
        <v>312</v>
      </c>
      <c r="Q6" s="18" t="s">
        <v>35</v>
      </c>
      <c r="R6" s="151">
        <v>15000</v>
      </c>
      <c r="S6" s="151">
        <v>0</v>
      </c>
      <c r="T6" s="152">
        <v>300</v>
      </c>
      <c r="U6" s="152">
        <v>1</v>
      </c>
      <c r="V6" s="152">
        <v>266.3</v>
      </c>
      <c r="W6" s="152">
        <v>0.79900000000000004</v>
      </c>
      <c r="X6" s="170">
        <v>2.9858389685736699E-2</v>
      </c>
      <c r="Y6" s="170">
        <v>2.5048472215367002E-6</v>
      </c>
    </row>
    <row r="7" spans="1:25">
      <c r="A7" s="20" t="s">
        <v>256</v>
      </c>
      <c r="B7" s="20">
        <v>556</v>
      </c>
      <c r="C7" s="20" t="s">
        <v>1646</v>
      </c>
      <c r="D7" s="20" t="s">
        <v>1647</v>
      </c>
      <c r="E7" s="18" t="s">
        <v>1552</v>
      </c>
      <c r="F7" s="20" t="s">
        <v>3065</v>
      </c>
      <c r="G7" s="20" t="s">
        <v>3066</v>
      </c>
      <c r="H7" s="18" t="s">
        <v>511</v>
      </c>
      <c r="I7" s="18" t="s">
        <v>31</v>
      </c>
      <c r="J7" s="18" t="s">
        <v>31</v>
      </c>
      <c r="K7" s="20" t="s">
        <v>517</v>
      </c>
      <c r="L7" s="18" t="s">
        <v>32</v>
      </c>
      <c r="M7" s="20" t="s">
        <v>3066</v>
      </c>
      <c r="N7" s="20" t="s">
        <v>629</v>
      </c>
      <c r="O7" s="20" t="s">
        <v>3067</v>
      </c>
      <c r="P7" s="20" t="s">
        <v>312</v>
      </c>
      <c r="Q7" s="18" t="s">
        <v>35</v>
      </c>
      <c r="R7" s="151">
        <v>8000</v>
      </c>
      <c r="S7" s="151">
        <v>0</v>
      </c>
      <c r="T7" s="152">
        <v>288</v>
      </c>
      <c r="U7" s="152">
        <v>1</v>
      </c>
      <c r="V7" s="152">
        <v>498.2</v>
      </c>
      <c r="W7" s="152">
        <v>1.4350000000000001</v>
      </c>
      <c r="X7" s="170">
        <v>5.3625353930817403E-2</v>
      </c>
      <c r="Y7" s="170">
        <v>4.4986792727705603E-6</v>
      </c>
    </row>
    <row r="8" spans="1:25">
      <c r="A8" s="20" t="s">
        <v>256</v>
      </c>
      <c r="B8" s="20">
        <v>556</v>
      </c>
      <c r="C8" s="20" t="s">
        <v>3074</v>
      </c>
      <c r="D8" s="20" t="s">
        <v>3075</v>
      </c>
      <c r="E8" s="18" t="s">
        <v>1552</v>
      </c>
      <c r="F8" s="20" t="s">
        <v>3076</v>
      </c>
      <c r="G8" s="20" t="s">
        <v>3077</v>
      </c>
      <c r="H8" s="18" t="s">
        <v>511</v>
      </c>
      <c r="I8" s="18" t="s">
        <v>31</v>
      </c>
      <c r="J8" s="18" t="s">
        <v>31</v>
      </c>
      <c r="K8" s="20" t="s">
        <v>517</v>
      </c>
      <c r="L8" s="18" t="s">
        <v>32</v>
      </c>
      <c r="M8" s="20" t="s">
        <v>3077</v>
      </c>
      <c r="N8" s="20" t="s">
        <v>659</v>
      </c>
      <c r="O8" s="20" t="s">
        <v>231</v>
      </c>
      <c r="P8" s="20" t="s">
        <v>312</v>
      </c>
      <c r="Q8" s="18" t="s">
        <v>35</v>
      </c>
      <c r="R8" s="151">
        <v>4117.3940000000002</v>
      </c>
      <c r="S8" s="151">
        <v>1</v>
      </c>
      <c r="T8" s="152">
        <v>1357.63</v>
      </c>
      <c r="U8" s="152">
        <v>1</v>
      </c>
      <c r="V8" s="152">
        <v>199.9</v>
      </c>
      <c r="W8" s="152">
        <v>2.714</v>
      </c>
      <c r="X8" s="170">
        <v>0.101430409979352</v>
      </c>
      <c r="Y8" s="170">
        <v>8.5090885104723594E-6</v>
      </c>
    </row>
    <row r="9" spans="1:25">
      <c r="A9" s="20" t="s">
        <v>256</v>
      </c>
      <c r="B9" s="20">
        <v>556</v>
      </c>
      <c r="C9" s="20" t="s">
        <v>1860</v>
      </c>
      <c r="D9" s="20" t="s">
        <v>1861</v>
      </c>
      <c r="E9" s="18" t="s">
        <v>1552</v>
      </c>
      <c r="F9" s="20" t="s">
        <v>3068</v>
      </c>
      <c r="G9" s="20" t="s">
        <v>3069</v>
      </c>
      <c r="H9" s="18" t="s">
        <v>511</v>
      </c>
      <c r="I9" s="18" t="s">
        <v>31</v>
      </c>
      <c r="J9" s="18" t="s">
        <v>31</v>
      </c>
      <c r="K9" s="20" t="s">
        <v>517</v>
      </c>
      <c r="L9" s="18" t="s">
        <v>32</v>
      </c>
      <c r="M9" s="20" t="s">
        <v>3069</v>
      </c>
      <c r="N9" s="20" t="s">
        <v>652</v>
      </c>
      <c r="O9" s="20" t="s">
        <v>3070</v>
      </c>
      <c r="P9" s="20" t="s">
        <v>312</v>
      </c>
      <c r="Q9" s="18" t="s">
        <v>35</v>
      </c>
      <c r="R9" s="151">
        <v>190</v>
      </c>
      <c r="S9" s="151">
        <v>0</v>
      </c>
      <c r="T9" s="152">
        <v>129600</v>
      </c>
      <c r="U9" s="152">
        <v>1</v>
      </c>
      <c r="V9" s="152">
        <v>12.3</v>
      </c>
      <c r="W9" s="152">
        <v>15.941000000000001</v>
      </c>
      <c r="X9" s="170">
        <v>0.59577746689497002</v>
      </c>
      <c r="Y9" s="170">
        <v>4.9980308660748801E-5</v>
      </c>
    </row>
    <row r="10" spans="1:25">
      <c r="A10" s="20" t="s">
        <v>256</v>
      </c>
      <c r="B10" s="20">
        <v>556</v>
      </c>
      <c r="C10" s="20" t="s">
        <v>2887</v>
      </c>
      <c r="D10" s="20" t="s">
        <v>2888</v>
      </c>
      <c r="E10" s="18" t="s">
        <v>1552</v>
      </c>
      <c r="F10" s="20" t="s">
        <v>3078</v>
      </c>
      <c r="G10" s="20" t="s">
        <v>3079</v>
      </c>
      <c r="H10" s="18" t="s">
        <v>511</v>
      </c>
      <c r="I10" s="18" t="s">
        <v>31</v>
      </c>
      <c r="J10" s="18" t="s">
        <v>31</v>
      </c>
      <c r="K10" s="20" t="s">
        <v>517</v>
      </c>
      <c r="L10" s="18" t="s">
        <v>32</v>
      </c>
      <c r="M10" s="20" t="s">
        <v>3079</v>
      </c>
      <c r="N10" s="20" t="s">
        <v>628</v>
      </c>
      <c r="O10" s="20" t="s">
        <v>3080</v>
      </c>
      <c r="P10" s="20" t="s">
        <v>312</v>
      </c>
      <c r="Q10" s="18" t="s">
        <v>35</v>
      </c>
      <c r="R10" s="151">
        <v>37.5</v>
      </c>
      <c r="S10" s="151">
        <v>1</v>
      </c>
      <c r="T10" s="152">
        <v>3817.27</v>
      </c>
      <c r="U10" s="152">
        <v>1</v>
      </c>
      <c r="V10" s="152">
        <v>112.8</v>
      </c>
      <c r="W10" s="152">
        <v>4.306</v>
      </c>
      <c r="X10" s="170">
        <v>0.16092960282978899</v>
      </c>
      <c r="Y10" s="170">
        <v>1.3500529424189401E-5</v>
      </c>
    </row>
    <row r="11" spans="1:25">
      <c r="A11" s="27" t="s">
        <v>256</v>
      </c>
      <c r="B11" s="20">
        <v>7205</v>
      </c>
      <c r="C11" s="20" t="s">
        <v>2176</v>
      </c>
      <c r="D11" s="20" t="s">
        <v>2177</v>
      </c>
      <c r="E11" s="18" t="s">
        <v>1552</v>
      </c>
      <c r="F11" s="20" t="s">
        <v>3062</v>
      </c>
      <c r="G11" s="20" t="s">
        <v>3063</v>
      </c>
      <c r="H11" s="18" t="s">
        <v>511</v>
      </c>
      <c r="I11" s="18" t="s">
        <v>31</v>
      </c>
      <c r="J11" s="18" t="s">
        <v>31</v>
      </c>
      <c r="K11" s="20" t="s">
        <v>517</v>
      </c>
      <c r="L11" s="18" t="s">
        <v>32</v>
      </c>
      <c r="M11" s="20" t="s">
        <v>3063</v>
      </c>
      <c r="N11" s="20" t="s">
        <v>639</v>
      </c>
      <c r="O11" s="20" t="s">
        <v>3064</v>
      </c>
      <c r="P11" s="20" t="s">
        <v>312</v>
      </c>
      <c r="Q11" s="18" t="s">
        <v>35</v>
      </c>
      <c r="R11" s="151">
        <v>100</v>
      </c>
      <c r="S11" s="151">
        <v>1</v>
      </c>
      <c r="T11" s="152">
        <v>815600</v>
      </c>
      <c r="U11" s="152">
        <v>1</v>
      </c>
      <c r="V11" s="152">
        <v>1</v>
      </c>
      <c r="W11" s="152">
        <v>8.1560000000000006</v>
      </c>
      <c r="X11" s="170">
        <v>5.3942787632467501E-2</v>
      </c>
      <c r="Y11" s="170">
        <v>4.43436004212711E-6</v>
      </c>
    </row>
    <row r="12" spans="1:25">
      <c r="A12" s="20" t="s">
        <v>256</v>
      </c>
      <c r="B12" s="20">
        <v>7205</v>
      </c>
      <c r="C12" s="20" t="s">
        <v>1646</v>
      </c>
      <c r="D12" s="20" t="s">
        <v>1647</v>
      </c>
      <c r="E12" s="18" t="s">
        <v>1552</v>
      </c>
      <c r="F12" s="20" t="s">
        <v>3071</v>
      </c>
      <c r="G12" s="20" t="s">
        <v>3072</v>
      </c>
      <c r="H12" s="18" t="s">
        <v>511</v>
      </c>
      <c r="I12" s="18" t="s">
        <v>31</v>
      </c>
      <c r="J12" s="18" t="s">
        <v>31</v>
      </c>
      <c r="K12" s="20" t="s">
        <v>517</v>
      </c>
      <c r="L12" s="18" t="s">
        <v>32</v>
      </c>
      <c r="M12" s="20" t="s">
        <v>3072</v>
      </c>
      <c r="N12" s="20" t="s">
        <v>629</v>
      </c>
      <c r="O12" s="20" t="s">
        <v>3073</v>
      </c>
      <c r="P12" s="20" t="s">
        <v>312</v>
      </c>
      <c r="Q12" s="18" t="s">
        <v>35</v>
      </c>
      <c r="R12" s="151">
        <v>15000</v>
      </c>
      <c r="S12" s="151">
        <v>0</v>
      </c>
      <c r="T12" s="152">
        <v>1580</v>
      </c>
      <c r="U12" s="152">
        <v>1</v>
      </c>
      <c r="V12" s="152">
        <v>266.3</v>
      </c>
      <c r="W12" s="152">
        <v>4.2080000000000002</v>
      </c>
      <c r="X12" s="170">
        <v>2.7828155551141799E-2</v>
      </c>
      <c r="Y12" s="170">
        <v>2.2876100112373102E-6</v>
      </c>
    </row>
    <row r="13" spans="1:25">
      <c r="A13" s="20" t="s">
        <v>256</v>
      </c>
      <c r="B13" s="20">
        <v>7205</v>
      </c>
      <c r="C13" s="20" t="s">
        <v>1646</v>
      </c>
      <c r="D13" s="20" t="s">
        <v>1647</v>
      </c>
      <c r="E13" s="18" t="s">
        <v>1552</v>
      </c>
      <c r="F13" s="20" t="s">
        <v>3065</v>
      </c>
      <c r="G13" s="20" t="s">
        <v>3066</v>
      </c>
      <c r="H13" s="18" t="s">
        <v>511</v>
      </c>
      <c r="I13" s="18" t="s">
        <v>31</v>
      </c>
      <c r="J13" s="18" t="s">
        <v>31</v>
      </c>
      <c r="K13" s="20" t="s">
        <v>517</v>
      </c>
      <c r="L13" s="18" t="s">
        <v>32</v>
      </c>
      <c r="M13" s="20" t="s">
        <v>3066</v>
      </c>
      <c r="N13" s="20" t="s">
        <v>629</v>
      </c>
      <c r="O13" s="20" t="s">
        <v>3067</v>
      </c>
      <c r="P13" s="20" t="s">
        <v>312</v>
      </c>
      <c r="Q13" s="18" t="s">
        <v>35</v>
      </c>
      <c r="R13" s="151">
        <v>8000</v>
      </c>
      <c r="S13" s="151">
        <v>0</v>
      </c>
      <c r="T13" s="152">
        <v>1518</v>
      </c>
      <c r="U13" s="152">
        <v>1</v>
      </c>
      <c r="V13" s="152">
        <v>498.2</v>
      </c>
      <c r="W13" s="152">
        <v>7.5629999999999997</v>
      </c>
      <c r="X13" s="170">
        <v>5.0018615179151397E-2</v>
      </c>
      <c r="Y13" s="170">
        <v>4.1117739413871597E-6</v>
      </c>
    </row>
    <row r="14" spans="1:25">
      <c r="A14" s="20" t="s">
        <v>256</v>
      </c>
      <c r="B14" s="20">
        <v>7205</v>
      </c>
      <c r="C14" s="20" t="s">
        <v>3074</v>
      </c>
      <c r="D14" s="20" t="s">
        <v>3075</v>
      </c>
      <c r="E14" s="18" t="s">
        <v>1552</v>
      </c>
      <c r="F14" s="20" t="s">
        <v>3076</v>
      </c>
      <c r="G14" s="20" t="s">
        <v>3077</v>
      </c>
      <c r="H14" s="18" t="s">
        <v>511</v>
      </c>
      <c r="I14" s="18" t="s">
        <v>31</v>
      </c>
      <c r="J14" s="18" t="s">
        <v>31</v>
      </c>
      <c r="K14" s="20" t="s">
        <v>517</v>
      </c>
      <c r="L14" s="18" t="s">
        <v>32</v>
      </c>
      <c r="M14" s="20" t="s">
        <v>3077</v>
      </c>
      <c r="N14" s="20" t="s">
        <v>659</v>
      </c>
      <c r="O14" s="20" t="s">
        <v>231</v>
      </c>
      <c r="P14" s="20" t="s">
        <v>312</v>
      </c>
      <c r="Q14" s="18" t="s">
        <v>35</v>
      </c>
      <c r="R14" s="151">
        <v>4117.3940000000002</v>
      </c>
      <c r="S14" s="151">
        <v>1</v>
      </c>
      <c r="T14" s="152">
        <v>7443.91</v>
      </c>
      <c r="U14" s="152">
        <v>1</v>
      </c>
      <c r="V14" s="152">
        <v>199.9</v>
      </c>
      <c r="W14" s="152">
        <v>14.88</v>
      </c>
      <c r="X14" s="170">
        <v>9.8416989616738199E-2</v>
      </c>
      <c r="Y14" s="170">
        <v>8.0903561973172595E-6</v>
      </c>
    </row>
    <row r="15" spans="1:25">
      <c r="A15" s="20" t="s">
        <v>256</v>
      </c>
      <c r="B15" s="20">
        <v>7205</v>
      </c>
      <c r="C15" s="20" t="s">
        <v>1860</v>
      </c>
      <c r="D15" s="20" t="s">
        <v>1861</v>
      </c>
      <c r="E15" s="18" t="s">
        <v>1552</v>
      </c>
      <c r="F15" s="20" t="s">
        <v>3068</v>
      </c>
      <c r="G15" s="20" t="s">
        <v>3069</v>
      </c>
      <c r="H15" s="18" t="s">
        <v>511</v>
      </c>
      <c r="I15" s="18" t="s">
        <v>31</v>
      </c>
      <c r="J15" s="18" t="s">
        <v>31</v>
      </c>
      <c r="K15" s="20" t="s">
        <v>517</v>
      </c>
      <c r="L15" s="18" t="s">
        <v>32</v>
      </c>
      <c r="M15" s="20" t="s">
        <v>3069</v>
      </c>
      <c r="N15" s="20" t="s">
        <v>652</v>
      </c>
      <c r="O15" s="20" t="s">
        <v>3070</v>
      </c>
      <c r="P15" s="20" t="s">
        <v>312</v>
      </c>
      <c r="Q15" s="18" t="s">
        <v>35</v>
      </c>
      <c r="R15" s="151">
        <v>190</v>
      </c>
      <c r="S15" s="151">
        <v>0</v>
      </c>
      <c r="T15" s="152">
        <v>738100</v>
      </c>
      <c r="U15" s="152">
        <v>1</v>
      </c>
      <c r="V15" s="152">
        <v>12.3</v>
      </c>
      <c r="W15" s="152">
        <v>90.786000000000001</v>
      </c>
      <c r="X15" s="170">
        <v>0.60044949740528197</v>
      </c>
      <c r="Y15" s="170">
        <v>4.9359875072653797E-5</v>
      </c>
    </row>
    <row r="16" spans="1:25">
      <c r="A16" s="20" t="s">
        <v>256</v>
      </c>
      <c r="B16" s="20">
        <v>7205</v>
      </c>
      <c r="C16" s="20" t="s">
        <v>2887</v>
      </c>
      <c r="D16" s="20" t="s">
        <v>2888</v>
      </c>
      <c r="E16" s="18" t="s">
        <v>1552</v>
      </c>
      <c r="F16" s="20" t="s">
        <v>3078</v>
      </c>
      <c r="G16" s="20" t="s">
        <v>3079</v>
      </c>
      <c r="H16" s="18" t="s">
        <v>511</v>
      </c>
      <c r="I16" s="18" t="s">
        <v>31</v>
      </c>
      <c r="J16" s="18" t="s">
        <v>31</v>
      </c>
      <c r="K16" s="20" t="s">
        <v>517</v>
      </c>
      <c r="L16" s="18" t="s">
        <v>32</v>
      </c>
      <c r="M16" s="20" t="s">
        <v>3079</v>
      </c>
      <c r="N16" s="20" t="s">
        <v>628</v>
      </c>
      <c r="O16" s="20" t="s">
        <v>3080</v>
      </c>
      <c r="P16" s="20" t="s">
        <v>312</v>
      </c>
      <c r="Q16" s="18" t="s">
        <v>35</v>
      </c>
      <c r="R16" s="151">
        <v>37.5</v>
      </c>
      <c r="S16" s="151">
        <v>1</v>
      </c>
      <c r="T16" s="152">
        <v>22698.880000000001</v>
      </c>
      <c r="U16" s="152">
        <v>1</v>
      </c>
      <c r="V16" s="152">
        <v>112.8</v>
      </c>
      <c r="W16" s="152">
        <v>25.603999999999999</v>
      </c>
      <c r="X16" s="170">
        <v>0.16934395461521901</v>
      </c>
      <c r="Y16" s="170">
        <v>1.3920898394015101E-5</v>
      </c>
    </row>
    <row r="17" spans="1:25">
      <c r="A17" s="20" t="s">
        <v>256</v>
      </c>
      <c r="B17" s="20">
        <v>7206</v>
      </c>
      <c r="C17" s="20" t="s">
        <v>2176</v>
      </c>
      <c r="D17" s="20" t="s">
        <v>2177</v>
      </c>
      <c r="E17" s="18" t="s">
        <v>1552</v>
      </c>
      <c r="F17" s="20" t="s">
        <v>3062</v>
      </c>
      <c r="G17" s="20" t="s">
        <v>3063</v>
      </c>
      <c r="H17" s="18" t="s">
        <v>511</v>
      </c>
      <c r="I17" s="18" t="s">
        <v>31</v>
      </c>
      <c r="J17" s="18" t="s">
        <v>31</v>
      </c>
      <c r="K17" s="20" t="s">
        <v>517</v>
      </c>
      <c r="L17" s="18" t="s">
        <v>32</v>
      </c>
      <c r="M17" s="20" t="s">
        <v>3063</v>
      </c>
      <c r="N17" s="20" t="s">
        <v>639</v>
      </c>
      <c r="O17" s="20" t="s">
        <v>3064</v>
      </c>
      <c r="P17" s="20" t="s">
        <v>312</v>
      </c>
      <c r="Q17" s="18" t="s">
        <v>35</v>
      </c>
      <c r="R17" s="151">
        <v>100</v>
      </c>
      <c r="S17" s="151">
        <v>1</v>
      </c>
      <c r="T17" s="152">
        <v>21600</v>
      </c>
      <c r="U17" s="152">
        <v>1</v>
      </c>
      <c r="V17" s="152">
        <v>1</v>
      </c>
      <c r="W17" s="152">
        <v>0.216</v>
      </c>
      <c r="X17" s="170">
        <v>3.7374716252581701E-2</v>
      </c>
      <c r="Y17" s="170">
        <v>3.2253937932441E-6</v>
      </c>
    </row>
    <row r="18" spans="1:25">
      <c r="A18" s="20" t="s">
        <v>256</v>
      </c>
      <c r="B18" s="20">
        <v>7206</v>
      </c>
      <c r="C18" s="20" t="s">
        <v>1646</v>
      </c>
      <c r="D18" s="20" t="s">
        <v>1647</v>
      </c>
      <c r="E18" s="18" t="s">
        <v>1552</v>
      </c>
      <c r="F18" s="20" t="s">
        <v>3071</v>
      </c>
      <c r="G18" s="20" t="s">
        <v>3072</v>
      </c>
      <c r="H18" s="18" t="s">
        <v>511</v>
      </c>
      <c r="I18" s="18" t="s">
        <v>31</v>
      </c>
      <c r="J18" s="18" t="s">
        <v>31</v>
      </c>
      <c r="K18" s="20" t="s">
        <v>517</v>
      </c>
      <c r="L18" s="18" t="s">
        <v>32</v>
      </c>
      <c r="M18" s="20" t="s">
        <v>3072</v>
      </c>
      <c r="N18" s="20" t="s">
        <v>629</v>
      </c>
      <c r="O18" s="20" t="s">
        <v>3073</v>
      </c>
      <c r="P18" s="20" t="s">
        <v>312</v>
      </c>
      <c r="Q18" s="18" t="s">
        <v>35</v>
      </c>
      <c r="R18" s="151">
        <v>15000</v>
      </c>
      <c r="S18" s="151">
        <v>0</v>
      </c>
      <c r="T18" s="152">
        <v>45</v>
      </c>
      <c r="U18" s="152">
        <v>1</v>
      </c>
      <c r="V18" s="152">
        <v>266.3</v>
      </c>
      <c r="W18" s="152">
        <v>0.12</v>
      </c>
      <c r="X18" s="170">
        <v>2.0735181120963599E-2</v>
      </c>
      <c r="Y18" s="170">
        <v>1.78942159821022E-6</v>
      </c>
    </row>
    <row r="19" spans="1:25">
      <c r="A19" s="20" t="s">
        <v>256</v>
      </c>
      <c r="B19" s="20">
        <v>7206</v>
      </c>
      <c r="C19" s="20" t="s">
        <v>1646</v>
      </c>
      <c r="D19" s="20" t="s">
        <v>1647</v>
      </c>
      <c r="E19" s="18" t="s">
        <v>1552</v>
      </c>
      <c r="F19" s="20" t="s">
        <v>3065</v>
      </c>
      <c r="G19" s="20" t="s">
        <v>3066</v>
      </c>
      <c r="H19" s="18" t="s">
        <v>511</v>
      </c>
      <c r="I19" s="18" t="s">
        <v>31</v>
      </c>
      <c r="J19" s="18" t="s">
        <v>31</v>
      </c>
      <c r="K19" s="20" t="s">
        <v>517</v>
      </c>
      <c r="L19" s="18" t="s">
        <v>32</v>
      </c>
      <c r="M19" s="20" t="s">
        <v>3066</v>
      </c>
      <c r="N19" s="20" t="s">
        <v>629</v>
      </c>
      <c r="O19" s="20" t="s">
        <v>3067</v>
      </c>
      <c r="P19" s="20" t="s">
        <v>312</v>
      </c>
      <c r="Q19" s="18" t="s">
        <v>35</v>
      </c>
      <c r="R19" s="151">
        <v>8000</v>
      </c>
      <c r="S19" s="151">
        <v>0</v>
      </c>
      <c r="T19" s="152">
        <v>66</v>
      </c>
      <c r="U19" s="152">
        <v>1</v>
      </c>
      <c r="V19" s="152">
        <v>498.2</v>
      </c>
      <c r="W19" s="152">
        <v>0.32900000000000001</v>
      </c>
      <c r="X19" s="170">
        <v>5.6894700002055099E-2</v>
      </c>
      <c r="Y19" s="170">
        <v>4.9099452960378702E-6</v>
      </c>
    </row>
    <row r="20" spans="1:25">
      <c r="A20" s="2" t="s">
        <v>256</v>
      </c>
      <c r="B20" s="2">
        <v>7206</v>
      </c>
      <c r="C20" s="2" t="s">
        <v>3074</v>
      </c>
      <c r="D20" s="2" t="s">
        <v>3075</v>
      </c>
      <c r="E20" s="18" t="s">
        <v>1552</v>
      </c>
      <c r="F20" s="2" t="s">
        <v>3076</v>
      </c>
      <c r="G20" s="2" t="s">
        <v>3077</v>
      </c>
      <c r="H20" s="18" t="s">
        <v>511</v>
      </c>
      <c r="I20" s="18" t="s">
        <v>31</v>
      </c>
      <c r="J20" s="18" t="s">
        <v>31</v>
      </c>
      <c r="K20" s="20" t="s">
        <v>517</v>
      </c>
      <c r="L20" s="18" t="s">
        <v>32</v>
      </c>
      <c r="M20" s="2" t="s">
        <v>3077</v>
      </c>
      <c r="N20" s="20" t="s">
        <v>659</v>
      </c>
      <c r="O20" s="2" t="s">
        <v>231</v>
      </c>
      <c r="P20" s="20" t="s">
        <v>312</v>
      </c>
      <c r="Q20" s="2" t="s">
        <v>35</v>
      </c>
      <c r="R20" s="149">
        <v>4117.3940000000002</v>
      </c>
      <c r="S20" s="149">
        <v>1</v>
      </c>
      <c r="T20" s="149">
        <v>158.91</v>
      </c>
      <c r="U20" s="149">
        <v>1</v>
      </c>
      <c r="V20" s="149">
        <v>199.9</v>
      </c>
      <c r="W20" s="149">
        <v>0.318</v>
      </c>
      <c r="X20" s="164">
        <v>5.4965245848313998E-2</v>
      </c>
      <c r="Y20" s="164">
        <v>4.74343568537572E-6</v>
      </c>
    </row>
    <row r="21" spans="1:25">
      <c r="A21" s="2" t="s">
        <v>256</v>
      </c>
      <c r="B21" s="2">
        <v>7206</v>
      </c>
      <c r="C21" s="2" t="s">
        <v>1860</v>
      </c>
      <c r="D21" s="2" t="s">
        <v>1861</v>
      </c>
      <c r="E21" s="4" t="s">
        <v>1552</v>
      </c>
      <c r="F21" s="2" t="s">
        <v>3068</v>
      </c>
      <c r="G21" s="2" t="s">
        <v>3069</v>
      </c>
      <c r="H21" s="4" t="s">
        <v>511</v>
      </c>
      <c r="I21" s="2" t="s">
        <v>31</v>
      </c>
      <c r="J21" s="2" t="s">
        <v>31</v>
      </c>
      <c r="K21" s="2" t="s">
        <v>517</v>
      </c>
      <c r="L21" s="4" t="s">
        <v>32</v>
      </c>
      <c r="M21" s="2" t="s">
        <v>3069</v>
      </c>
      <c r="N21" s="2" t="s">
        <v>652</v>
      </c>
      <c r="O21" s="2" t="s">
        <v>3070</v>
      </c>
      <c r="P21" s="2" t="s">
        <v>312</v>
      </c>
      <c r="Q21" s="2" t="s">
        <v>35</v>
      </c>
      <c r="R21" s="149">
        <v>190</v>
      </c>
      <c r="S21" s="149">
        <v>0</v>
      </c>
      <c r="T21" s="149">
        <v>39000</v>
      </c>
      <c r="U21" s="149">
        <v>1</v>
      </c>
      <c r="V21" s="149">
        <v>12.3</v>
      </c>
      <c r="W21" s="149">
        <v>4.7969999999999997</v>
      </c>
      <c r="X21" s="164">
        <v>0.83003015677608605</v>
      </c>
      <c r="Y21" s="164">
        <v>7.1630620491629503E-5</v>
      </c>
    </row>
    <row r="22" spans="1:25">
      <c r="A22" s="2" t="s">
        <v>256</v>
      </c>
      <c r="B22" s="2">
        <v>7207</v>
      </c>
      <c r="C22" s="2" t="s">
        <v>2176</v>
      </c>
      <c r="D22" s="2" t="s">
        <v>2177</v>
      </c>
      <c r="E22" s="4" t="s">
        <v>1552</v>
      </c>
      <c r="F22" s="2" t="s">
        <v>3062</v>
      </c>
      <c r="G22" s="2" t="s">
        <v>3063</v>
      </c>
      <c r="H22" s="2" t="s">
        <v>511</v>
      </c>
      <c r="I22" s="2" t="s">
        <v>31</v>
      </c>
      <c r="J22" s="2" t="s">
        <v>31</v>
      </c>
      <c r="K22" s="2" t="s">
        <v>517</v>
      </c>
      <c r="L22" s="4" t="s">
        <v>32</v>
      </c>
      <c r="M22" s="2" t="s">
        <v>3063</v>
      </c>
      <c r="N22" s="2" t="s">
        <v>639</v>
      </c>
      <c r="O22" s="2" t="s">
        <v>3064</v>
      </c>
      <c r="P22" s="2" t="s">
        <v>312</v>
      </c>
      <c r="Q22" s="2" t="s">
        <v>35</v>
      </c>
      <c r="R22" s="149">
        <v>100</v>
      </c>
      <c r="S22" s="149">
        <v>1</v>
      </c>
      <c r="T22" s="149">
        <v>43400</v>
      </c>
      <c r="U22" s="149">
        <v>1</v>
      </c>
      <c r="V22" s="149">
        <v>1</v>
      </c>
      <c r="W22" s="149">
        <v>0.434</v>
      </c>
      <c r="X22" s="164">
        <v>4.9206409570674799E-2</v>
      </c>
      <c r="Y22" s="164">
        <v>4.4634765642927403E-6</v>
      </c>
    </row>
    <row r="23" spans="1:25">
      <c r="A23" s="2" t="s">
        <v>256</v>
      </c>
      <c r="B23" s="2">
        <v>7207</v>
      </c>
      <c r="C23" s="2" t="s">
        <v>1646</v>
      </c>
      <c r="D23" s="2" t="s">
        <v>1647</v>
      </c>
      <c r="E23" s="4" t="s">
        <v>1552</v>
      </c>
      <c r="F23" s="2" t="s">
        <v>3071</v>
      </c>
      <c r="G23" s="2" t="s">
        <v>3072</v>
      </c>
      <c r="H23" s="2" t="s">
        <v>511</v>
      </c>
      <c r="I23" s="2" t="s">
        <v>31</v>
      </c>
      <c r="J23" s="2" t="s">
        <v>31</v>
      </c>
      <c r="K23" s="2" t="s">
        <v>517</v>
      </c>
      <c r="L23" s="2" t="s">
        <v>32</v>
      </c>
      <c r="M23" s="2" t="s">
        <v>3072</v>
      </c>
      <c r="N23" s="2" t="s">
        <v>629</v>
      </c>
      <c r="O23" s="2" t="s">
        <v>3073</v>
      </c>
      <c r="P23" s="2" t="s">
        <v>312</v>
      </c>
      <c r="Q23" s="2" t="s">
        <v>35</v>
      </c>
      <c r="R23" s="149">
        <v>15000</v>
      </c>
      <c r="S23" s="149">
        <v>0</v>
      </c>
      <c r="T23" s="149">
        <v>85</v>
      </c>
      <c r="U23" s="149">
        <v>1</v>
      </c>
      <c r="V23" s="149">
        <v>266.3</v>
      </c>
      <c r="W23" s="149">
        <v>0.22600000000000001</v>
      </c>
      <c r="X23" s="164">
        <v>2.56638636828804E-2</v>
      </c>
      <c r="Y23" s="164">
        <v>2.3279498564757701E-6</v>
      </c>
    </row>
    <row r="24" spans="1:25">
      <c r="A24" s="2" t="s">
        <v>256</v>
      </c>
      <c r="B24" s="2">
        <v>7207</v>
      </c>
      <c r="C24" s="2" t="s">
        <v>1646</v>
      </c>
      <c r="D24" s="2" t="s">
        <v>1647</v>
      </c>
      <c r="E24" s="4" t="s">
        <v>1552</v>
      </c>
      <c r="F24" s="2" t="s">
        <v>3065</v>
      </c>
      <c r="G24" s="2" t="s">
        <v>3066</v>
      </c>
      <c r="H24" s="2" t="s">
        <v>511</v>
      </c>
      <c r="I24" s="2" t="s">
        <v>31</v>
      </c>
      <c r="J24" s="2" t="s">
        <v>31</v>
      </c>
      <c r="K24" s="2" t="s">
        <v>517</v>
      </c>
      <c r="L24" s="2" t="s">
        <v>32</v>
      </c>
      <c r="M24" s="2" t="s">
        <v>3066</v>
      </c>
      <c r="N24" s="2" t="s">
        <v>629</v>
      </c>
      <c r="O24" s="2" t="s">
        <v>3067</v>
      </c>
      <c r="P24" s="2" t="s">
        <v>312</v>
      </c>
      <c r="Q24" s="2" t="s">
        <v>35</v>
      </c>
      <c r="R24" s="149">
        <v>8000</v>
      </c>
      <c r="S24" s="149">
        <v>0</v>
      </c>
      <c r="T24" s="149">
        <v>66</v>
      </c>
      <c r="U24" s="149">
        <v>1</v>
      </c>
      <c r="V24" s="149">
        <v>498.2</v>
      </c>
      <c r="W24" s="149">
        <v>0.32900000000000001</v>
      </c>
      <c r="X24" s="164">
        <v>3.7280317842748198E-2</v>
      </c>
      <c r="Y24" s="164">
        <v>3.3816697144198702E-6</v>
      </c>
    </row>
    <row r="25" spans="1:25">
      <c r="A25" s="2" t="s">
        <v>256</v>
      </c>
      <c r="B25" s="2">
        <v>7207</v>
      </c>
      <c r="C25" s="2" t="s">
        <v>3074</v>
      </c>
      <c r="D25" s="2" t="s">
        <v>3075</v>
      </c>
      <c r="E25" s="4" t="s">
        <v>1552</v>
      </c>
      <c r="F25" s="2" t="s">
        <v>3076</v>
      </c>
      <c r="G25" s="2" t="s">
        <v>3077</v>
      </c>
      <c r="H25" s="2" t="s">
        <v>511</v>
      </c>
      <c r="I25" s="2" t="s">
        <v>31</v>
      </c>
      <c r="J25" s="2" t="s">
        <v>31</v>
      </c>
      <c r="K25" s="2" t="s">
        <v>517</v>
      </c>
      <c r="L25" s="2" t="s">
        <v>32</v>
      </c>
      <c r="M25" s="2" t="s">
        <v>3077</v>
      </c>
      <c r="N25" s="2" t="s">
        <v>659</v>
      </c>
      <c r="O25" s="2" t="s">
        <v>231</v>
      </c>
      <c r="P25" s="2" t="s">
        <v>312</v>
      </c>
      <c r="Q25" s="2" t="s">
        <v>35</v>
      </c>
      <c r="R25" s="149">
        <v>4117.3940000000002</v>
      </c>
      <c r="S25" s="149">
        <v>1</v>
      </c>
      <c r="T25" s="149">
        <v>317.82</v>
      </c>
      <c r="U25" s="149">
        <v>1</v>
      </c>
      <c r="V25" s="149">
        <v>199.9</v>
      </c>
      <c r="W25" s="149">
        <v>0.63500000000000001</v>
      </c>
      <c r="X25" s="164">
        <v>7.2032081563165803E-2</v>
      </c>
      <c r="Y25" s="164">
        <v>6.53397617789256E-6</v>
      </c>
    </row>
    <row r="26" spans="1:25">
      <c r="A26" s="2" t="s">
        <v>256</v>
      </c>
      <c r="B26" s="2">
        <v>7207</v>
      </c>
      <c r="C26" s="2" t="s">
        <v>1860</v>
      </c>
      <c r="D26" s="2" t="s">
        <v>1861</v>
      </c>
      <c r="E26" s="4" t="s">
        <v>1552</v>
      </c>
      <c r="F26" s="2" t="s">
        <v>3068</v>
      </c>
      <c r="G26" s="2" t="s">
        <v>3069</v>
      </c>
      <c r="H26" s="2" t="s">
        <v>511</v>
      </c>
      <c r="I26" s="2" t="s">
        <v>31</v>
      </c>
      <c r="J26" s="2" t="s">
        <v>31</v>
      </c>
      <c r="K26" s="2" t="s">
        <v>517</v>
      </c>
      <c r="L26" s="2" t="s">
        <v>32</v>
      </c>
      <c r="M26" s="2" t="s">
        <v>3069</v>
      </c>
      <c r="N26" s="2" t="s">
        <v>652</v>
      </c>
      <c r="O26" s="2" t="s">
        <v>3070</v>
      </c>
      <c r="P26" s="2" t="s">
        <v>312</v>
      </c>
      <c r="Q26" s="2" t="s">
        <v>35</v>
      </c>
      <c r="R26" s="149">
        <v>190</v>
      </c>
      <c r="S26" s="149">
        <v>0</v>
      </c>
      <c r="T26" s="149">
        <v>58500</v>
      </c>
      <c r="U26" s="149">
        <v>1</v>
      </c>
      <c r="V26" s="149">
        <v>12.3</v>
      </c>
      <c r="W26" s="149">
        <v>7.1959999999999997</v>
      </c>
      <c r="X26" s="164">
        <v>0.81581732734053103</v>
      </c>
      <c r="Y26" s="164">
        <v>7.4002178844166799E-5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25" width="11.6640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322</v>
      </c>
      <c r="N1" s="19" t="s">
        <v>365</v>
      </c>
      <c r="O1" s="19" t="s">
        <v>1306</v>
      </c>
      <c r="P1" s="19" t="s">
        <v>298</v>
      </c>
      <c r="Q1" s="19" t="s">
        <v>11</v>
      </c>
      <c r="R1" s="19" t="s">
        <v>1307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5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20" width="11.6640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6</v>
      </c>
      <c r="J1" s="19" t="s">
        <v>7</v>
      </c>
      <c r="K1" s="19" t="s">
        <v>8</v>
      </c>
      <c r="L1" s="19" t="s">
        <v>365</v>
      </c>
      <c r="M1" s="19" t="s">
        <v>298</v>
      </c>
      <c r="N1" s="19" t="s">
        <v>11</v>
      </c>
      <c r="O1" s="19" t="s">
        <v>17</v>
      </c>
      <c r="P1" s="19" t="s">
        <v>18</v>
      </c>
      <c r="Q1" s="19" t="s">
        <v>19</v>
      </c>
      <c r="R1" s="19" t="s">
        <v>20</v>
      </c>
      <c r="S1" s="163" t="s">
        <v>24</v>
      </c>
      <c r="T1" s="163" t="s">
        <v>25</v>
      </c>
    </row>
    <row r="2" spans="1:20">
      <c r="A2" s="20" t="s">
        <v>26</v>
      </c>
      <c r="B2" s="20">
        <v>13711</v>
      </c>
      <c r="C2" s="2" t="s">
        <v>3039</v>
      </c>
      <c r="D2" s="2" t="s">
        <v>3040</v>
      </c>
      <c r="E2" s="18" t="s">
        <v>34</v>
      </c>
      <c r="F2" s="20" t="s">
        <v>3041</v>
      </c>
      <c r="G2" s="20" t="s">
        <v>3042</v>
      </c>
      <c r="H2" s="18" t="s">
        <v>342</v>
      </c>
      <c r="I2" s="18" t="s">
        <v>154</v>
      </c>
      <c r="J2" s="18" t="s">
        <v>155</v>
      </c>
      <c r="K2" s="18" t="s">
        <v>342</v>
      </c>
      <c r="L2" s="20" t="s">
        <v>937</v>
      </c>
      <c r="M2" s="20" t="s">
        <v>312</v>
      </c>
      <c r="N2" s="18" t="s">
        <v>159</v>
      </c>
      <c r="O2" s="152">
        <v>2</v>
      </c>
      <c r="P2" s="152">
        <v>3.7589999999999999</v>
      </c>
      <c r="Q2" s="152">
        <v>5521.5</v>
      </c>
      <c r="R2" s="152">
        <v>0.191</v>
      </c>
      <c r="S2" s="170">
        <v>5.2853169117439997E-3</v>
      </c>
      <c r="T2" s="170">
        <v>5.1966545516250397E-6</v>
      </c>
    </row>
    <row r="3" spans="1:20">
      <c r="A3" s="20" t="s">
        <v>26</v>
      </c>
      <c r="B3" s="20">
        <v>13711</v>
      </c>
      <c r="C3" s="2" t="s">
        <v>3039</v>
      </c>
      <c r="D3" s="2" t="s">
        <v>3040</v>
      </c>
      <c r="E3" s="18" t="s">
        <v>34</v>
      </c>
      <c r="F3" s="20" t="s">
        <v>3043</v>
      </c>
      <c r="G3" s="20" t="s">
        <v>3044</v>
      </c>
      <c r="H3" s="18" t="s">
        <v>342</v>
      </c>
      <c r="I3" s="18" t="s">
        <v>154</v>
      </c>
      <c r="J3" s="18" t="s">
        <v>155</v>
      </c>
      <c r="K3" s="18" t="s">
        <v>342</v>
      </c>
      <c r="L3" s="20" t="s">
        <v>937</v>
      </c>
      <c r="M3" s="20" t="s">
        <v>312</v>
      </c>
      <c r="N3" s="18" t="s">
        <v>169</v>
      </c>
      <c r="O3" s="152">
        <v>1</v>
      </c>
      <c r="P3" s="152">
        <v>4.0199999999999996</v>
      </c>
      <c r="Q3" s="152">
        <v>18403</v>
      </c>
      <c r="R3" s="152">
        <v>3.327</v>
      </c>
      <c r="S3" s="170">
        <v>9.2167609259418901E-2</v>
      </c>
      <c r="T3" s="170">
        <v>9.0621477229889394E-5</v>
      </c>
    </row>
    <row r="4" spans="1:20">
      <c r="A4" s="20" t="s">
        <v>26</v>
      </c>
      <c r="B4" s="20">
        <v>13711</v>
      </c>
      <c r="C4" s="2" t="s">
        <v>3039</v>
      </c>
      <c r="D4" s="2" t="s">
        <v>3040</v>
      </c>
      <c r="E4" s="18" t="s">
        <v>34</v>
      </c>
      <c r="F4" s="20" t="s">
        <v>3045</v>
      </c>
      <c r="G4" s="20" t="s">
        <v>3046</v>
      </c>
      <c r="H4" s="18" t="s">
        <v>342</v>
      </c>
      <c r="I4" s="18" t="s">
        <v>154</v>
      </c>
      <c r="J4" s="18" t="s">
        <v>402</v>
      </c>
      <c r="K4" s="18" t="s">
        <v>3047</v>
      </c>
      <c r="L4" s="20" t="s">
        <v>937</v>
      </c>
      <c r="M4" s="20" t="s">
        <v>312</v>
      </c>
      <c r="N4" s="18" t="s">
        <v>1363</v>
      </c>
      <c r="O4" s="152">
        <v>1</v>
      </c>
      <c r="P4" s="152">
        <v>2.4929999999999999</v>
      </c>
      <c r="Q4" s="152">
        <v>7772</v>
      </c>
      <c r="R4" s="152">
        <v>5.298</v>
      </c>
      <c r="S4" s="170">
        <v>0.14677811090846199</v>
      </c>
      <c r="T4" s="170">
        <v>1.4431587563586601E-4</v>
      </c>
    </row>
    <row r="5" spans="1:20">
      <c r="A5" s="20" t="s">
        <v>26</v>
      </c>
      <c r="B5" s="20">
        <v>13711</v>
      </c>
      <c r="C5" s="2" t="s">
        <v>3039</v>
      </c>
      <c r="D5" s="2" t="s">
        <v>3040</v>
      </c>
      <c r="E5" s="18" t="s">
        <v>34</v>
      </c>
      <c r="F5" s="20" t="s">
        <v>3048</v>
      </c>
      <c r="G5" s="20" t="s">
        <v>3049</v>
      </c>
      <c r="H5" s="18" t="s">
        <v>342</v>
      </c>
      <c r="I5" s="18" t="s">
        <v>154</v>
      </c>
      <c r="J5" s="18" t="s">
        <v>461</v>
      </c>
      <c r="K5" s="18" t="s">
        <v>342</v>
      </c>
      <c r="L5" s="20" t="s">
        <v>937</v>
      </c>
      <c r="M5" s="20" t="s">
        <v>312</v>
      </c>
      <c r="N5" s="18" t="s">
        <v>1364</v>
      </c>
      <c r="O5" s="152">
        <v>1</v>
      </c>
      <c r="P5" s="152">
        <v>0.48199999999999998</v>
      </c>
      <c r="Q5" s="152">
        <v>17630</v>
      </c>
      <c r="R5" s="152">
        <v>-1.5289999999999999</v>
      </c>
      <c r="S5" s="170">
        <v>-4.2367147241890002E-2</v>
      </c>
      <c r="T5" s="170">
        <v>-4.1656428976798598E-5</v>
      </c>
    </row>
    <row r="6" spans="1:20">
      <c r="A6" s="20" t="s">
        <v>26</v>
      </c>
      <c r="B6" s="20">
        <v>13711</v>
      </c>
      <c r="C6" s="2" t="s">
        <v>3039</v>
      </c>
      <c r="D6" s="2" t="s">
        <v>3040</v>
      </c>
      <c r="E6" s="18" t="s">
        <v>34</v>
      </c>
      <c r="F6" s="20" t="s">
        <v>3050</v>
      </c>
      <c r="G6" s="20" t="s">
        <v>3051</v>
      </c>
      <c r="H6" s="18" t="s">
        <v>342</v>
      </c>
      <c r="I6" s="18" t="s">
        <v>154</v>
      </c>
      <c r="J6" s="18" t="s">
        <v>155</v>
      </c>
      <c r="K6" s="18" t="s">
        <v>342</v>
      </c>
      <c r="L6" s="20" t="s">
        <v>937</v>
      </c>
      <c r="M6" s="20" t="s">
        <v>312</v>
      </c>
      <c r="N6" s="18" t="s">
        <v>159</v>
      </c>
      <c r="O6" s="152">
        <v>2</v>
      </c>
      <c r="P6" s="152">
        <v>3.7589999999999999</v>
      </c>
      <c r="Q6" s="152">
        <v>2065</v>
      </c>
      <c r="R6" s="152">
        <v>13.382</v>
      </c>
      <c r="S6" s="170">
        <v>0.37075326513911999</v>
      </c>
      <c r="T6" s="170">
        <v>3.6453379711895299E-4</v>
      </c>
    </row>
    <row r="7" spans="1:20">
      <c r="A7" s="20" t="s">
        <v>26</v>
      </c>
      <c r="B7" s="20">
        <v>13711</v>
      </c>
      <c r="C7" s="2" t="s">
        <v>3039</v>
      </c>
      <c r="D7" s="2" t="s">
        <v>3040</v>
      </c>
      <c r="E7" s="18" t="s">
        <v>34</v>
      </c>
      <c r="F7" s="20" t="s">
        <v>3052</v>
      </c>
      <c r="G7" s="20" t="s">
        <v>3053</v>
      </c>
      <c r="H7" s="18" t="s">
        <v>342</v>
      </c>
      <c r="I7" s="18" t="s">
        <v>154</v>
      </c>
      <c r="J7" s="18" t="s">
        <v>431</v>
      </c>
      <c r="K7" s="18" t="s">
        <v>342</v>
      </c>
      <c r="L7" s="20" t="s">
        <v>937</v>
      </c>
      <c r="M7" s="20" t="s">
        <v>312</v>
      </c>
      <c r="N7" s="18" t="s">
        <v>169</v>
      </c>
      <c r="O7" s="152">
        <v>3</v>
      </c>
      <c r="P7" s="152">
        <v>4.0199999999999996</v>
      </c>
      <c r="Q7" s="152">
        <v>4926</v>
      </c>
      <c r="R7" s="152">
        <v>1.085</v>
      </c>
      <c r="S7" s="170">
        <v>3.00728151057899E-2</v>
      </c>
      <c r="T7" s="170">
        <v>2.95683369813513E-5</v>
      </c>
    </row>
    <row r="8" spans="1:20">
      <c r="A8" s="20" t="s">
        <v>26</v>
      </c>
      <c r="B8" s="20">
        <v>13711</v>
      </c>
      <c r="C8" s="2" t="s">
        <v>3039</v>
      </c>
      <c r="D8" s="2" t="s">
        <v>3040</v>
      </c>
      <c r="E8" s="18" t="s">
        <v>34</v>
      </c>
      <c r="F8" s="20" t="s">
        <v>3054</v>
      </c>
      <c r="G8" s="20" t="s">
        <v>3055</v>
      </c>
      <c r="H8" s="18" t="s">
        <v>342</v>
      </c>
      <c r="I8" s="18" t="s">
        <v>154</v>
      </c>
      <c r="J8" s="18" t="s">
        <v>155</v>
      </c>
      <c r="K8" s="18" t="s">
        <v>342</v>
      </c>
      <c r="L8" s="20" t="s">
        <v>937</v>
      </c>
      <c r="M8" s="20" t="s">
        <v>312</v>
      </c>
      <c r="N8" s="18" t="s">
        <v>159</v>
      </c>
      <c r="O8" s="152">
        <v>4</v>
      </c>
      <c r="P8" s="152">
        <v>3.7589999999999999</v>
      </c>
      <c r="Q8" s="152">
        <v>5521.5</v>
      </c>
      <c r="R8" s="152">
        <v>14.340999999999999</v>
      </c>
      <c r="S8" s="170">
        <v>0.39731002991735498</v>
      </c>
      <c r="T8" s="170">
        <v>3.90645066294619E-4</v>
      </c>
    </row>
    <row r="9" spans="1:20">
      <c r="A9" s="20" t="s">
        <v>256</v>
      </c>
      <c r="B9" s="20">
        <v>556</v>
      </c>
      <c r="C9" s="2" t="s">
        <v>3039</v>
      </c>
      <c r="D9" s="2" t="s">
        <v>3040</v>
      </c>
      <c r="E9" s="18" t="s">
        <v>34</v>
      </c>
      <c r="F9" s="20" t="s">
        <v>3056</v>
      </c>
      <c r="G9" s="20" t="s">
        <v>3057</v>
      </c>
      <c r="H9" s="18" t="s">
        <v>342</v>
      </c>
      <c r="I9" s="18" t="s">
        <v>154</v>
      </c>
      <c r="J9" s="18" t="s">
        <v>155</v>
      </c>
      <c r="K9" s="18" t="s">
        <v>342</v>
      </c>
      <c r="L9" s="20" t="s">
        <v>937</v>
      </c>
      <c r="M9" s="20" t="s">
        <v>312</v>
      </c>
      <c r="N9" s="18" t="s">
        <v>159</v>
      </c>
      <c r="O9" s="152">
        <v>3</v>
      </c>
      <c r="P9" s="152">
        <v>3.7589999999999999</v>
      </c>
      <c r="Q9" s="152">
        <v>19927.25</v>
      </c>
      <c r="R9" s="152">
        <v>-0.50600000000000001</v>
      </c>
      <c r="S9" s="170">
        <v>-5.29496820035896E-3</v>
      </c>
      <c r="T9" s="170">
        <v>-1.5875548617667199E-6</v>
      </c>
    </row>
    <row r="10" spans="1:20">
      <c r="A10" s="20" t="s">
        <v>256</v>
      </c>
      <c r="B10" s="20">
        <v>556</v>
      </c>
      <c r="C10" s="2" t="s">
        <v>3039</v>
      </c>
      <c r="D10" s="2" t="s">
        <v>3040</v>
      </c>
      <c r="E10" s="18" t="s">
        <v>34</v>
      </c>
      <c r="F10" s="20" t="s">
        <v>3041</v>
      </c>
      <c r="G10" s="20" t="s">
        <v>3042</v>
      </c>
      <c r="H10" s="18" t="s">
        <v>342</v>
      </c>
      <c r="I10" s="18" t="s">
        <v>154</v>
      </c>
      <c r="J10" s="18" t="s">
        <v>155</v>
      </c>
      <c r="K10" s="18" t="s">
        <v>342</v>
      </c>
      <c r="L10" s="20" t="s">
        <v>937</v>
      </c>
      <c r="M10" s="20" t="s">
        <v>312</v>
      </c>
      <c r="N10" s="18" t="s">
        <v>159</v>
      </c>
      <c r="O10" s="152">
        <v>4</v>
      </c>
      <c r="P10" s="152">
        <v>3.7589999999999999</v>
      </c>
      <c r="Q10" s="152">
        <v>5521.5</v>
      </c>
      <c r="R10" s="152">
        <v>1.421</v>
      </c>
      <c r="S10" s="170">
        <v>1.4858930807242999E-2</v>
      </c>
      <c r="T10" s="170">
        <v>4.4550537323519204E-6</v>
      </c>
    </row>
    <row r="11" spans="1:20">
      <c r="A11" s="20" t="s">
        <v>256</v>
      </c>
      <c r="B11" s="20">
        <v>556</v>
      </c>
      <c r="C11" s="2" t="s">
        <v>3039</v>
      </c>
      <c r="D11" s="2" t="s">
        <v>3040</v>
      </c>
      <c r="E11" s="18" t="s">
        <v>34</v>
      </c>
      <c r="F11" s="20" t="s">
        <v>3058</v>
      </c>
      <c r="G11" s="20" t="s">
        <v>3059</v>
      </c>
      <c r="H11" s="18" t="s">
        <v>342</v>
      </c>
      <c r="I11" s="18" t="s">
        <v>154</v>
      </c>
      <c r="J11" s="18" t="s">
        <v>155</v>
      </c>
      <c r="K11" s="18" t="s">
        <v>342</v>
      </c>
      <c r="L11" s="20" t="s">
        <v>937</v>
      </c>
      <c r="M11" s="20" t="s">
        <v>312</v>
      </c>
      <c r="N11" s="18" t="s">
        <v>159</v>
      </c>
      <c r="O11" s="152">
        <v>4</v>
      </c>
      <c r="P11" s="152">
        <v>3.7589999999999999</v>
      </c>
      <c r="Q11" s="152">
        <v>39469</v>
      </c>
      <c r="R11" s="152">
        <v>34.432000000000002</v>
      </c>
      <c r="S11" s="170">
        <v>0.36007356136070301</v>
      </c>
      <c r="T11" s="170">
        <v>1.07958444942707E-4</v>
      </c>
    </row>
    <row r="12" spans="1:20">
      <c r="A12" s="20" t="s">
        <v>256</v>
      </c>
      <c r="B12" s="20">
        <v>556</v>
      </c>
      <c r="C12" s="2" t="s">
        <v>3039</v>
      </c>
      <c r="D12" s="2" t="s">
        <v>3040</v>
      </c>
      <c r="E12" s="18" t="s">
        <v>34</v>
      </c>
      <c r="F12" s="20" t="s">
        <v>3050</v>
      </c>
      <c r="G12" s="20" t="s">
        <v>3051</v>
      </c>
      <c r="H12" s="18" t="s">
        <v>342</v>
      </c>
      <c r="I12" s="18" t="s">
        <v>154</v>
      </c>
      <c r="J12" s="18" t="s">
        <v>155</v>
      </c>
      <c r="K12" s="18" t="s">
        <v>342</v>
      </c>
      <c r="L12" s="20" t="s">
        <v>937</v>
      </c>
      <c r="M12" s="20" t="s">
        <v>312</v>
      </c>
      <c r="N12" s="18" t="s">
        <v>159</v>
      </c>
      <c r="O12" s="152">
        <v>1</v>
      </c>
      <c r="P12" s="152">
        <v>3.7589999999999999</v>
      </c>
      <c r="Q12" s="152">
        <v>2065</v>
      </c>
      <c r="R12" s="152">
        <v>6.6909999999999998</v>
      </c>
      <c r="S12" s="170">
        <v>6.9970626552625995E-2</v>
      </c>
      <c r="T12" s="170">
        <v>2.0978824453932301E-5</v>
      </c>
    </row>
    <row r="13" spans="1:20">
      <c r="A13" s="20" t="s">
        <v>256</v>
      </c>
      <c r="B13" s="20">
        <v>556</v>
      </c>
      <c r="C13" s="2" t="s">
        <v>3039</v>
      </c>
      <c r="D13" s="2" t="s">
        <v>3040</v>
      </c>
      <c r="E13" s="18" t="s">
        <v>34</v>
      </c>
      <c r="F13" s="20" t="s">
        <v>3052</v>
      </c>
      <c r="G13" s="20" t="s">
        <v>3053</v>
      </c>
      <c r="H13" s="18" t="s">
        <v>342</v>
      </c>
      <c r="I13" s="18" t="s">
        <v>154</v>
      </c>
      <c r="J13" s="18" t="s">
        <v>431</v>
      </c>
      <c r="K13" s="18" t="s">
        <v>342</v>
      </c>
      <c r="L13" s="20" t="s">
        <v>937</v>
      </c>
      <c r="M13" s="20" t="s">
        <v>312</v>
      </c>
      <c r="N13" s="18" t="s">
        <v>169</v>
      </c>
      <c r="O13" s="152">
        <v>14</v>
      </c>
      <c r="P13" s="152">
        <v>4.0199999999999996</v>
      </c>
      <c r="Q13" s="152">
        <v>4926</v>
      </c>
      <c r="R13" s="152">
        <v>16.081</v>
      </c>
      <c r="S13" s="170">
        <v>0.168163247377453</v>
      </c>
      <c r="T13" s="170">
        <v>5.0419260483274598E-5</v>
      </c>
    </row>
    <row r="14" spans="1:20">
      <c r="A14" s="20" t="s">
        <v>256</v>
      </c>
      <c r="B14" s="20">
        <v>556</v>
      </c>
      <c r="C14" s="2" t="s">
        <v>3039</v>
      </c>
      <c r="D14" s="2" t="s">
        <v>3040</v>
      </c>
      <c r="E14" s="18" t="s">
        <v>34</v>
      </c>
      <c r="F14" s="20" t="s">
        <v>3060</v>
      </c>
      <c r="G14" s="20" t="s">
        <v>3061</v>
      </c>
      <c r="H14" s="18" t="s">
        <v>342</v>
      </c>
      <c r="I14" s="18" t="s">
        <v>154</v>
      </c>
      <c r="J14" s="18" t="s">
        <v>155</v>
      </c>
      <c r="K14" s="18" t="s">
        <v>342</v>
      </c>
      <c r="L14" s="20" t="s">
        <v>937</v>
      </c>
      <c r="M14" s="20" t="s">
        <v>312</v>
      </c>
      <c r="N14" s="18" t="s">
        <v>159</v>
      </c>
      <c r="O14" s="152">
        <v>3</v>
      </c>
      <c r="P14" s="152">
        <v>3.7589999999999999</v>
      </c>
      <c r="Q14" s="152">
        <v>19927.25</v>
      </c>
      <c r="R14" s="152">
        <v>-5.0069999999999997</v>
      </c>
      <c r="S14" s="170">
        <v>-5.2360041892188597E-2</v>
      </c>
      <c r="T14" s="170">
        <v>-1.5698760771144501E-5</v>
      </c>
    </row>
    <row r="15" spans="1:20">
      <c r="A15" s="20" t="s">
        <v>256</v>
      </c>
      <c r="B15" s="20">
        <v>556</v>
      </c>
      <c r="C15" s="2" t="s">
        <v>3039</v>
      </c>
      <c r="D15" s="2" t="s">
        <v>3040</v>
      </c>
      <c r="E15" s="18" t="s">
        <v>34</v>
      </c>
      <c r="F15" s="20" t="s">
        <v>3054</v>
      </c>
      <c r="G15" s="20" t="s">
        <v>3055</v>
      </c>
      <c r="H15" s="18" t="s">
        <v>342</v>
      </c>
      <c r="I15" s="18" t="s">
        <v>154</v>
      </c>
      <c r="J15" s="18" t="s">
        <v>155</v>
      </c>
      <c r="K15" s="18" t="s">
        <v>342</v>
      </c>
      <c r="L15" s="20" t="s">
        <v>937</v>
      </c>
      <c r="M15" s="20" t="s">
        <v>312</v>
      </c>
      <c r="N15" s="18" t="s">
        <v>159</v>
      </c>
      <c r="O15" s="152">
        <v>12</v>
      </c>
      <c r="P15" s="152">
        <v>3.7589999999999999</v>
      </c>
      <c r="Q15" s="152">
        <v>5521.5</v>
      </c>
      <c r="R15" s="152">
        <v>42.514000000000003</v>
      </c>
      <c r="S15" s="170">
        <v>0.44458864399452303</v>
      </c>
      <c r="T15" s="170">
        <v>1.3329803627752201E-4</v>
      </c>
    </row>
    <row r="16" spans="1:20">
      <c r="A16" s="20" t="s">
        <v>256</v>
      </c>
      <c r="B16" s="20">
        <v>7205</v>
      </c>
      <c r="C16" s="2" t="s">
        <v>3039</v>
      </c>
      <c r="D16" s="2" t="s">
        <v>3040</v>
      </c>
      <c r="E16" s="18" t="s">
        <v>34</v>
      </c>
      <c r="F16" s="20" t="s">
        <v>3058</v>
      </c>
      <c r="G16" s="20" t="s">
        <v>3059</v>
      </c>
      <c r="H16" s="18" t="s">
        <v>342</v>
      </c>
      <c r="I16" s="18" t="s">
        <v>154</v>
      </c>
      <c r="J16" s="18" t="s">
        <v>155</v>
      </c>
      <c r="K16" s="18" t="s">
        <v>342</v>
      </c>
      <c r="L16" s="20" t="s">
        <v>937</v>
      </c>
      <c r="M16" s="20" t="s">
        <v>312</v>
      </c>
      <c r="N16" s="18" t="s">
        <v>159</v>
      </c>
      <c r="O16" s="152">
        <v>26</v>
      </c>
      <c r="P16" s="152">
        <v>3.7589999999999999</v>
      </c>
      <c r="Q16" s="152">
        <v>39469</v>
      </c>
      <c r="R16" s="152">
        <v>223.81100000000001</v>
      </c>
      <c r="S16" s="170">
        <v>0.33164515666420302</v>
      </c>
      <c r="T16" s="170">
        <v>1.21684396098345E-4</v>
      </c>
    </row>
    <row r="17" spans="1:20">
      <c r="A17" s="20" t="s">
        <v>256</v>
      </c>
      <c r="B17" s="20">
        <v>7205</v>
      </c>
      <c r="C17" s="2" t="s">
        <v>3039</v>
      </c>
      <c r="D17" s="2" t="s">
        <v>3040</v>
      </c>
      <c r="E17" s="18" t="s">
        <v>34</v>
      </c>
      <c r="F17" s="20" t="s">
        <v>3050</v>
      </c>
      <c r="G17" s="20" t="s">
        <v>3051</v>
      </c>
      <c r="H17" s="18" t="s">
        <v>342</v>
      </c>
      <c r="I17" s="18" t="s">
        <v>154</v>
      </c>
      <c r="J17" s="18" t="s">
        <v>155</v>
      </c>
      <c r="K17" s="18" t="s">
        <v>342</v>
      </c>
      <c r="L17" s="20" t="s">
        <v>937</v>
      </c>
      <c r="M17" s="20" t="s">
        <v>312</v>
      </c>
      <c r="N17" s="18" t="s">
        <v>159</v>
      </c>
      <c r="O17" s="152">
        <v>13</v>
      </c>
      <c r="P17" s="152">
        <v>3.7589999999999999</v>
      </c>
      <c r="Q17" s="152">
        <v>2065</v>
      </c>
      <c r="R17" s="152">
        <v>86.983000000000004</v>
      </c>
      <c r="S17" s="170">
        <v>0.12889265914023601</v>
      </c>
      <c r="T17" s="170">
        <v>4.7292188876649402E-5</v>
      </c>
    </row>
    <row r="18" spans="1:20">
      <c r="A18" s="20" t="s">
        <v>256</v>
      </c>
      <c r="B18" s="20">
        <v>7205</v>
      </c>
      <c r="C18" s="2" t="s">
        <v>3039</v>
      </c>
      <c r="D18" s="2" t="s">
        <v>3040</v>
      </c>
      <c r="E18" s="18" t="s">
        <v>34</v>
      </c>
      <c r="F18" s="20" t="s">
        <v>3052</v>
      </c>
      <c r="G18" s="20" t="s">
        <v>3053</v>
      </c>
      <c r="H18" s="18" t="s">
        <v>342</v>
      </c>
      <c r="I18" s="18" t="s">
        <v>154</v>
      </c>
      <c r="J18" s="18" t="s">
        <v>431</v>
      </c>
      <c r="K18" s="18" t="s">
        <v>342</v>
      </c>
      <c r="L18" s="20" t="s">
        <v>937</v>
      </c>
      <c r="M18" s="20" t="s">
        <v>312</v>
      </c>
      <c r="N18" s="18" t="s">
        <v>169</v>
      </c>
      <c r="O18" s="152">
        <v>100</v>
      </c>
      <c r="P18" s="152">
        <v>4.0199999999999996</v>
      </c>
      <c r="Q18" s="152">
        <v>4926</v>
      </c>
      <c r="R18" s="152">
        <v>114.857</v>
      </c>
      <c r="S18" s="170">
        <v>0.17019641301823801</v>
      </c>
      <c r="T18" s="170">
        <v>6.2447007954343002E-5</v>
      </c>
    </row>
    <row r="19" spans="1:20">
      <c r="A19" s="20" t="s">
        <v>256</v>
      </c>
      <c r="B19" s="20">
        <v>7205</v>
      </c>
      <c r="C19" s="2" t="s">
        <v>3039</v>
      </c>
      <c r="D19" s="2" t="s">
        <v>3040</v>
      </c>
      <c r="E19" s="18" t="s">
        <v>34</v>
      </c>
      <c r="F19" s="20" t="s">
        <v>3060</v>
      </c>
      <c r="G19" s="20" t="s">
        <v>3061</v>
      </c>
      <c r="H19" s="18" t="s">
        <v>342</v>
      </c>
      <c r="I19" s="18" t="s">
        <v>154</v>
      </c>
      <c r="J19" s="18" t="s">
        <v>155</v>
      </c>
      <c r="K19" s="18" t="s">
        <v>342</v>
      </c>
      <c r="L19" s="20" t="s">
        <v>937</v>
      </c>
      <c r="M19" s="20" t="s">
        <v>312</v>
      </c>
      <c r="N19" s="18" t="s">
        <v>159</v>
      </c>
      <c r="O19" s="152">
        <v>29</v>
      </c>
      <c r="P19" s="152">
        <v>3.7589999999999999</v>
      </c>
      <c r="Q19" s="152">
        <v>19927.25</v>
      </c>
      <c r="R19" s="152">
        <v>-48.401000000000003</v>
      </c>
      <c r="S19" s="170">
        <v>-7.1720910937329199E-2</v>
      </c>
      <c r="T19" s="170">
        <v>-2.6315221433698398E-5</v>
      </c>
    </row>
    <row r="20" spans="1:20">
      <c r="A20" s="2" t="s">
        <v>256</v>
      </c>
      <c r="B20" s="2">
        <v>7205</v>
      </c>
      <c r="C20" s="2" t="s">
        <v>3039</v>
      </c>
      <c r="D20" s="2" t="s">
        <v>3040</v>
      </c>
      <c r="E20" s="18" t="s">
        <v>34</v>
      </c>
      <c r="F20" s="2" t="s">
        <v>3054</v>
      </c>
      <c r="G20" s="2" t="s">
        <v>3055</v>
      </c>
      <c r="H20" s="18" t="s">
        <v>342</v>
      </c>
      <c r="I20" s="2" t="s">
        <v>154</v>
      </c>
      <c r="J20" s="18" t="s">
        <v>155</v>
      </c>
      <c r="K20" s="18" t="s">
        <v>342</v>
      </c>
      <c r="L20" s="20" t="s">
        <v>937</v>
      </c>
      <c r="M20" s="20" t="s">
        <v>312</v>
      </c>
      <c r="N20" s="2" t="s">
        <v>159</v>
      </c>
      <c r="O20" s="149">
        <v>84</v>
      </c>
      <c r="P20" s="149">
        <v>3.7589999999999999</v>
      </c>
      <c r="Q20" s="149">
        <v>5521.5</v>
      </c>
      <c r="R20" s="149">
        <v>297.60000000000002</v>
      </c>
      <c r="S20" s="164">
        <v>0.44098668211465197</v>
      </c>
      <c r="T20" s="164">
        <v>1.6180305070719701E-4</v>
      </c>
    </row>
    <row r="21" spans="1:20">
      <c r="A21" s="2" t="s">
        <v>256</v>
      </c>
      <c r="B21" s="2">
        <v>7206</v>
      </c>
      <c r="C21" s="2" t="s">
        <v>3039</v>
      </c>
      <c r="D21" s="2" t="s">
        <v>3040</v>
      </c>
      <c r="E21" s="4" t="s">
        <v>34</v>
      </c>
      <c r="F21" s="2" t="s">
        <v>3041</v>
      </c>
      <c r="G21" s="2" t="s">
        <v>3042</v>
      </c>
      <c r="H21" s="4" t="s">
        <v>342</v>
      </c>
      <c r="I21" s="2" t="s">
        <v>154</v>
      </c>
      <c r="J21" s="18" t="s">
        <v>155</v>
      </c>
      <c r="K21" s="4" t="s">
        <v>342</v>
      </c>
      <c r="L21" s="20" t="s">
        <v>937</v>
      </c>
      <c r="M21" s="2" t="s">
        <v>312</v>
      </c>
      <c r="N21" s="2" t="s">
        <v>159</v>
      </c>
      <c r="O21" s="149">
        <v>3</v>
      </c>
      <c r="P21" s="149">
        <v>3.7589999999999999</v>
      </c>
      <c r="Q21" s="149">
        <v>5521.5</v>
      </c>
      <c r="R21" s="149">
        <v>1.0660000000000001</v>
      </c>
      <c r="S21" s="164">
        <v>1.2992056414246099E-2</v>
      </c>
      <c r="T21" s="164">
        <v>1.5913085040304298E-5</v>
      </c>
    </row>
    <row r="22" spans="1:20">
      <c r="A22" s="2" t="s">
        <v>256</v>
      </c>
      <c r="B22" s="2">
        <v>7206</v>
      </c>
      <c r="C22" s="2" t="s">
        <v>3039</v>
      </c>
      <c r="D22" s="2" t="s">
        <v>3040</v>
      </c>
      <c r="E22" s="4" t="s">
        <v>34</v>
      </c>
      <c r="F22" s="2" t="s">
        <v>3043</v>
      </c>
      <c r="G22" s="2" t="s">
        <v>3044</v>
      </c>
      <c r="H22" s="2" t="s">
        <v>342</v>
      </c>
      <c r="I22" s="2" t="s">
        <v>154</v>
      </c>
      <c r="J22" s="18" t="s">
        <v>155</v>
      </c>
      <c r="K22" s="4" t="s">
        <v>342</v>
      </c>
      <c r="L22" s="20" t="s">
        <v>937</v>
      </c>
      <c r="M22" s="2" t="s">
        <v>312</v>
      </c>
      <c r="N22" s="2" t="s">
        <v>169</v>
      </c>
      <c r="O22" s="149">
        <v>2</v>
      </c>
      <c r="P22" s="149">
        <v>4.0199999999999996</v>
      </c>
      <c r="Q22" s="149">
        <v>18403</v>
      </c>
      <c r="R22" s="149">
        <v>6.6529999999999996</v>
      </c>
      <c r="S22" s="164">
        <v>8.1114438481380793E-2</v>
      </c>
      <c r="T22" s="164">
        <v>9.9351551162860406E-5</v>
      </c>
    </row>
    <row r="23" spans="1:20">
      <c r="A23" s="2" t="s">
        <v>256</v>
      </c>
      <c r="B23" s="2">
        <v>7206</v>
      </c>
      <c r="C23" s="2" t="s">
        <v>3039</v>
      </c>
      <c r="D23" s="2" t="s">
        <v>3040</v>
      </c>
      <c r="E23" s="4" t="s">
        <v>34</v>
      </c>
      <c r="F23" s="2" t="s">
        <v>3058</v>
      </c>
      <c r="G23" s="2" t="s">
        <v>3059</v>
      </c>
      <c r="H23" s="2" t="s">
        <v>342</v>
      </c>
      <c r="I23" s="2" t="s">
        <v>154</v>
      </c>
      <c r="J23" s="18" t="s">
        <v>155</v>
      </c>
      <c r="K23" s="2" t="s">
        <v>342</v>
      </c>
      <c r="L23" s="20" t="s">
        <v>937</v>
      </c>
      <c r="M23" s="2" t="s">
        <v>312</v>
      </c>
      <c r="N23" s="2" t="s">
        <v>159</v>
      </c>
      <c r="O23" s="149">
        <v>1</v>
      </c>
      <c r="P23" s="149">
        <v>3.7589999999999999</v>
      </c>
      <c r="Q23" s="149">
        <v>39469</v>
      </c>
      <c r="R23" s="149">
        <v>8.6080000000000005</v>
      </c>
      <c r="S23" s="164">
        <v>0.10494465322267001</v>
      </c>
      <c r="T23" s="164">
        <v>1.285395581739E-4</v>
      </c>
    </row>
    <row r="24" spans="1:20">
      <c r="A24" s="2" t="s">
        <v>256</v>
      </c>
      <c r="B24" s="2">
        <v>7206</v>
      </c>
      <c r="C24" s="2" t="s">
        <v>3039</v>
      </c>
      <c r="D24" s="2" t="s">
        <v>3040</v>
      </c>
      <c r="E24" s="4" t="s">
        <v>34</v>
      </c>
      <c r="F24" s="2" t="s">
        <v>3045</v>
      </c>
      <c r="G24" s="2" t="s">
        <v>3046</v>
      </c>
      <c r="H24" s="2" t="s">
        <v>342</v>
      </c>
      <c r="I24" s="2" t="s">
        <v>154</v>
      </c>
      <c r="J24" s="2" t="s">
        <v>402</v>
      </c>
      <c r="K24" s="2" t="s">
        <v>3047</v>
      </c>
      <c r="L24" s="20" t="s">
        <v>937</v>
      </c>
      <c r="M24" s="2" t="s">
        <v>312</v>
      </c>
      <c r="N24" s="2" t="s">
        <v>1363</v>
      </c>
      <c r="O24" s="149">
        <v>2</v>
      </c>
      <c r="P24" s="149">
        <v>2.4929999999999999</v>
      </c>
      <c r="Q24" s="149">
        <v>7772</v>
      </c>
      <c r="R24" s="149">
        <v>10.596</v>
      </c>
      <c r="S24" s="164">
        <v>0.129175793354769</v>
      </c>
      <c r="T24" s="164">
        <v>1.58218631389962E-4</v>
      </c>
    </row>
    <row r="25" spans="1:20">
      <c r="A25" s="2" t="s">
        <v>256</v>
      </c>
      <c r="B25" s="2">
        <v>7206</v>
      </c>
      <c r="C25" s="2" t="s">
        <v>3039</v>
      </c>
      <c r="D25" s="2" t="s">
        <v>3040</v>
      </c>
      <c r="E25" s="4" t="s">
        <v>34</v>
      </c>
      <c r="F25" s="2" t="s">
        <v>3048</v>
      </c>
      <c r="G25" s="2" t="s">
        <v>3049</v>
      </c>
      <c r="H25" s="2" t="s">
        <v>342</v>
      </c>
      <c r="I25" s="2" t="s">
        <v>154</v>
      </c>
      <c r="J25" s="18" t="s">
        <v>461</v>
      </c>
      <c r="K25" s="2" t="s">
        <v>342</v>
      </c>
      <c r="L25" s="20" t="s">
        <v>937</v>
      </c>
      <c r="M25" s="2" t="s">
        <v>312</v>
      </c>
      <c r="N25" s="2" t="s">
        <v>1364</v>
      </c>
      <c r="O25" s="149">
        <v>3</v>
      </c>
      <c r="P25" s="149">
        <v>0.48199999999999998</v>
      </c>
      <c r="Q25" s="149">
        <v>17630</v>
      </c>
      <c r="R25" s="149">
        <v>-4.5880000000000001</v>
      </c>
      <c r="S25" s="164">
        <v>-5.5929421184905702E-2</v>
      </c>
      <c r="T25" s="164">
        <v>-6.85041387747117E-5</v>
      </c>
    </row>
    <row r="26" spans="1:20">
      <c r="A26" s="2" t="s">
        <v>256</v>
      </c>
      <c r="B26" s="2">
        <v>7206</v>
      </c>
      <c r="C26" s="2" t="s">
        <v>3039</v>
      </c>
      <c r="D26" s="2" t="s">
        <v>3040</v>
      </c>
      <c r="E26" s="4" t="s">
        <v>34</v>
      </c>
      <c r="F26" s="2" t="s">
        <v>3050</v>
      </c>
      <c r="G26" s="2" t="s">
        <v>3051</v>
      </c>
      <c r="H26" s="2" t="s">
        <v>342</v>
      </c>
      <c r="I26" s="2" t="s">
        <v>154</v>
      </c>
      <c r="J26" s="18" t="s">
        <v>155</v>
      </c>
      <c r="K26" s="2" t="s">
        <v>342</v>
      </c>
      <c r="L26" s="20" t="s">
        <v>937</v>
      </c>
      <c r="M26" s="2" t="s">
        <v>312</v>
      </c>
      <c r="N26" s="2" t="s">
        <v>159</v>
      </c>
      <c r="O26" s="149">
        <v>4</v>
      </c>
      <c r="P26" s="149">
        <v>3.7589999999999999</v>
      </c>
      <c r="Q26" s="149">
        <v>2065</v>
      </c>
      <c r="R26" s="149">
        <v>26.763999999999999</v>
      </c>
      <c r="S26" s="164">
        <v>0.32629079953948098</v>
      </c>
      <c r="T26" s="164">
        <v>3.9965137737911499E-4</v>
      </c>
    </row>
    <row r="27" spans="1:20">
      <c r="A27" s="2" t="s">
        <v>256</v>
      </c>
      <c r="B27" s="2">
        <v>7206</v>
      </c>
      <c r="C27" s="2" t="s">
        <v>3039</v>
      </c>
      <c r="D27" s="2" t="s">
        <v>3040</v>
      </c>
      <c r="E27" s="4" t="s">
        <v>34</v>
      </c>
      <c r="F27" s="2" t="s">
        <v>3052</v>
      </c>
      <c r="G27" s="2" t="s">
        <v>3053</v>
      </c>
      <c r="H27" s="2" t="s">
        <v>342</v>
      </c>
      <c r="I27" s="2" t="s">
        <v>154</v>
      </c>
      <c r="J27" s="18" t="s">
        <v>431</v>
      </c>
      <c r="K27" s="2" t="s">
        <v>342</v>
      </c>
      <c r="L27" s="20" t="s">
        <v>937</v>
      </c>
      <c r="M27" s="2" t="s">
        <v>312</v>
      </c>
      <c r="N27" s="2" t="s">
        <v>169</v>
      </c>
      <c r="O27" s="149">
        <v>4</v>
      </c>
      <c r="P27" s="149">
        <v>4.0199999999999996</v>
      </c>
      <c r="Q27" s="149">
        <v>4926</v>
      </c>
      <c r="R27" s="149">
        <v>4.5830000000000002</v>
      </c>
      <c r="S27" s="164">
        <v>5.5873389648805498E-2</v>
      </c>
      <c r="T27" s="164">
        <v>6.8435509562332004E-5</v>
      </c>
    </row>
    <row r="28" spans="1:20">
      <c r="A28" s="2" t="s">
        <v>256</v>
      </c>
      <c r="B28" s="2">
        <v>7206</v>
      </c>
      <c r="C28" s="2" t="s">
        <v>3039</v>
      </c>
      <c r="D28" s="2" t="s">
        <v>3040</v>
      </c>
      <c r="E28" s="4" t="s">
        <v>34</v>
      </c>
      <c r="F28" s="2" t="s">
        <v>3054</v>
      </c>
      <c r="G28" s="2" t="s">
        <v>3055</v>
      </c>
      <c r="H28" s="2" t="s">
        <v>342</v>
      </c>
      <c r="I28" s="2" t="s">
        <v>154</v>
      </c>
      <c r="J28" s="18" t="s">
        <v>155</v>
      </c>
      <c r="K28" s="2" t="s">
        <v>342</v>
      </c>
      <c r="L28" s="20" t="s">
        <v>937</v>
      </c>
      <c r="M28" s="2" t="s">
        <v>312</v>
      </c>
      <c r="N28" s="2" t="s">
        <v>159</v>
      </c>
      <c r="O28" s="149">
        <v>8</v>
      </c>
      <c r="P28" s="149">
        <v>3.7589999999999999</v>
      </c>
      <c r="Q28" s="149">
        <v>5521.5</v>
      </c>
      <c r="R28" s="149">
        <v>28.343</v>
      </c>
      <c r="S28" s="164">
        <v>0.345538290523554</v>
      </c>
      <c r="T28" s="164">
        <v>4.2322631817957201E-4</v>
      </c>
    </row>
    <row r="29" spans="1:20">
      <c r="A29" s="2" t="s">
        <v>256</v>
      </c>
      <c r="B29" s="2">
        <v>7207</v>
      </c>
      <c r="C29" s="2" t="s">
        <v>3039</v>
      </c>
      <c r="D29" s="2" t="s">
        <v>3040</v>
      </c>
      <c r="E29" s="4" t="s">
        <v>34</v>
      </c>
      <c r="F29" s="2" t="s">
        <v>3043</v>
      </c>
      <c r="G29" s="2" t="s">
        <v>3044</v>
      </c>
      <c r="H29" s="2" t="s">
        <v>342</v>
      </c>
      <c r="I29" s="2" t="s">
        <v>154</v>
      </c>
      <c r="J29" s="18" t="s">
        <v>155</v>
      </c>
      <c r="K29" s="2" t="s">
        <v>342</v>
      </c>
      <c r="L29" s="20" t="s">
        <v>937</v>
      </c>
      <c r="M29" s="2" t="s">
        <v>312</v>
      </c>
      <c r="N29" s="2" t="s">
        <v>169</v>
      </c>
      <c r="O29" s="149">
        <v>1</v>
      </c>
      <c r="P29" s="149">
        <v>4.0199999999999996</v>
      </c>
      <c r="Q29" s="149">
        <v>18403</v>
      </c>
      <c r="R29" s="149">
        <v>3.327</v>
      </c>
      <c r="S29" s="164">
        <v>4.7293808956207099E-2</v>
      </c>
      <c r="T29" s="164">
        <v>3.4213632880920203E-5</v>
      </c>
    </row>
    <row r="30" spans="1:20">
      <c r="A30" s="2" t="s">
        <v>256</v>
      </c>
      <c r="B30" s="2">
        <v>7207</v>
      </c>
      <c r="C30" s="2" t="s">
        <v>3039</v>
      </c>
      <c r="D30" s="2" t="s">
        <v>3040</v>
      </c>
      <c r="E30" s="4" t="s">
        <v>34</v>
      </c>
      <c r="F30" s="2" t="s">
        <v>3058</v>
      </c>
      <c r="G30" s="2" t="s">
        <v>3059</v>
      </c>
      <c r="H30" s="2" t="s">
        <v>342</v>
      </c>
      <c r="I30" s="2" t="s">
        <v>154</v>
      </c>
      <c r="J30" s="18" t="s">
        <v>155</v>
      </c>
      <c r="K30" s="2" t="s">
        <v>342</v>
      </c>
      <c r="L30" s="20" t="s">
        <v>937</v>
      </c>
      <c r="M30" s="2" t="s">
        <v>312</v>
      </c>
      <c r="N30" s="2" t="s">
        <v>159</v>
      </c>
      <c r="O30" s="149">
        <v>1</v>
      </c>
      <c r="P30" s="149">
        <v>3.7589999999999999</v>
      </c>
      <c r="Q30" s="149">
        <v>39469</v>
      </c>
      <c r="R30" s="149">
        <v>8.6080000000000005</v>
      </c>
      <c r="S30" s="164">
        <v>0.122376052239519</v>
      </c>
      <c r="T30" s="164">
        <v>8.8530177990446798E-5</v>
      </c>
    </row>
    <row r="31" spans="1:20">
      <c r="A31" s="2" t="s">
        <v>256</v>
      </c>
      <c r="B31" s="2">
        <v>7207</v>
      </c>
      <c r="C31" s="2" t="s">
        <v>3039</v>
      </c>
      <c r="D31" s="2" t="s">
        <v>3040</v>
      </c>
      <c r="E31" s="4" t="s">
        <v>34</v>
      </c>
      <c r="F31" s="2" t="s">
        <v>3045</v>
      </c>
      <c r="G31" s="2" t="s">
        <v>3046</v>
      </c>
      <c r="H31" s="2" t="s">
        <v>342</v>
      </c>
      <c r="I31" s="2" t="s">
        <v>154</v>
      </c>
      <c r="J31" s="2" t="s">
        <v>402</v>
      </c>
      <c r="K31" s="2" t="s">
        <v>3047</v>
      </c>
      <c r="L31" s="20" t="s">
        <v>937</v>
      </c>
      <c r="M31" s="2" t="s">
        <v>312</v>
      </c>
      <c r="N31" s="2" t="s">
        <v>1363</v>
      </c>
      <c r="O31" s="149">
        <v>1</v>
      </c>
      <c r="P31" s="149">
        <v>2.4929999999999999</v>
      </c>
      <c r="Q31" s="149">
        <v>7772</v>
      </c>
      <c r="R31" s="149">
        <v>5.298</v>
      </c>
      <c r="S31" s="164">
        <v>7.5316003008382204E-2</v>
      </c>
      <c r="T31" s="164">
        <v>5.4485653278067598E-5</v>
      </c>
    </row>
    <row r="32" spans="1:20">
      <c r="A32" s="2" t="s">
        <v>256</v>
      </c>
      <c r="B32" s="2">
        <v>7207</v>
      </c>
      <c r="C32" s="2" t="s">
        <v>3039</v>
      </c>
      <c r="D32" s="2" t="s">
        <v>3040</v>
      </c>
      <c r="E32" s="4" t="s">
        <v>34</v>
      </c>
      <c r="F32" s="2" t="s">
        <v>3048</v>
      </c>
      <c r="G32" s="2" t="s">
        <v>3049</v>
      </c>
      <c r="H32" s="2" t="s">
        <v>342</v>
      </c>
      <c r="I32" s="2" t="s">
        <v>154</v>
      </c>
      <c r="J32" s="18" t="s">
        <v>461</v>
      </c>
      <c r="K32" s="2" t="s">
        <v>342</v>
      </c>
      <c r="L32" s="20" t="s">
        <v>937</v>
      </c>
      <c r="M32" s="2" t="s">
        <v>312</v>
      </c>
      <c r="N32" s="2" t="s">
        <v>1364</v>
      </c>
      <c r="O32" s="149">
        <v>2</v>
      </c>
      <c r="P32" s="149">
        <v>0.48199999999999998</v>
      </c>
      <c r="Q32" s="149">
        <v>17630</v>
      </c>
      <c r="R32" s="149">
        <v>-3.0579999999999998</v>
      </c>
      <c r="S32" s="164">
        <v>-4.3479564757673901E-2</v>
      </c>
      <c r="T32" s="164">
        <v>-3.1454304469718698E-5</v>
      </c>
    </row>
    <row r="33" spans="1:20">
      <c r="A33" s="2" t="s">
        <v>256</v>
      </c>
      <c r="B33" s="2">
        <v>7207</v>
      </c>
      <c r="C33" s="2" t="s">
        <v>3039</v>
      </c>
      <c r="D33" s="2" t="s">
        <v>3040</v>
      </c>
      <c r="E33" s="4" t="s">
        <v>34</v>
      </c>
      <c r="F33" s="2" t="s">
        <v>3050</v>
      </c>
      <c r="G33" s="2" t="s">
        <v>3051</v>
      </c>
      <c r="H33" s="2" t="s">
        <v>342</v>
      </c>
      <c r="I33" s="2" t="s">
        <v>154</v>
      </c>
      <c r="J33" s="18" t="s">
        <v>155</v>
      </c>
      <c r="K33" s="2" t="s">
        <v>342</v>
      </c>
      <c r="L33" s="20" t="s">
        <v>937</v>
      </c>
      <c r="M33" s="2" t="s">
        <v>312</v>
      </c>
      <c r="N33" s="2" t="s">
        <v>159</v>
      </c>
      <c r="O33" s="149">
        <v>4</v>
      </c>
      <c r="P33" s="149">
        <v>3.7589999999999999</v>
      </c>
      <c r="Q33" s="149">
        <v>2065</v>
      </c>
      <c r="R33" s="149">
        <v>26.763999999999999</v>
      </c>
      <c r="S33" s="164">
        <v>0.380487987749073</v>
      </c>
      <c r="T33" s="164">
        <v>2.7525540056418498E-4</v>
      </c>
    </row>
    <row r="34" spans="1:20">
      <c r="A34" s="2" t="s">
        <v>256</v>
      </c>
      <c r="B34" s="2">
        <v>7207</v>
      </c>
      <c r="C34" s="2" t="s">
        <v>3039</v>
      </c>
      <c r="D34" s="2" t="s">
        <v>3040</v>
      </c>
      <c r="E34" s="4" t="s">
        <v>34</v>
      </c>
      <c r="F34" s="2" t="s">
        <v>3052</v>
      </c>
      <c r="G34" s="2" t="s">
        <v>3053</v>
      </c>
      <c r="H34" s="2" t="s">
        <v>342</v>
      </c>
      <c r="I34" s="2" t="s">
        <v>154</v>
      </c>
      <c r="J34" s="18" t="s">
        <v>431</v>
      </c>
      <c r="K34" s="2" t="s">
        <v>342</v>
      </c>
      <c r="L34" s="20" t="s">
        <v>937</v>
      </c>
      <c r="M34" s="2" t="s">
        <v>312</v>
      </c>
      <c r="N34" s="2" t="s">
        <v>169</v>
      </c>
      <c r="O34" s="149">
        <v>4</v>
      </c>
      <c r="P34" s="149">
        <v>4.0199999999999996</v>
      </c>
      <c r="Q34" s="149">
        <v>4926</v>
      </c>
      <c r="R34" s="149">
        <v>4.6029999999999998</v>
      </c>
      <c r="S34" s="164">
        <v>6.5439771909192507E-2</v>
      </c>
      <c r="T34" s="164">
        <v>4.73409180044149E-5</v>
      </c>
    </row>
    <row r="35" spans="1:20">
      <c r="A35" s="2" t="s">
        <v>256</v>
      </c>
      <c r="B35" s="2">
        <v>7207</v>
      </c>
      <c r="C35" s="2" t="s">
        <v>3039</v>
      </c>
      <c r="D35" s="2" t="s">
        <v>3040</v>
      </c>
      <c r="E35" s="4" t="s">
        <v>34</v>
      </c>
      <c r="F35" s="2" t="s">
        <v>3054</v>
      </c>
      <c r="G35" s="2" t="s">
        <v>3055</v>
      </c>
      <c r="H35" s="2" t="s">
        <v>342</v>
      </c>
      <c r="I35" s="2" t="s">
        <v>154</v>
      </c>
      <c r="J35" s="18" t="s">
        <v>155</v>
      </c>
      <c r="K35" s="2" t="s">
        <v>342</v>
      </c>
      <c r="L35" s="20" t="s">
        <v>937</v>
      </c>
      <c r="M35" s="2" t="s">
        <v>312</v>
      </c>
      <c r="N35" s="2" t="s">
        <v>159</v>
      </c>
      <c r="O35" s="149">
        <v>7</v>
      </c>
      <c r="P35" s="149">
        <v>3.7589999999999999</v>
      </c>
      <c r="Q35" s="149">
        <v>5521.5</v>
      </c>
      <c r="R35" s="149">
        <v>24.8</v>
      </c>
      <c r="S35" s="164">
        <v>0.35256594089530102</v>
      </c>
      <c r="T35" s="164">
        <v>2.55055829385145E-4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35" xr:uid="{5CD88E6F-B843-40DA-A0ED-7096C5AC736F}">
      <formula1>Underlying_Asset</formula1>
    </dataValidation>
    <dataValidation type="list" allowBlank="1" showInputMessage="1" showErrorMessage="1" sqref="J32:J35 J25:J30 J2:J23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4"/>
  <cols>
    <col min="1" max="4" width="11.6640625" style="2" customWidth="1"/>
    <col min="5" max="5" width="11.6640625" style="4" customWidth="1"/>
    <col min="6" max="16" width="11.6640625" style="2" customWidth="1"/>
    <col min="17" max="17" width="11.6640625" style="144" customWidth="1"/>
    <col min="18" max="28" width="11.6640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516</v>
      </c>
      <c r="M1" s="19" t="s">
        <v>8</v>
      </c>
      <c r="N1" s="19" t="s">
        <v>365</v>
      </c>
      <c r="O1" s="19" t="s">
        <v>298</v>
      </c>
      <c r="P1" s="19" t="s">
        <v>12</v>
      </c>
      <c r="Q1" s="159" t="s">
        <v>14</v>
      </c>
      <c r="R1" s="163" t="s">
        <v>15</v>
      </c>
      <c r="S1" s="19" t="s">
        <v>9</v>
      </c>
      <c r="T1" s="19" t="s">
        <v>10</v>
      </c>
      <c r="U1" s="19" t="s">
        <v>366</v>
      </c>
      <c r="V1" s="19" t="s">
        <v>11</v>
      </c>
      <c r="W1" s="19" t="s">
        <v>17</v>
      </c>
      <c r="X1" s="19" t="s">
        <v>18</v>
      </c>
      <c r="Y1" s="19" t="s">
        <v>19</v>
      </c>
      <c r="Z1" s="19" t="s">
        <v>20</v>
      </c>
      <c r="AA1" s="163" t="s">
        <v>24</v>
      </c>
      <c r="AB1" s="163" t="s">
        <v>25</v>
      </c>
    </row>
    <row r="2" spans="1:28">
      <c r="A2" s="20" t="s">
        <v>26</v>
      </c>
      <c r="B2" s="20">
        <v>13711</v>
      </c>
      <c r="C2" s="20" t="s">
        <v>3348</v>
      </c>
      <c r="D2" s="20" t="s">
        <v>3349</v>
      </c>
      <c r="E2" s="18" t="s">
        <v>1552</v>
      </c>
      <c r="F2" s="20" t="s">
        <v>3350</v>
      </c>
      <c r="G2" s="20" t="s">
        <v>3351</v>
      </c>
      <c r="H2" s="18" t="s">
        <v>511</v>
      </c>
      <c r="I2" s="20" t="s">
        <v>1182</v>
      </c>
      <c r="J2" s="18" t="s">
        <v>31</v>
      </c>
      <c r="K2" s="18" t="s">
        <v>31</v>
      </c>
      <c r="L2" s="20" t="s">
        <v>517</v>
      </c>
      <c r="M2" s="18" t="s">
        <v>32</v>
      </c>
      <c r="N2" s="20" t="s">
        <v>936</v>
      </c>
      <c r="O2" s="20" t="s">
        <v>312</v>
      </c>
      <c r="P2" s="152">
        <v>1.6839999999999999</v>
      </c>
      <c r="Q2" s="169">
        <v>0.115402</v>
      </c>
      <c r="R2" s="170">
        <v>5.2639999999999999E-2</v>
      </c>
      <c r="S2" s="20" t="s">
        <v>357</v>
      </c>
      <c r="T2" s="20" t="s">
        <v>358</v>
      </c>
      <c r="U2" s="20" t="s">
        <v>596</v>
      </c>
      <c r="V2" s="18" t="s">
        <v>35</v>
      </c>
      <c r="W2" s="152">
        <v>12101.23</v>
      </c>
      <c r="X2" s="152">
        <v>1</v>
      </c>
      <c r="Y2" s="152">
        <v>112</v>
      </c>
      <c r="Z2" s="152">
        <v>13.553000000000001</v>
      </c>
      <c r="AA2" s="170">
        <v>5.8059840705267998E-2</v>
      </c>
      <c r="AB2" s="170">
        <v>3.6920112332013198E-4</v>
      </c>
    </row>
    <row r="3" spans="1:28">
      <c r="A3" s="20" t="s">
        <v>26</v>
      </c>
      <c r="B3" s="20">
        <v>13711</v>
      </c>
      <c r="C3" s="20" t="s">
        <v>3348</v>
      </c>
      <c r="D3" s="20" t="s">
        <v>3349</v>
      </c>
      <c r="E3" s="18" t="s">
        <v>1552</v>
      </c>
      <c r="F3" s="20" t="s">
        <v>3352</v>
      </c>
      <c r="G3" s="20" t="s">
        <v>3353</v>
      </c>
      <c r="H3" s="18" t="s">
        <v>511</v>
      </c>
      <c r="I3" s="20" t="s">
        <v>1182</v>
      </c>
      <c r="J3" s="18" t="s">
        <v>31</v>
      </c>
      <c r="K3" s="18" t="s">
        <v>31</v>
      </c>
      <c r="L3" s="20" t="s">
        <v>517</v>
      </c>
      <c r="M3" s="18" t="s">
        <v>32</v>
      </c>
      <c r="N3" s="20" t="s">
        <v>934</v>
      </c>
      <c r="O3" s="20" t="s">
        <v>312</v>
      </c>
      <c r="P3" s="152">
        <v>3.508</v>
      </c>
      <c r="Q3" s="169">
        <v>5.0000000000000001E-4</v>
      </c>
      <c r="R3" s="170">
        <v>2.6030000000000001E-2</v>
      </c>
      <c r="S3" s="20" t="s">
        <v>357</v>
      </c>
      <c r="T3" s="20" t="s">
        <v>358</v>
      </c>
      <c r="U3" s="20" t="s">
        <v>596</v>
      </c>
      <c r="V3" s="18" t="s">
        <v>35</v>
      </c>
      <c r="W3" s="152">
        <v>209875</v>
      </c>
      <c r="X3" s="152">
        <v>1</v>
      </c>
      <c r="Y3" s="152">
        <v>103.2</v>
      </c>
      <c r="Z3" s="152">
        <v>216.59100000000001</v>
      </c>
      <c r="AA3" s="170">
        <v>0.92783063597333204</v>
      </c>
      <c r="AB3" s="170">
        <v>5.9000525818029897E-3</v>
      </c>
    </row>
    <row r="4" spans="1:28">
      <c r="A4" s="20" t="s">
        <v>26</v>
      </c>
      <c r="B4" s="20">
        <v>13711</v>
      </c>
      <c r="C4" s="20" t="s">
        <v>3354</v>
      </c>
      <c r="D4" s="20" t="s">
        <v>3355</v>
      </c>
      <c r="E4" s="18" t="s">
        <v>1552</v>
      </c>
      <c r="F4" s="20" t="s">
        <v>3356</v>
      </c>
      <c r="G4" s="20" t="s">
        <v>3357</v>
      </c>
      <c r="H4" s="18" t="s">
        <v>511</v>
      </c>
      <c r="I4" s="20" t="s">
        <v>1182</v>
      </c>
      <c r="J4" s="18" t="s">
        <v>31</v>
      </c>
      <c r="K4" s="18" t="s">
        <v>31</v>
      </c>
      <c r="L4" s="20" t="s">
        <v>517</v>
      </c>
      <c r="M4" s="18" t="s">
        <v>32</v>
      </c>
      <c r="N4" s="20" t="s">
        <v>941</v>
      </c>
      <c r="O4" s="20" t="s">
        <v>312</v>
      </c>
      <c r="P4" s="152">
        <v>9.2999999999999999E-2</v>
      </c>
      <c r="Q4" s="169">
        <v>0.146868</v>
      </c>
      <c r="R4" s="170">
        <v>3.9410000000000001E-2</v>
      </c>
      <c r="S4" s="20" t="s">
        <v>157</v>
      </c>
      <c r="T4" s="20" t="s">
        <v>604</v>
      </c>
      <c r="U4" s="20" t="s">
        <v>596</v>
      </c>
      <c r="V4" s="18" t="s">
        <v>35</v>
      </c>
      <c r="W4" s="152">
        <v>3000</v>
      </c>
      <c r="X4" s="152">
        <v>1</v>
      </c>
      <c r="Y4" s="152">
        <v>109.79</v>
      </c>
      <c r="Z4" s="152">
        <v>3.294</v>
      </c>
      <c r="AA4" s="170">
        <v>1.41095233214001E-2</v>
      </c>
      <c r="AB4" s="170">
        <v>8.9722117671946195E-5</v>
      </c>
    </row>
    <row r="5" spans="1:28">
      <c r="A5" s="20" t="s">
        <v>256</v>
      </c>
      <c r="B5" s="20">
        <v>556</v>
      </c>
      <c r="C5" s="20" t="s">
        <v>3348</v>
      </c>
      <c r="D5" s="20" t="s">
        <v>3349</v>
      </c>
      <c r="E5" s="18" t="s">
        <v>1552</v>
      </c>
      <c r="F5" s="20" t="s">
        <v>3350</v>
      </c>
      <c r="G5" s="20" t="s">
        <v>3351</v>
      </c>
      <c r="H5" s="18" t="s">
        <v>511</v>
      </c>
      <c r="I5" s="20" t="s">
        <v>1182</v>
      </c>
      <c r="J5" s="18" t="s">
        <v>31</v>
      </c>
      <c r="K5" s="18" t="s">
        <v>31</v>
      </c>
      <c r="L5" s="20" t="s">
        <v>517</v>
      </c>
      <c r="M5" s="18" t="s">
        <v>32</v>
      </c>
      <c r="N5" s="20" t="s">
        <v>936</v>
      </c>
      <c r="O5" s="20" t="s">
        <v>312</v>
      </c>
      <c r="P5" s="152">
        <v>1.6839999999999999</v>
      </c>
      <c r="Q5" s="169">
        <v>0.115402</v>
      </c>
      <c r="R5" s="170">
        <v>5.2639999999999999E-2</v>
      </c>
      <c r="S5" s="20" t="s">
        <v>357</v>
      </c>
      <c r="T5" s="20" t="s">
        <v>358</v>
      </c>
      <c r="U5" s="20" t="s">
        <v>596</v>
      </c>
      <c r="V5" s="18" t="s">
        <v>35</v>
      </c>
      <c r="W5" s="152">
        <v>870628.87</v>
      </c>
      <c r="X5" s="152">
        <v>1</v>
      </c>
      <c r="Y5" s="152">
        <v>112</v>
      </c>
      <c r="Z5" s="152">
        <v>975.10400000000004</v>
      </c>
      <c r="AA5" s="170">
        <v>0.38639761861022898</v>
      </c>
      <c r="AB5" s="170">
        <v>3.0573130338343202E-3</v>
      </c>
    </row>
    <row r="6" spans="1:28">
      <c r="A6" s="20" t="s">
        <v>256</v>
      </c>
      <c r="B6" s="20">
        <v>556</v>
      </c>
      <c r="C6" s="20" t="s">
        <v>3348</v>
      </c>
      <c r="D6" s="20" t="s">
        <v>3349</v>
      </c>
      <c r="E6" s="18" t="s">
        <v>1552</v>
      </c>
      <c r="F6" s="20" t="s">
        <v>3352</v>
      </c>
      <c r="G6" s="20" t="s">
        <v>3353</v>
      </c>
      <c r="H6" s="18" t="s">
        <v>511</v>
      </c>
      <c r="I6" s="20" t="s">
        <v>1182</v>
      </c>
      <c r="J6" s="18" t="s">
        <v>31</v>
      </c>
      <c r="K6" s="18" t="s">
        <v>31</v>
      </c>
      <c r="L6" s="20" t="s">
        <v>517</v>
      </c>
      <c r="M6" s="18" t="s">
        <v>32</v>
      </c>
      <c r="N6" s="20" t="s">
        <v>934</v>
      </c>
      <c r="O6" s="20" t="s">
        <v>312</v>
      </c>
      <c r="P6" s="152">
        <v>3.508</v>
      </c>
      <c r="Q6" s="169">
        <v>5.0000000000000001E-4</v>
      </c>
      <c r="R6" s="170">
        <v>2.6030000000000001E-2</v>
      </c>
      <c r="S6" s="20" t="s">
        <v>357</v>
      </c>
      <c r="T6" s="20" t="s">
        <v>358</v>
      </c>
      <c r="U6" s="20" t="s">
        <v>596</v>
      </c>
      <c r="V6" s="18" t="s">
        <v>35</v>
      </c>
      <c r="W6" s="152">
        <v>1484500.64</v>
      </c>
      <c r="X6" s="152">
        <v>1</v>
      </c>
      <c r="Y6" s="152">
        <v>103.2</v>
      </c>
      <c r="Z6" s="152">
        <v>1532.0050000000001</v>
      </c>
      <c r="AA6" s="170">
        <v>0.60707652671187295</v>
      </c>
      <c r="AB6" s="170">
        <v>4.8034016988166301E-3</v>
      </c>
    </row>
    <row r="7" spans="1:28">
      <c r="A7" s="20" t="s">
        <v>256</v>
      </c>
      <c r="B7" s="20">
        <v>556</v>
      </c>
      <c r="C7" s="20" t="s">
        <v>3354</v>
      </c>
      <c r="D7" s="20" t="s">
        <v>3355</v>
      </c>
      <c r="E7" s="18" t="s">
        <v>1552</v>
      </c>
      <c r="F7" s="20" t="s">
        <v>3356</v>
      </c>
      <c r="G7" s="20" t="s">
        <v>3357</v>
      </c>
      <c r="H7" s="18" t="s">
        <v>511</v>
      </c>
      <c r="I7" s="20" t="s">
        <v>1182</v>
      </c>
      <c r="J7" s="18" t="s">
        <v>31</v>
      </c>
      <c r="K7" s="18" t="s">
        <v>31</v>
      </c>
      <c r="L7" s="20" t="s">
        <v>517</v>
      </c>
      <c r="M7" s="18" t="s">
        <v>32</v>
      </c>
      <c r="N7" s="20" t="s">
        <v>941</v>
      </c>
      <c r="O7" s="20" t="s">
        <v>312</v>
      </c>
      <c r="P7" s="152">
        <v>9.2999999999999999E-2</v>
      </c>
      <c r="Q7" s="169">
        <v>0.146868</v>
      </c>
      <c r="R7" s="170">
        <v>3.9410000000000001E-2</v>
      </c>
      <c r="S7" s="20" t="s">
        <v>157</v>
      </c>
      <c r="T7" s="20" t="s">
        <v>604</v>
      </c>
      <c r="U7" s="20" t="s">
        <v>596</v>
      </c>
      <c r="V7" s="18" t="s">
        <v>35</v>
      </c>
      <c r="W7" s="152">
        <v>15000</v>
      </c>
      <c r="X7" s="152">
        <v>1</v>
      </c>
      <c r="Y7" s="152">
        <v>109.79</v>
      </c>
      <c r="Z7" s="152">
        <v>16.468</v>
      </c>
      <c r="AA7" s="170">
        <v>6.5258546778977E-3</v>
      </c>
      <c r="AB7" s="170">
        <v>5.1634843494651602E-5</v>
      </c>
    </row>
    <row r="8" spans="1:28">
      <c r="A8" s="20" t="s">
        <v>256</v>
      </c>
      <c r="B8" s="20">
        <v>7205</v>
      </c>
      <c r="C8" s="20" t="s">
        <v>3348</v>
      </c>
      <c r="D8" s="20" t="s">
        <v>3349</v>
      </c>
      <c r="E8" s="18" t="s">
        <v>1552</v>
      </c>
      <c r="F8" s="20" t="s">
        <v>3350</v>
      </c>
      <c r="G8" s="20" t="s">
        <v>3351</v>
      </c>
      <c r="H8" s="18" t="s">
        <v>511</v>
      </c>
      <c r="I8" s="20" t="s">
        <v>1182</v>
      </c>
      <c r="J8" s="18" t="s">
        <v>31</v>
      </c>
      <c r="K8" s="18" t="s">
        <v>31</v>
      </c>
      <c r="L8" s="20" t="s">
        <v>517</v>
      </c>
      <c r="M8" s="18" t="s">
        <v>32</v>
      </c>
      <c r="N8" s="20" t="s">
        <v>936</v>
      </c>
      <c r="O8" s="20" t="s">
        <v>312</v>
      </c>
      <c r="P8" s="152">
        <v>1.6839999999999999</v>
      </c>
      <c r="Q8" s="169">
        <v>0.115402</v>
      </c>
      <c r="R8" s="170">
        <v>5.2639999999999999E-2</v>
      </c>
      <c r="S8" s="20" t="s">
        <v>357</v>
      </c>
      <c r="T8" s="20" t="s">
        <v>358</v>
      </c>
      <c r="U8" s="20" t="s">
        <v>596</v>
      </c>
      <c r="V8" s="18" t="s">
        <v>35</v>
      </c>
      <c r="W8" s="152">
        <v>4616994.24</v>
      </c>
      <c r="X8" s="152">
        <v>1</v>
      </c>
      <c r="Y8" s="152">
        <v>112</v>
      </c>
      <c r="Z8" s="152">
        <v>5171.0339999999997</v>
      </c>
      <c r="AA8" s="170">
        <v>0.374927305692346</v>
      </c>
      <c r="AB8" s="170">
        <v>2.8114547014832601E-3</v>
      </c>
    </row>
    <row r="9" spans="1:28">
      <c r="A9" s="20" t="s">
        <v>256</v>
      </c>
      <c r="B9" s="20">
        <v>7205</v>
      </c>
      <c r="C9" s="20" t="s">
        <v>3348</v>
      </c>
      <c r="D9" s="20" t="s">
        <v>3349</v>
      </c>
      <c r="E9" s="18" t="s">
        <v>1552</v>
      </c>
      <c r="F9" s="20" t="s">
        <v>3352</v>
      </c>
      <c r="G9" s="20" t="s">
        <v>3353</v>
      </c>
      <c r="H9" s="18" t="s">
        <v>511</v>
      </c>
      <c r="I9" s="20" t="s">
        <v>1182</v>
      </c>
      <c r="J9" s="18" t="s">
        <v>31</v>
      </c>
      <c r="K9" s="18" t="s">
        <v>31</v>
      </c>
      <c r="L9" s="20" t="s">
        <v>517</v>
      </c>
      <c r="M9" s="18" t="s">
        <v>32</v>
      </c>
      <c r="N9" s="20" t="s">
        <v>934</v>
      </c>
      <c r="O9" s="20" t="s">
        <v>312</v>
      </c>
      <c r="P9" s="152">
        <v>3.508</v>
      </c>
      <c r="Q9" s="169">
        <v>5.0000000000000001E-4</v>
      </c>
      <c r="R9" s="170">
        <v>2.6030000000000001E-2</v>
      </c>
      <c r="S9" s="20" t="s">
        <v>357</v>
      </c>
      <c r="T9" s="20" t="s">
        <v>358</v>
      </c>
      <c r="U9" s="20" t="s">
        <v>596</v>
      </c>
      <c r="V9" s="18" t="s">
        <v>35</v>
      </c>
      <c r="W9" s="152">
        <v>8275017.7000000002</v>
      </c>
      <c r="X9" s="152">
        <v>1</v>
      </c>
      <c r="Y9" s="152">
        <v>103.2</v>
      </c>
      <c r="Z9" s="152">
        <v>8539.8179999999993</v>
      </c>
      <c r="AA9" s="170">
        <v>0.61918203073090705</v>
      </c>
      <c r="AB9" s="170">
        <v>4.6430393437409704E-3</v>
      </c>
    </row>
    <row r="10" spans="1:28">
      <c r="A10" s="20" t="s">
        <v>256</v>
      </c>
      <c r="B10" s="20">
        <v>7205</v>
      </c>
      <c r="C10" s="20" t="s">
        <v>3354</v>
      </c>
      <c r="D10" s="20" t="s">
        <v>3355</v>
      </c>
      <c r="E10" s="18" t="s">
        <v>1552</v>
      </c>
      <c r="F10" s="20" t="s">
        <v>3356</v>
      </c>
      <c r="G10" s="20" t="s">
        <v>3357</v>
      </c>
      <c r="H10" s="18" t="s">
        <v>511</v>
      </c>
      <c r="I10" s="20" t="s">
        <v>1182</v>
      </c>
      <c r="J10" s="18" t="s">
        <v>31</v>
      </c>
      <c r="K10" s="18" t="s">
        <v>31</v>
      </c>
      <c r="L10" s="20" t="s">
        <v>517</v>
      </c>
      <c r="M10" s="18" t="s">
        <v>32</v>
      </c>
      <c r="N10" s="20" t="s">
        <v>941</v>
      </c>
      <c r="O10" s="20" t="s">
        <v>312</v>
      </c>
      <c r="P10" s="152">
        <v>9.2999999999999999E-2</v>
      </c>
      <c r="Q10" s="169">
        <v>0.146868</v>
      </c>
      <c r="R10" s="170">
        <v>3.9410000000000001E-2</v>
      </c>
      <c r="S10" s="20" t="s">
        <v>157</v>
      </c>
      <c r="T10" s="20" t="s">
        <v>604</v>
      </c>
      <c r="U10" s="20" t="s">
        <v>596</v>
      </c>
      <c r="V10" s="18" t="s">
        <v>35</v>
      </c>
      <c r="W10" s="152">
        <v>74000</v>
      </c>
      <c r="X10" s="152">
        <v>1</v>
      </c>
      <c r="Y10" s="152">
        <v>109.79</v>
      </c>
      <c r="Z10" s="152">
        <v>81.245000000000005</v>
      </c>
      <c r="AA10" s="170">
        <v>5.8906635767468898E-3</v>
      </c>
      <c r="AB10" s="170">
        <v>4.4172119651618403E-5</v>
      </c>
    </row>
    <row r="11" spans="1:28">
      <c r="A11" s="20" t="s">
        <v>256</v>
      </c>
      <c r="B11" s="20">
        <v>7206</v>
      </c>
      <c r="C11" s="20" t="s">
        <v>3348</v>
      </c>
      <c r="D11" s="20" t="s">
        <v>3349</v>
      </c>
      <c r="E11" s="18" t="s">
        <v>1552</v>
      </c>
      <c r="F11" s="20" t="s">
        <v>3350</v>
      </c>
      <c r="G11" s="20" t="s">
        <v>3351</v>
      </c>
      <c r="H11" s="18" t="s">
        <v>511</v>
      </c>
      <c r="I11" s="20" t="s">
        <v>1182</v>
      </c>
      <c r="J11" s="18" t="s">
        <v>31</v>
      </c>
      <c r="K11" s="18" t="s">
        <v>31</v>
      </c>
      <c r="L11" s="20" t="s">
        <v>517</v>
      </c>
      <c r="M11" s="18" t="s">
        <v>32</v>
      </c>
      <c r="N11" s="20" t="s">
        <v>936</v>
      </c>
      <c r="O11" s="20" t="s">
        <v>312</v>
      </c>
      <c r="P11" s="152">
        <v>1.6839999999999999</v>
      </c>
      <c r="Q11" s="169">
        <v>0.115402</v>
      </c>
      <c r="R11" s="170">
        <v>5.2639999999999999E-2</v>
      </c>
      <c r="S11" s="20" t="s">
        <v>357</v>
      </c>
      <c r="T11" s="20" t="s">
        <v>358</v>
      </c>
      <c r="U11" s="20" t="s">
        <v>596</v>
      </c>
      <c r="V11" s="18" t="s">
        <v>35</v>
      </c>
      <c r="W11" s="152">
        <v>140429.47</v>
      </c>
      <c r="X11" s="152">
        <v>1</v>
      </c>
      <c r="Y11" s="152">
        <v>112</v>
      </c>
      <c r="Z11" s="152">
        <v>157.28100000000001</v>
      </c>
      <c r="AA11" s="170">
        <v>0.208531100463859</v>
      </c>
      <c r="AB11" s="170">
        <v>2.3485795455451199E-3</v>
      </c>
    </row>
    <row r="12" spans="1:28">
      <c r="A12" s="20" t="s">
        <v>256</v>
      </c>
      <c r="B12" s="20">
        <v>7206</v>
      </c>
      <c r="C12" s="20" t="s">
        <v>3348</v>
      </c>
      <c r="D12" s="20" t="s">
        <v>3349</v>
      </c>
      <c r="E12" s="18" t="s">
        <v>1552</v>
      </c>
      <c r="F12" s="20" t="s">
        <v>3352</v>
      </c>
      <c r="G12" s="20" t="s">
        <v>3353</v>
      </c>
      <c r="H12" s="18" t="s">
        <v>511</v>
      </c>
      <c r="I12" s="20" t="s">
        <v>1182</v>
      </c>
      <c r="J12" s="18" t="s">
        <v>31</v>
      </c>
      <c r="K12" s="18" t="s">
        <v>31</v>
      </c>
      <c r="L12" s="20" t="s">
        <v>517</v>
      </c>
      <c r="M12" s="18" t="s">
        <v>32</v>
      </c>
      <c r="N12" s="20" t="s">
        <v>934</v>
      </c>
      <c r="O12" s="20" t="s">
        <v>312</v>
      </c>
      <c r="P12" s="152">
        <v>3.508</v>
      </c>
      <c r="Q12" s="169">
        <v>5.0000000000000001E-4</v>
      </c>
      <c r="R12" s="170">
        <v>2.6030000000000001E-2</v>
      </c>
      <c r="S12" s="20" t="s">
        <v>357</v>
      </c>
      <c r="T12" s="20" t="s">
        <v>358</v>
      </c>
      <c r="U12" s="20" t="s">
        <v>596</v>
      </c>
      <c r="V12" s="18" t="s">
        <v>35</v>
      </c>
      <c r="W12" s="152">
        <v>575250.14</v>
      </c>
      <c r="X12" s="152">
        <v>1</v>
      </c>
      <c r="Y12" s="152">
        <v>103.2</v>
      </c>
      <c r="Z12" s="152">
        <v>593.65800000000002</v>
      </c>
      <c r="AA12" s="170">
        <v>0.78710194575501502</v>
      </c>
      <c r="AB12" s="170">
        <v>8.8647282153453896E-3</v>
      </c>
    </row>
    <row r="13" spans="1:28">
      <c r="A13" s="20" t="s">
        <v>256</v>
      </c>
      <c r="B13" s="20">
        <v>7206</v>
      </c>
      <c r="C13" s="20" t="s">
        <v>3354</v>
      </c>
      <c r="D13" s="20" t="s">
        <v>3355</v>
      </c>
      <c r="E13" s="18" t="s">
        <v>1552</v>
      </c>
      <c r="F13" s="20" t="s">
        <v>3356</v>
      </c>
      <c r="G13" s="20" t="s">
        <v>3357</v>
      </c>
      <c r="H13" s="18" t="s">
        <v>511</v>
      </c>
      <c r="I13" s="20" t="s">
        <v>1182</v>
      </c>
      <c r="J13" s="18" t="s">
        <v>31</v>
      </c>
      <c r="K13" s="18" t="s">
        <v>31</v>
      </c>
      <c r="L13" s="20" t="s">
        <v>517</v>
      </c>
      <c r="M13" s="18" t="s">
        <v>32</v>
      </c>
      <c r="N13" s="20" t="s">
        <v>941</v>
      </c>
      <c r="O13" s="20" t="s">
        <v>312</v>
      </c>
      <c r="P13" s="152">
        <v>9.2999999999999999E-2</v>
      </c>
      <c r="Q13" s="169">
        <v>0.146868</v>
      </c>
      <c r="R13" s="170">
        <v>3.9410000000000001E-2</v>
      </c>
      <c r="S13" s="20" t="s">
        <v>157</v>
      </c>
      <c r="T13" s="20" t="s">
        <v>604</v>
      </c>
      <c r="U13" s="20" t="s">
        <v>596</v>
      </c>
      <c r="V13" s="18" t="s">
        <v>35</v>
      </c>
      <c r="W13" s="152">
        <v>3000</v>
      </c>
      <c r="X13" s="152">
        <v>1</v>
      </c>
      <c r="Y13" s="152">
        <v>109.79</v>
      </c>
      <c r="Z13" s="152">
        <v>3.294</v>
      </c>
      <c r="AA13" s="170">
        <v>4.3669537811261896E-3</v>
      </c>
      <c r="AB13" s="170">
        <v>4.9182775633370903E-5</v>
      </c>
    </row>
    <row r="14" spans="1:28">
      <c r="A14" s="20" t="s">
        <v>256</v>
      </c>
      <c r="B14" s="20">
        <v>7207</v>
      </c>
      <c r="C14" s="20" t="s">
        <v>3348</v>
      </c>
      <c r="D14" s="20" t="s">
        <v>3349</v>
      </c>
      <c r="E14" s="18" t="s">
        <v>1552</v>
      </c>
      <c r="F14" s="20" t="s">
        <v>3350</v>
      </c>
      <c r="G14" s="20" t="s">
        <v>3351</v>
      </c>
      <c r="H14" s="18" t="s">
        <v>511</v>
      </c>
      <c r="I14" s="20" t="s">
        <v>1182</v>
      </c>
      <c r="J14" s="18" t="s">
        <v>31</v>
      </c>
      <c r="K14" s="18" t="s">
        <v>31</v>
      </c>
      <c r="L14" s="20" t="s">
        <v>517</v>
      </c>
      <c r="M14" s="18" t="s">
        <v>32</v>
      </c>
      <c r="N14" s="20" t="s">
        <v>936</v>
      </c>
      <c r="O14" s="20" t="s">
        <v>312</v>
      </c>
      <c r="P14" s="152">
        <v>1.6839999999999999</v>
      </c>
      <c r="Q14" s="169">
        <v>0.115402</v>
      </c>
      <c r="R14" s="170">
        <v>5.2639999999999999E-2</v>
      </c>
      <c r="S14" s="20" t="s">
        <v>357</v>
      </c>
      <c r="T14" s="20" t="s">
        <v>358</v>
      </c>
      <c r="U14" s="20" t="s">
        <v>596</v>
      </c>
      <c r="V14" s="18" t="s">
        <v>35</v>
      </c>
      <c r="W14" s="152">
        <v>255061.39</v>
      </c>
      <c r="X14" s="152">
        <v>1</v>
      </c>
      <c r="Y14" s="152">
        <v>112</v>
      </c>
      <c r="Z14" s="152">
        <v>285.66899999999998</v>
      </c>
      <c r="AA14" s="170">
        <v>0.26507909816662401</v>
      </c>
      <c r="AB14" s="170">
        <v>2.9379626754088501E-3</v>
      </c>
    </row>
    <row r="15" spans="1:28">
      <c r="A15" s="20" t="s">
        <v>256</v>
      </c>
      <c r="B15" s="20">
        <v>7207</v>
      </c>
      <c r="C15" s="20" t="s">
        <v>3348</v>
      </c>
      <c r="D15" s="20" t="s">
        <v>3349</v>
      </c>
      <c r="E15" s="18" t="s">
        <v>1552</v>
      </c>
      <c r="F15" s="20" t="s">
        <v>3352</v>
      </c>
      <c r="G15" s="20" t="s">
        <v>3353</v>
      </c>
      <c r="H15" s="18" t="s">
        <v>511</v>
      </c>
      <c r="I15" s="20" t="s">
        <v>1182</v>
      </c>
      <c r="J15" s="18" t="s">
        <v>31</v>
      </c>
      <c r="K15" s="18" t="s">
        <v>31</v>
      </c>
      <c r="L15" s="20" t="s">
        <v>517</v>
      </c>
      <c r="M15" s="18" t="s">
        <v>32</v>
      </c>
      <c r="N15" s="20" t="s">
        <v>934</v>
      </c>
      <c r="O15" s="20" t="s">
        <v>312</v>
      </c>
      <c r="P15" s="152">
        <v>3.508</v>
      </c>
      <c r="Q15" s="169">
        <v>5.0000000000000001E-4</v>
      </c>
      <c r="R15" s="170">
        <v>2.6030000000000001E-2</v>
      </c>
      <c r="S15" s="20" t="s">
        <v>357</v>
      </c>
      <c r="T15" s="20" t="s">
        <v>358</v>
      </c>
      <c r="U15" s="20" t="s">
        <v>596</v>
      </c>
      <c r="V15" s="18" t="s">
        <v>35</v>
      </c>
      <c r="W15" s="152">
        <v>762127.31</v>
      </c>
      <c r="X15" s="152">
        <v>1</v>
      </c>
      <c r="Y15" s="152">
        <v>103.2</v>
      </c>
      <c r="Z15" s="152">
        <v>786.51499999999999</v>
      </c>
      <c r="AA15" s="170">
        <v>0.72982705914057999</v>
      </c>
      <c r="AB15" s="170">
        <v>8.0889239253055904E-3</v>
      </c>
    </row>
    <row r="16" spans="1:28">
      <c r="A16" s="20" t="s">
        <v>256</v>
      </c>
      <c r="B16" s="20">
        <v>7207</v>
      </c>
      <c r="C16" s="20" t="s">
        <v>3354</v>
      </c>
      <c r="D16" s="20" t="s">
        <v>3355</v>
      </c>
      <c r="E16" s="18" t="s">
        <v>1552</v>
      </c>
      <c r="F16" s="20" t="s">
        <v>3356</v>
      </c>
      <c r="G16" s="20" t="s">
        <v>3357</v>
      </c>
      <c r="H16" s="18" t="s">
        <v>511</v>
      </c>
      <c r="I16" s="20" t="s">
        <v>1182</v>
      </c>
      <c r="J16" s="18" t="s">
        <v>31</v>
      </c>
      <c r="K16" s="18" t="s">
        <v>31</v>
      </c>
      <c r="L16" s="20" t="s">
        <v>517</v>
      </c>
      <c r="M16" s="18" t="s">
        <v>32</v>
      </c>
      <c r="N16" s="20" t="s">
        <v>941</v>
      </c>
      <c r="O16" s="20" t="s">
        <v>312</v>
      </c>
      <c r="P16" s="152">
        <v>9.2999999999999999E-2</v>
      </c>
      <c r="Q16" s="169">
        <v>0.146868</v>
      </c>
      <c r="R16" s="170">
        <v>3.9410000000000001E-2</v>
      </c>
      <c r="S16" s="20" t="s">
        <v>157</v>
      </c>
      <c r="T16" s="20" t="s">
        <v>604</v>
      </c>
      <c r="U16" s="20" t="s">
        <v>596</v>
      </c>
      <c r="V16" s="18" t="s">
        <v>35</v>
      </c>
      <c r="W16" s="152">
        <v>5000</v>
      </c>
      <c r="X16" s="152">
        <v>1</v>
      </c>
      <c r="Y16" s="152">
        <v>109.79</v>
      </c>
      <c r="Z16" s="152">
        <v>5.4889999999999999</v>
      </c>
      <c r="AA16" s="170">
        <v>5.0938426927955999E-3</v>
      </c>
      <c r="AB16" s="170">
        <v>5.64568078333755E-5</v>
      </c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7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7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7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4"/>
  <cols>
    <col min="1" max="8" width="11.6640625" customWidth="1"/>
    <col min="9" max="9" width="11.6640625" style="2" customWidth="1"/>
    <col min="10" max="15" width="11.6640625" customWidth="1"/>
    <col min="16" max="16" width="11.6640625" style="143" customWidth="1"/>
    <col min="17" max="23" width="11.6640625" customWidth="1"/>
    <col min="24" max="24" width="11.6640625" style="2" customWidth="1"/>
    <col min="25" max="25" width="11.6640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321</v>
      </c>
      <c r="G1" s="19" t="s">
        <v>5</v>
      </c>
      <c r="H1" s="19" t="s">
        <v>6</v>
      </c>
      <c r="I1" s="19" t="s">
        <v>7</v>
      </c>
      <c r="J1" s="19" t="s">
        <v>330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2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7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7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7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6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7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7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7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7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7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7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7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7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7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7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7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7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7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7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4"/>
  <cols>
    <col min="1" max="7" width="11.6640625" style="2" customWidth="1"/>
    <col min="8" max="8" width="11.6640625" customWidth="1"/>
    <col min="9" max="9" width="11.6640625" style="2" customWidth="1"/>
    <col min="10" max="10" width="11.6640625" style="144" customWidth="1"/>
    <col min="11" max="15" width="11.6640625" style="2" customWidth="1"/>
    <col min="16" max="16" width="11.6640625" customWidth="1"/>
    <col min="17" max="19" width="11.6640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330</v>
      </c>
      <c r="G1" s="19" t="s">
        <v>12</v>
      </c>
      <c r="H1" s="19" t="s">
        <v>943</v>
      </c>
      <c r="I1" s="19" t="s">
        <v>13</v>
      </c>
      <c r="J1" s="142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7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7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7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7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7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7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7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7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7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7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7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7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7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7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7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7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7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7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4"/>
  <cols>
    <col min="1" max="3" width="11.6640625" style="2" customWidth="1"/>
    <col min="4" max="6" width="11.6640625" customWidth="1"/>
    <col min="7" max="8" width="11.6640625" style="2" customWidth="1"/>
    <col min="9" max="9" width="9" style="2" customWidth="1"/>
    <col min="10" max="16384" width="9" style="2"/>
  </cols>
  <sheetData>
    <row r="1" spans="1:8" ht="66.75" customHeight="1">
      <c r="A1" s="19" t="s">
        <v>1310</v>
      </c>
      <c r="B1" s="19" t="s">
        <v>1</v>
      </c>
      <c r="C1" s="19" t="s">
        <v>5</v>
      </c>
      <c r="D1" s="19" t="s">
        <v>1311</v>
      </c>
      <c r="E1" s="19" t="s">
        <v>1312</v>
      </c>
      <c r="F1" s="19" t="s">
        <v>1313</v>
      </c>
      <c r="G1" s="19" t="s">
        <v>25</v>
      </c>
      <c r="H1" s="11"/>
    </row>
    <row r="2" spans="1:8">
      <c r="A2" s="20"/>
      <c r="B2" s="20"/>
      <c r="C2" s="20"/>
      <c r="D2" s="124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4"/>
  <cols>
    <col min="1" max="4" width="11.6640625" customWidth="1"/>
    <col min="5" max="5" width="11.6640625" style="4" customWidth="1"/>
    <col min="6" max="11" width="11.6640625" customWidth="1"/>
    <col min="12" max="12" width="11.6640625" style="2" customWidth="1"/>
    <col min="13" max="24" width="11.6640625" customWidth="1"/>
    <col min="25" max="26" width="11.6640625" style="4" customWidth="1"/>
    <col min="27" max="40" width="11.6640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322</v>
      </c>
      <c r="M1" s="19" t="s">
        <v>298</v>
      </c>
      <c r="N1" s="19" t="s">
        <v>330</v>
      </c>
      <c r="O1" s="19" t="s">
        <v>9</v>
      </c>
      <c r="P1" s="19" t="s">
        <v>10</v>
      </c>
      <c r="Q1" s="19" t="s">
        <v>366</v>
      </c>
      <c r="R1" s="19" t="s">
        <v>11</v>
      </c>
      <c r="S1" s="19" t="s">
        <v>12</v>
      </c>
      <c r="T1" s="19" t="s">
        <v>943</v>
      </c>
      <c r="U1" s="19" t="s">
        <v>1099</v>
      </c>
      <c r="V1" s="19" t="s">
        <v>13</v>
      </c>
      <c r="W1" s="163" t="s">
        <v>14</v>
      </c>
      <c r="X1" s="163" t="s">
        <v>15</v>
      </c>
      <c r="Y1" s="19" t="s">
        <v>600</v>
      </c>
      <c r="Z1" s="19" t="s">
        <v>1020</v>
      </c>
      <c r="AA1" s="19" t="s">
        <v>323</v>
      </c>
      <c r="AB1" s="19" t="s">
        <v>324</v>
      </c>
      <c r="AC1" s="19" t="s">
        <v>336</v>
      </c>
      <c r="AD1" s="19" t="s">
        <v>307</v>
      </c>
      <c r="AE1" s="19" t="s">
        <v>325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338</v>
      </c>
      <c r="AL1" s="19" t="s">
        <v>22</v>
      </c>
      <c r="AM1" s="163" t="s">
        <v>24</v>
      </c>
      <c r="AN1" s="163" t="s">
        <v>25</v>
      </c>
    </row>
    <row r="2" spans="1:40">
      <c r="A2" s="27" t="s">
        <v>26</v>
      </c>
      <c r="B2" s="20">
        <v>13711</v>
      </c>
      <c r="C2" s="20" t="s">
        <v>3358</v>
      </c>
      <c r="D2" s="20" t="s">
        <v>3359</v>
      </c>
      <c r="E2" s="18" t="s">
        <v>1552</v>
      </c>
      <c r="F2" s="20" t="s">
        <v>3360</v>
      </c>
      <c r="G2" s="20" t="s">
        <v>3361</v>
      </c>
      <c r="H2" s="18" t="s">
        <v>511</v>
      </c>
      <c r="I2" s="20" t="s">
        <v>364</v>
      </c>
      <c r="J2" s="18" t="s">
        <v>31</v>
      </c>
      <c r="K2" s="18" t="s">
        <v>31</v>
      </c>
      <c r="L2" s="20" t="s">
        <v>644</v>
      </c>
      <c r="M2" s="20" t="s">
        <v>312</v>
      </c>
      <c r="N2" s="20" t="s">
        <v>3362</v>
      </c>
      <c r="O2" s="20" t="s">
        <v>2394</v>
      </c>
      <c r="P2" s="20" t="s">
        <v>358</v>
      </c>
      <c r="Q2" s="20" t="s">
        <v>596</v>
      </c>
      <c r="R2" s="18" t="s">
        <v>159</v>
      </c>
      <c r="S2" s="152">
        <v>0.04</v>
      </c>
      <c r="T2" s="20" t="s">
        <v>946</v>
      </c>
      <c r="U2" s="20" t="s">
        <v>1102</v>
      </c>
      <c r="V2" s="20" t="s">
        <v>3363</v>
      </c>
      <c r="W2" s="170">
        <v>6.4056000000000002E-2</v>
      </c>
      <c r="X2" s="170">
        <v>6.8870000000000001E-2</v>
      </c>
      <c r="Y2" s="18" t="s">
        <v>602</v>
      </c>
      <c r="Z2" s="20" t="s">
        <v>312</v>
      </c>
      <c r="AA2" s="20" t="s">
        <v>1083</v>
      </c>
      <c r="AB2" s="20" t="s">
        <v>3191</v>
      </c>
      <c r="AC2" s="20" t="s">
        <v>3364</v>
      </c>
      <c r="AD2" s="20" t="s">
        <v>1558</v>
      </c>
      <c r="AE2" s="20"/>
      <c r="AF2" s="152">
        <v>10000</v>
      </c>
      <c r="AG2" s="152">
        <v>3.7589999999999999</v>
      </c>
      <c r="AH2" s="152">
        <v>100.75</v>
      </c>
      <c r="AI2" s="152">
        <v>37.872</v>
      </c>
      <c r="AK2" s="27"/>
      <c r="AL2" s="20" t="s">
        <v>37</v>
      </c>
      <c r="AM2" s="171">
        <v>0.33370872114206201</v>
      </c>
      <c r="AN2" s="171">
        <v>1.03165112527344E-3</v>
      </c>
    </row>
    <row r="3" spans="1:40">
      <c r="A3" s="20" t="s">
        <v>26</v>
      </c>
      <c r="B3" s="20">
        <v>13711</v>
      </c>
      <c r="C3" s="20" t="s">
        <v>1642</v>
      </c>
      <c r="D3" s="20" t="s">
        <v>1643</v>
      </c>
      <c r="E3" s="18" t="s">
        <v>1552</v>
      </c>
      <c r="F3" s="20" t="s">
        <v>3365</v>
      </c>
      <c r="G3" s="20" t="s">
        <v>3366</v>
      </c>
      <c r="H3" s="18" t="s">
        <v>511</v>
      </c>
      <c r="I3" s="20" t="s">
        <v>364</v>
      </c>
      <c r="J3" s="18" t="s">
        <v>31</v>
      </c>
      <c r="K3" s="18" t="s">
        <v>31</v>
      </c>
      <c r="L3" s="20" t="s">
        <v>634</v>
      </c>
      <c r="M3" s="20" t="s">
        <v>312</v>
      </c>
      <c r="N3" s="20" t="s">
        <v>3367</v>
      </c>
      <c r="O3" s="20" t="s">
        <v>2169</v>
      </c>
      <c r="P3" s="20" t="s">
        <v>358</v>
      </c>
      <c r="Q3" s="20" t="s">
        <v>596</v>
      </c>
      <c r="R3" s="18" t="s">
        <v>159</v>
      </c>
      <c r="S3" s="152">
        <v>0.05</v>
      </c>
      <c r="T3" s="20" t="s">
        <v>946</v>
      </c>
      <c r="U3" s="20" t="s">
        <v>1106</v>
      </c>
      <c r="V3" s="20" t="s">
        <v>3368</v>
      </c>
      <c r="W3" s="170">
        <v>6.4225000000000004E-2</v>
      </c>
      <c r="X3" s="170">
        <v>5.8380000000000001E-2</v>
      </c>
      <c r="Y3" s="18" t="s">
        <v>602</v>
      </c>
      <c r="Z3" s="18" t="s">
        <v>312</v>
      </c>
      <c r="AA3" s="20" t="s">
        <v>1083</v>
      </c>
      <c r="AB3" s="20" t="s">
        <v>3191</v>
      </c>
      <c r="AC3" t="s">
        <v>3364</v>
      </c>
      <c r="AD3" t="s">
        <v>1558</v>
      </c>
      <c r="AF3" s="152">
        <v>20000</v>
      </c>
      <c r="AG3" s="152">
        <v>3.7589999999999999</v>
      </c>
      <c r="AH3" s="152">
        <v>100.58</v>
      </c>
      <c r="AI3" s="152">
        <v>75.616</v>
      </c>
      <c r="AK3" s="20"/>
      <c r="AL3" s="20" t="s">
        <v>37</v>
      </c>
      <c r="AM3" s="171">
        <v>0.66629127885793804</v>
      </c>
      <c r="AN3" s="171">
        <v>2.0598207479901199E-3</v>
      </c>
    </row>
    <row r="4" spans="1:40">
      <c r="A4" s="20" t="s">
        <v>256</v>
      </c>
      <c r="B4" s="20">
        <v>556</v>
      </c>
      <c r="C4" s="20" t="s">
        <v>3358</v>
      </c>
      <c r="D4" s="20" t="s">
        <v>3359</v>
      </c>
      <c r="E4" s="18" t="s">
        <v>1552</v>
      </c>
      <c r="F4" s="20" t="s">
        <v>3360</v>
      </c>
      <c r="G4" s="20" t="s">
        <v>3361</v>
      </c>
      <c r="H4" s="18" t="s">
        <v>511</v>
      </c>
      <c r="I4" s="20" t="s">
        <v>364</v>
      </c>
      <c r="J4" s="18" t="s">
        <v>31</v>
      </c>
      <c r="K4" s="18" t="s">
        <v>31</v>
      </c>
      <c r="L4" s="20" t="s">
        <v>644</v>
      </c>
      <c r="M4" s="20" t="s">
        <v>312</v>
      </c>
      <c r="N4" s="20" t="s">
        <v>3362</v>
      </c>
      <c r="O4" s="20" t="s">
        <v>2394</v>
      </c>
      <c r="P4" s="20" t="s">
        <v>358</v>
      </c>
      <c r="Q4" s="20" t="s">
        <v>596</v>
      </c>
      <c r="R4" s="18" t="s">
        <v>159</v>
      </c>
      <c r="S4" s="152">
        <v>0.04</v>
      </c>
      <c r="T4" s="20" t="s">
        <v>946</v>
      </c>
      <c r="U4" s="20" t="s">
        <v>1102</v>
      </c>
      <c r="V4" s="20" t="s">
        <v>3363</v>
      </c>
      <c r="W4" s="170">
        <v>6.4056000000000002E-2</v>
      </c>
      <c r="X4" s="170">
        <v>6.8870000000000001E-2</v>
      </c>
      <c r="Y4" s="18" t="s">
        <v>602</v>
      </c>
      <c r="Z4" s="18" t="s">
        <v>312</v>
      </c>
      <c r="AA4" s="20" t="s">
        <v>1083</v>
      </c>
      <c r="AB4" s="20" t="s">
        <v>3191</v>
      </c>
      <c r="AC4" t="s">
        <v>3364</v>
      </c>
      <c r="AD4" s="20" t="s">
        <v>1558</v>
      </c>
      <c r="AE4" s="20"/>
      <c r="AF4" s="152">
        <v>150000</v>
      </c>
      <c r="AG4" s="152">
        <v>3.7589999999999999</v>
      </c>
      <c r="AH4" s="152">
        <v>100.75</v>
      </c>
      <c r="AI4" s="152">
        <v>568.07899999999995</v>
      </c>
      <c r="AK4" s="20"/>
      <c r="AL4" s="20" t="s">
        <v>37</v>
      </c>
      <c r="AM4" s="171">
        <v>0.20027034011171399</v>
      </c>
      <c r="AN4" s="171">
        <v>1.78113755370815E-3</v>
      </c>
    </row>
    <row r="5" spans="1:40">
      <c r="A5" s="20" t="s">
        <v>256</v>
      </c>
      <c r="B5" s="20">
        <v>556</v>
      </c>
      <c r="C5" s="20" t="s">
        <v>1642</v>
      </c>
      <c r="D5" s="20" t="s">
        <v>1643</v>
      </c>
      <c r="E5" s="18" t="s">
        <v>1552</v>
      </c>
      <c r="F5" s="20" t="s">
        <v>3365</v>
      </c>
      <c r="G5" s="20" t="s">
        <v>3366</v>
      </c>
      <c r="H5" s="18" t="s">
        <v>511</v>
      </c>
      <c r="I5" s="20" t="s">
        <v>364</v>
      </c>
      <c r="J5" s="18" t="s">
        <v>31</v>
      </c>
      <c r="K5" s="18" t="s">
        <v>31</v>
      </c>
      <c r="L5" s="20" t="s">
        <v>634</v>
      </c>
      <c r="M5" s="20" t="s">
        <v>312</v>
      </c>
      <c r="N5" s="20" t="s">
        <v>3367</v>
      </c>
      <c r="O5" s="20" t="s">
        <v>2169</v>
      </c>
      <c r="P5" s="20" t="s">
        <v>358</v>
      </c>
      <c r="Q5" s="20" t="s">
        <v>596</v>
      </c>
      <c r="R5" s="18" t="s">
        <v>159</v>
      </c>
      <c r="S5" s="152">
        <v>0.05</v>
      </c>
      <c r="T5" s="20" t="s">
        <v>946</v>
      </c>
      <c r="U5" s="20" t="s">
        <v>1106</v>
      </c>
      <c r="V5" s="20" t="s">
        <v>3368</v>
      </c>
      <c r="W5" s="170">
        <v>6.4225000000000004E-2</v>
      </c>
      <c r="X5" s="170">
        <v>5.8380000000000001E-2</v>
      </c>
      <c r="Y5" s="18" t="s">
        <v>602</v>
      </c>
      <c r="Z5" s="18" t="s">
        <v>312</v>
      </c>
      <c r="AA5" s="20" t="s">
        <v>1083</v>
      </c>
      <c r="AB5" s="20" t="s">
        <v>3191</v>
      </c>
      <c r="AC5" t="s">
        <v>3364</v>
      </c>
      <c r="AD5" s="20" t="s">
        <v>1558</v>
      </c>
      <c r="AE5" s="20"/>
      <c r="AF5" s="152">
        <v>600000</v>
      </c>
      <c r="AG5" s="152">
        <v>3.7589999999999999</v>
      </c>
      <c r="AH5" s="152">
        <v>100.58</v>
      </c>
      <c r="AI5" s="152">
        <v>2268.4810000000002</v>
      </c>
      <c r="AK5" s="20"/>
      <c r="AL5" s="20" t="s">
        <v>37</v>
      </c>
      <c r="AM5" s="171">
        <v>0.79972965988828604</v>
      </c>
      <c r="AN5" s="171">
        <v>7.1125286412691297E-3</v>
      </c>
    </row>
    <row r="6" spans="1:40">
      <c r="A6" s="20" t="s">
        <v>256</v>
      </c>
      <c r="B6" s="20">
        <v>7205</v>
      </c>
      <c r="C6" s="20" t="s">
        <v>3358</v>
      </c>
      <c r="D6" s="20" t="s">
        <v>3359</v>
      </c>
      <c r="E6" s="18" t="s">
        <v>1552</v>
      </c>
      <c r="F6" s="20" t="s">
        <v>3360</v>
      </c>
      <c r="G6" s="20" t="s">
        <v>3361</v>
      </c>
      <c r="H6" s="18" t="s">
        <v>511</v>
      </c>
      <c r="I6" s="20" t="s">
        <v>364</v>
      </c>
      <c r="J6" s="18" t="s">
        <v>31</v>
      </c>
      <c r="K6" s="18" t="s">
        <v>31</v>
      </c>
      <c r="L6" s="20" t="s">
        <v>644</v>
      </c>
      <c r="M6" s="20" t="s">
        <v>312</v>
      </c>
      <c r="N6" s="20" t="s">
        <v>3362</v>
      </c>
      <c r="O6" s="20" t="s">
        <v>2394</v>
      </c>
      <c r="P6" s="20" t="s">
        <v>358</v>
      </c>
      <c r="Q6" s="20" t="s">
        <v>596</v>
      </c>
      <c r="R6" s="18" t="s">
        <v>159</v>
      </c>
      <c r="S6" s="152">
        <v>0.04</v>
      </c>
      <c r="T6" s="20" t="s">
        <v>946</v>
      </c>
      <c r="U6" s="20" t="s">
        <v>1102</v>
      </c>
      <c r="V6" s="20" t="s">
        <v>3363</v>
      </c>
      <c r="W6" s="170">
        <v>6.4056000000000002E-2</v>
      </c>
      <c r="X6" s="170">
        <v>6.8870000000000001E-2</v>
      </c>
      <c r="Y6" s="18" t="s">
        <v>602</v>
      </c>
      <c r="Z6" s="18" t="s">
        <v>312</v>
      </c>
      <c r="AA6" s="20" t="s">
        <v>1083</v>
      </c>
      <c r="AB6" s="20" t="s">
        <v>3191</v>
      </c>
      <c r="AC6" t="s">
        <v>3364</v>
      </c>
      <c r="AD6" s="20" t="s">
        <v>1558</v>
      </c>
      <c r="AE6" s="20"/>
      <c r="AF6" s="152">
        <v>765000</v>
      </c>
      <c r="AG6" s="152">
        <v>3.7589999999999999</v>
      </c>
      <c r="AH6" s="152">
        <v>100.75</v>
      </c>
      <c r="AI6" s="152">
        <v>2897.2020000000002</v>
      </c>
      <c r="AK6" s="20"/>
      <c r="AL6" s="20" t="s">
        <v>37</v>
      </c>
      <c r="AM6" s="171">
        <v>0.19922897201999201</v>
      </c>
      <c r="AN6" s="171">
        <v>1.5751885663058201E-3</v>
      </c>
    </row>
    <row r="7" spans="1:40">
      <c r="A7" s="20" t="s">
        <v>256</v>
      </c>
      <c r="B7" s="20">
        <v>7205</v>
      </c>
      <c r="C7" s="20" t="s">
        <v>1642</v>
      </c>
      <c r="D7" s="20" t="s">
        <v>1643</v>
      </c>
      <c r="E7" s="18" t="s">
        <v>1552</v>
      </c>
      <c r="F7" s="20" t="s">
        <v>3365</v>
      </c>
      <c r="G7" s="20" t="s">
        <v>3366</v>
      </c>
      <c r="H7" s="18" t="s">
        <v>511</v>
      </c>
      <c r="I7" s="20" t="s">
        <v>364</v>
      </c>
      <c r="J7" s="18" t="s">
        <v>31</v>
      </c>
      <c r="K7" s="18" t="s">
        <v>31</v>
      </c>
      <c r="L7" s="20" t="s">
        <v>634</v>
      </c>
      <c r="M7" s="20" t="s">
        <v>312</v>
      </c>
      <c r="N7" s="20" t="s">
        <v>3367</v>
      </c>
      <c r="O7" s="20" t="s">
        <v>2169</v>
      </c>
      <c r="P7" s="20" t="s">
        <v>358</v>
      </c>
      <c r="Q7" s="20" t="s">
        <v>596</v>
      </c>
      <c r="R7" s="18" t="s">
        <v>159</v>
      </c>
      <c r="S7" s="152">
        <v>0.05</v>
      </c>
      <c r="T7" s="20" t="s">
        <v>946</v>
      </c>
      <c r="U7" s="20" t="s">
        <v>1106</v>
      </c>
      <c r="V7" s="20" t="s">
        <v>3368</v>
      </c>
      <c r="W7" s="170">
        <v>6.4225000000000004E-2</v>
      </c>
      <c r="X7" s="170">
        <v>5.8380000000000001E-2</v>
      </c>
      <c r="Y7" s="18" t="s">
        <v>602</v>
      </c>
      <c r="Z7" s="18" t="s">
        <v>312</v>
      </c>
      <c r="AA7" s="20" t="s">
        <v>1083</v>
      </c>
      <c r="AB7" s="20" t="s">
        <v>3191</v>
      </c>
      <c r="AC7" t="s">
        <v>3364</v>
      </c>
      <c r="AD7" s="20" t="s">
        <v>1558</v>
      </c>
      <c r="AE7" s="20"/>
      <c r="AF7" s="152">
        <v>3080000</v>
      </c>
      <c r="AG7" s="152">
        <v>3.7589999999999999</v>
      </c>
      <c r="AH7" s="152">
        <v>100.58</v>
      </c>
      <c r="AI7" s="152">
        <v>11644.870999999999</v>
      </c>
      <c r="AK7" s="20"/>
      <c r="AL7" s="20" t="s">
        <v>37</v>
      </c>
      <c r="AM7" s="171">
        <v>0.80077102798000799</v>
      </c>
      <c r="AN7" s="171">
        <v>6.3312346327646001E-3</v>
      </c>
    </row>
    <row r="8" spans="1:40">
      <c r="A8" s="20" t="s">
        <v>256</v>
      </c>
      <c r="B8" s="20">
        <v>7206</v>
      </c>
      <c r="C8" s="20" t="s">
        <v>3358</v>
      </c>
      <c r="D8" s="20" t="s">
        <v>3359</v>
      </c>
      <c r="E8" s="18" t="s">
        <v>1552</v>
      </c>
      <c r="F8" s="20" t="s">
        <v>3360</v>
      </c>
      <c r="G8" s="20" t="s">
        <v>3361</v>
      </c>
      <c r="H8" s="18" t="s">
        <v>511</v>
      </c>
      <c r="I8" s="20" t="s">
        <v>364</v>
      </c>
      <c r="J8" s="18" t="s">
        <v>31</v>
      </c>
      <c r="K8" s="18" t="s">
        <v>31</v>
      </c>
      <c r="L8" s="20" t="s">
        <v>644</v>
      </c>
      <c r="M8" s="20" t="s">
        <v>312</v>
      </c>
      <c r="N8" s="20" t="s">
        <v>3362</v>
      </c>
      <c r="O8" s="20" t="s">
        <v>2394</v>
      </c>
      <c r="P8" s="20" t="s">
        <v>358</v>
      </c>
      <c r="Q8" s="20" t="s">
        <v>596</v>
      </c>
      <c r="R8" s="18" t="s">
        <v>159</v>
      </c>
      <c r="S8" s="152">
        <v>0.04</v>
      </c>
      <c r="T8" s="20" t="s">
        <v>946</v>
      </c>
      <c r="U8" s="20" t="s">
        <v>1102</v>
      </c>
      <c r="V8" s="20" t="s">
        <v>3363</v>
      </c>
      <c r="W8" s="170">
        <v>6.4056000000000002E-2</v>
      </c>
      <c r="X8" s="170">
        <v>6.8870000000000001E-2</v>
      </c>
      <c r="Y8" s="18" t="s">
        <v>602</v>
      </c>
      <c r="Z8" s="18" t="s">
        <v>312</v>
      </c>
      <c r="AA8" s="20" t="s">
        <v>1083</v>
      </c>
      <c r="AB8" s="20" t="s">
        <v>3191</v>
      </c>
      <c r="AC8" t="s">
        <v>3364</v>
      </c>
      <c r="AD8" s="20" t="s">
        <v>1558</v>
      </c>
      <c r="AE8" s="20"/>
      <c r="AF8" s="152">
        <v>25000</v>
      </c>
      <c r="AG8" s="152">
        <v>3.7589999999999999</v>
      </c>
      <c r="AH8" s="152">
        <v>100.75</v>
      </c>
      <c r="AI8" s="152">
        <v>94.68</v>
      </c>
      <c r="AK8" s="20"/>
      <c r="AL8" s="20" t="s">
        <v>37</v>
      </c>
      <c r="AM8" s="171">
        <v>0.20027034011171399</v>
      </c>
      <c r="AN8" s="171">
        <v>1.4137948128843301E-3</v>
      </c>
    </row>
    <row r="9" spans="1:40">
      <c r="A9" s="20" t="s">
        <v>256</v>
      </c>
      <c r="B9" s="20">
        <v>7206</v>
      </c>
      <c r="C9" s="20" t="s">
        <v>1642</v>
      </c>
      <c r="D9" s="20" t="s">
        <v>1643</v>
      </c>
      <c r="E9" s="18" t="s">
        <v>1552</v>
      </c>
      <c r="F9" s="20" t="s">
        <v>3365</v>
      </c>
      <c r="G9" s="20" t="s">
        <v>3366</v>
      </c>
      <c r="H9" s="18" t="s">
        <v>511</v>
      </c>
      <c r="I9" s="20" t="s">
        <v>364</v>
      </c>
      <c r="J9" s="18" t="s">
        <v>31</v>
      </c>
      <c r="K9" s="18" t="s">
        <v>31</v>
      </c>
      <c r="L9" s="20" t="s">
        <v>634</v>
      </c>
      <c r="M9" s="20" t="s">
        <v>312</v>
      </c>
      <c r="N9" s="20" t="s">
        <v>3367</v>
      </c>
      <c r="O9" s="20" t="s">
        <v>2169</v>
      </c>
      <c r="P9" s="20" t="s">
        <v>358</v>
      </c>
      <c r="Q9" s="20" t="s">
        <v>596</v>
      </c>
      <c r="R9" s="18" t="s">
        <v>159</v>
      </c>
      <c r="S9" s="152">
        <v>0.05</v>
      </c>
      <c r="T9" s="20" t="s">
        <v>946</v>
      </c>
      <c r="U9" s="20" t="s">
        <v>1106</v>
      </c>
      <c r="V9" s="20" t="s">
        <v>3368</v>
      </c>
      <c r="W9" s="170">
        <v>6.4225000000000004E-2</v>
      </c>
      <c r="X9" s="170">
        <v>5.8380000000000001E-2</v>
      </c>
      <c r="Y9" s="18" t="s">
        <v>602</v>
      </c>
      <c r="Z9" s="18" t="s">
        <v>312</v>
      </c>
      <c r="AA9" s="20" t="s">
        <v>1083</v>
      </c>
      <c r="AB9" s="20" t="s">
        <v>3191</v>
      </c>
      <c r="AC9" t="s">
        <v>3364</v>
      </c>
      <c r="AD9" s="20" t="s">
        <v>1558</v>
      </c>
      <c r="AE9" s="20"/>
      <c r="AF9" s="152">
        <v>100000</v>
      </c>
      <c r="AG9" s="152">
        <v>3.7589999999999999</v>
      </c>
      <c r="AH9" s="152">
        <v>100.58</v>
      </c>
      <c r="AI9" s="155">
        <v>378.08</v>
      </c>
      <c r="AL9" s="20" t="s">
        <v>37</v>
      </c>
      <c r="AM9" s="171">
        <v>0.79972965988828604</v>
      </c>
      <c r="AN9" s="171">
        <v>5.6456370135942796E-3</v>
      </c>
    </row>
    <row r="10" spans="1:40">
      <c r="A10" s="20" t="s">
        <v>256</v>
      </c>
      <c r="B10" s="20">
        <v>7207</v>
      </c>
      <c r="C10" s="20" t="s">
        <v>3358</v>
      </c>
      <c r="D10" s="20" t="s">
        <v>3359</v>
      </c>
      <c r="E10" s="18" t="s">
        <v>1552</v>
      </c>
      <c r="F10" s="20" t="s">
        <v>3360</v>
      </c>
      <c r="G10" s="20" t="s">
        <v>3361</v>
      </c>
      <c r="H10" s="18" t="s">
        <v>511</v>
      </c>
      <c r="I10" s="20" t="s">
        <v>364</v>
      </c>
      <c r="J10" s="18" t="s">
        <v>31</v>
      </c>
      <c r="K10" s="18" t="s">
        <v>31</v>
      </c>
      <c r="L10" s="20" t="s">
        <v>644</v>
      </c>
      <c r="M10" s="20" t="s">
        <v>312</v>
      </c>
      <c r="N10" s="20" t="s">
        <v>3362</v>
      </c>
      <c r="O10" s="20" t="s">
        <v>2394</v>
      </c>
      <c r="P10" s="20" t="s">
        <v>358</v>
      </c>
      <c r="Q10" s="20" t="s">
        <v>596</v>
      </c>
      <c r="R10" s="18" t="s">
        <v>159</v>
      </c>
      <c r="S10" s="152">
        <v>0.04</v>
      </c>
      <c r="T10" s="20" t="s">
        <v>946</v>
      </c>
      <c r="U10" s="20" t="s">
        <v>1102</v>
      </c>
      <c r="V10" s="20" t="s">
        <v>3363</v>
      </c>
      <c r="W10" s="170">
        <v>6.4056000000000002E-2</v>
      </c>
      <c r="X10" s="170">
        <v>6.8870000000000001E-2</v>
      </c>
      <c r="Y10" s="18" t="s">
        <v>602</v>
      </c>
      <c r="Z10" s="18" t="s">
        <v>312</v>
      </c>
      <c r="AA10" s="20" t="s">
        <v>1083</v>
      </c>
      <c r="AB10" s="20" t="s">
        <v>3191</v>
      </c>
      <c r="AC10" t="s">
        <v>3364</v>
      </c>
      <c r="AD10" s="20" t="s">
        <v>1558</v>
      </c>
      <c r="AE10" s="20"/>
      <c r="AF10" s="152">
        <v>50000</v>
      </c>
      <c r="AG10" s="152">
        <v>3.7589999999999999</v>
      </c>
      <c r="AH10" s="152">
        <v>100.75</v>
      </c>
      <c r="AI10" s="155">
        <v>189.36</v>
      </c>
      <c r="AL10" s="20" t="s">
        <v>37</v>
      </c>
      <c r="AM10" s="171">
        <v>0.20027034011171399</v>
      </c>
      <c r="AN10" s="171">
        <v>1.9474706184579699E-3</v>
      </c>
    </row>
    <row r="11" spans="1:40">
      <c r="A11" s="20" t="s">
        <v>256</v>
      </c>
      <c r="B11" s="20">
        <v>7207</v>
      </c>
      <c r="C11" s="20" t="s">
        <v>1642</v>
      </c>
      <c r="D11" s="20" t="s">
        <v>1643</v>
      </c>
      <c r="E11" s="18" t="s">
        <v>1552</v>
      </c>
      <c r="F11" s="20" t="s">
        <v>3365</v>
      </c>
      <c r="G11" s="20" t="s">
        <v>3366</v>
      </c>
      <c r="H11" s="18" t="s">
        <v>511</v>
      </c>
      <c r="I11" s="20" t="s">
        <v>364</v>
      </c>
      <c r="J11" s="18" t="s">
        <v>31</v>
      </c>
      <c r="K11" s="18" t="s">
        <v>31</v>
      </c>
      <c r="L11" s="20" t="s">
        <v>634</v>
      </c>
      <c r="M11" s="20" t="s">
        <v>312</v>
      </c>
      <c r="N11" s="20" t="s">
        <v>3367</v>
      </c>
      <c r="O11" s="20" t="s">
        <v>2169</v>
      </c>
      <c r="P11" s="20" t="s">
        <v>358</v>
      </c>
      <c r="Q11" s="20" t="s">
        <v>596</v>
      </c>
      <c r="R11" s="18" t="s">
        <v>159</v>
      </c>
      <c r="S11" s="152">
        <v>0.05</v>
      </c>
      <c r="T11" s="20" t="s">
        <v>946</v>
      </c>
      <c r="U11" s="20" t="s">
        <v>1106</v>
      </c>
      <c r="V11" s="20" t="s">
        <v>3368</v>
      </c>
      <c r="W11" s="170">
        <v>6.4225000000000004E-2</v>
      </c>
      <c r="X11" s="170">
        <v>5.8380000000000001E-2</v>
      </c>
      <c r="Y11" s="18" t="s">
        <v>602</v>
      </c>
      <c r="Z11" s="18" t="s">
        <v>312</v>
      </c>
      <c r="AA11" s="20" t="s">
        <v>1083</v>
      </c>
      <c r="AB11" s="20" t="s">
        <v>3191</v>
      </c>
      <c r="AC11" t="s">
        <v>3364</v>
      </c>
      <c r="AD11" s="20" t="s">
        <v>1558</v>
      </c>
      <c r="AE11" s="20"/>
      <c r="AF11" s="152">
        <v>200000</v>
      </c>
      <c r="AG11" s="152">
        <v>3.7589999999999999</v>
      </c>
      <c r="AH11" s="152">
        <v>100.58</v>
      </c>
      <c r="AI11" s="152">
        <v>756.16</v>
      </c>
      <c r="AK11" s="20"/>
      <c r="AL11" s="20" t="s">
        <v>37</v>
      </c>
      <c r="AM11" s="171">
        <v>0.79972965988828604</v>
      </c>
      <c r="AN11" s="171">
        <v>7.7767382552656299E-3</v>
      </c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3"/>
  <sheetViews>
    <sheetView rightToLeft="1" zoomScale="70" zoomScaleNormal="70" workbookViewId="0">
      <selection activeCell="A5" sqref="A5"/>
    </sheetView>
  </sheetViews>
  <sheetFormatPr defaultColWidth="9" defaultRowHeight="14.4"/>
  <cols>
    <col min="1" max="4" width="11.6640625" style="2" customWidth="1"/>
    <col min="5" max="5" width="11.6640625" style="4" customWidth="1"/>
    <col min="6" max="11" width="11.6640625" style="2" customWidth="1"/>
    <col min="12" max="12" width="11.6640625" style="4" customWidth="1"/>
    <col min="13" max="23" width="11.6640625" style="2" customWidth="1"/>
    <col min="24" max="25" width="11.6640625" style="4" customWidth="1"/>
    <col min="26" max="38" width="11.6640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516</v>
      </c>
      <c r="M1" s="19" t="s">
        <v>322</v>
      </c>
      <c r="N1" s="19" t="s">
        <v>298</v>
      </c>
      <c r="O1" s="19" t="s">
        <v>330</v>
      </c>
      <c r="P1" s="19" t="s">
        <v>9</v>
      </c>
      <c r="Q1" s="19" t="s">
        <v>10</v>
      </c>
      <c r="R1" s="19" t="s">
        <v>366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600</v>
      </c>
      <c r="Y1" s="19" t="s">
        <v>1020</v>
      </c>
      <c r="Z1" s="19" t="s">
        <v>323</v>
      </c>
      <c r="AA1" s="19" t="s">
        <v>324</v>
      </c>
      <c r="AB1" s="19" t="s">
        <v>307</v>
      </c>
      <c r="AC1" s="19" t="s">
        <v>325</v>
      </c>
      <c r="AD1" s="19" t="s">
        <v>17</v>
      </c>
      <c r="AE1" s="19" t="s">
        <v>18</v>
      </c>
      <c r="AF1" s="19" t="s">
        <v>19</v>
      </c>
      <c r="AG1" s="19" t="s">
        <v>20</v>
      </c>
      <c r="AH1" s="19" t="s">
        <v>21</v>
      </c>
      <c r="AI1" s="19" t="s">
        <v>338</v>
      </c>
      <c r="AJ1" s="19" t="s">
        <v>22</v>
      </c>
      <c r="AK1" s="163" t="s">
        <v>24</v>
      </c>
      <c r="AL1" s="163" t="s">
        <v>25</v>
      </c>
    </row>
    <row r="2" spans="1:38">
      <c r="A2" s="2" t="s">
        <v>26</v>
      </c>
      <c r="B2" s="20">
        <v>13711</v>
      </c>
      <c r="C2" s="20" t="s">
        <v>3182</v>
      </c>
      <c r="D2" s="20" t="s">
        <v>3183</v>
      </c>
      <c r="E2" s="18" t="s">
        <v>1552</v>
      </c>
      <c r="F2" s="20" t="s">
        <v>3184</v>
      </c>
      <c r="G2" s="20" t="s">
        <v>3185</v>
      </c>
      <c r="H2" s="20" t="s">
        <v>511</v>
      </c>
      <c r="I2" s="20" t="s">
        <v>945</v>
      </c>
      <c r="J2" s="18" t="s">
        <v>31</v>
      </c>
      <c r="K2" s="18" t="s">
        <v>31</v>
      </c>
      <c r="L2" s="20" t="s">
        <v>342</v>
      </c>
      <c r="M2" s="20" t="s">
        <v>666</v>
      </c>
      <c r="N2" s="20" t="s">
        <v>312</v>
      </c>
      <c r="O2" s="20" t="s">
        <v>3186</v>
      </c>
      <c r="P2" s="20" t="s">
        <v>2394</v>
      </c>
      <c r="Q2" s="20" t="s">
        <v>358</v>
      </c>
      <c r="R2" s="20" t="s">
        <v>596</v>
      </c>
      <c r="S2" s="18" t="s">
        <v>35</v>
      </c>
      <c r="T2" s="152">
        <v>3.01</v>
      </c>
      <c r="U2" s="20" t="s">
        <v>2376</v>
      </c>
      <c r="V2" s="170">
        <v>3.4360000000000002E-2</v>
      </c>
      <c r="W2" s="164">
        <v>3.6400000000000002E-2</v>
      </c>
      <c r="X2" s="18" t="s">
        <v>602</v>
      </c>
      <c r="Y2" s="18" t="s">
        <v>312</v>
      </c>
      <c r="Z2" s="20" t="s">
        <v>1083</v>
      </c>
      <c r="AA2" s="20" t="s">
        <v>1086</v>
      </c>
      <c r="AB2" s="2" t="s">
        <v>1558</v>
      </c>
      <c r="AC2" s="20"/>
      <c r="AD2" s="152">
        <v>5000</v>
      </c>
      <c r="AE2" s="152">
        <v>1</v>
      </c>
      <c r="AF2" s="152">
        <v>103.18</v>
      </c>
      <c r="AG2" s="152">
        <v>5.1589999999999998</v>
      </c>
      <c r="AH2" s="20"/>
      <c r="AI2" s="27"/>
      <c r="AJ2" s="20" t="s">
        <v>37</v>
      </c>
      <c r="AK2" s="164">
        <v>0.1487650371341</v>
      </c>
      <c r="AL2" s="164">
        <v>1.4053386922596801E-4</v>
      </c>
    </row>
    <row r="3" spans="1:38">
      <c r="A3" s="20" t="s">
        <v>26</v>
      </c>
      <c r="B3" s="20">
        <v>13711</v>
      </c>
      <c r="C3" s="20" t="s">
        <v>2529</v>
      </c>
      <c r="D3" s="20" t="s">
        <v>2530</v>
      </c>
      <c r="E3" s="18" t="s">
        <v>1552</v>
      </c>
      <c r="F3" s="20" t="s">
        <v>3187</v>
      </c>
      <c r="G3" s="20" t="s">
        <v>3188</v>
      </c>
      <c r="H3" s="20" t="s">
        <v>511</v>
      </c>
      <c r="I3" s="20" t="s">
        <v>945</v>
      </c>
      <c r="J3" s="18" t="s">
        <v>31</v>
      </c>
      <c r="K3" s="18" t="s">
        <v>31</v>
      </c>
      <c r="L3" s="20" t="s">
        <v>342</v>
      </c>
      <c r="M3" s="20" t="s">
        <v>666</v>
      </c>
      <c r="N3" s="20" t="s">
        <v>312</v>
      </c>
      <c r="O3" s="20" t="s">
        <v>3189</v>
      </c>
      <c r="P3" s="20" t="s">
        <v>357</v>
      </c>
      <c r="Q3" s="20" t="s">
        <v>358</v>
      </c>
      <c r="R3" s="20" t="s">
        <v>596</v>
      </c>
      <c r="S3" s="18" t="s">
        <v>35</v>
      </c>
      <c r="T3" s="152">
        <v>9.0299999999999994</v>
      </c>
      <c r="U3" s="20" t="s">
        <v>3190</v>
      </c>
      <c r="V3" s="170">
        <v>3.4110000000000001E-2</v>
      </c>
      <c r="W3" s="164">
        <v>4.1000000000000002E-2</v>
      </c>
      <c r="X3" s="18" t="s">
        <v>602</v>
      </c>
      <c r="Y3" s="18" t="s">
        <v>312</v>
      </c>
      <c r="Z3" s="20" t="s">
        <v>1083</v>
      </c>
      <c r="AA3" s="20" t="s">
        <v>3191</v>
      </c>
      <c r="AB3" s="2" t="s">
        <v>1558</v>
      </c>
      <c r="AC3" s="20"/>
      <c r="AD3" s="152">
        <v>14339.38</v>
      </c>
      <c r="AE3" s="152">
        <v>1</v>
      </c>
      <c r="AF3" s="152">
        <v>129.74</v>
      </c>
      <c r="AG3" s="152">
        <v>18.603999999999999</v>
      </c>
      <c r="AH3" s="20"/>
      <c r="AI3" s="20"/>
      <c r="AJ3" s="20" t="s">
        <v>37</v>
      </c>
      <c r="AK3" s="164">
        <v>0.53646280321742301</v>
      </c>
      <c r="AL3" s="164">
        <v>5.0678032207254796E-4</v>
      </c>
    </row>
    <row r="4" spans="1:38">
      <c r="A4" s="20" t="s">
        <v>26</v>
      </c>
      <c r="B4" s="20">
        <v>13711</v>
      </c>
      <c r="C4" s="20" t="s">
        <v>3192</v>
      </c>
      <c r="D4" s="20" t="s">
        <v>3193</v>
      </c>
      <c r="E4" s="18" t="s">
        <v>1552</v>
      </c>
      <c r="F4" s="20" t="s">
        <v>3194</v>
      </c>
      <c r="G4" s="20" t="s">
        <v>3195</v>
      </c>
      <c r="H4" s="20" t="s">
        <v>511</v>
      </c>
      <c r="I4" s="20" t="s">
        <v>364</v>
      </c>
      <c r="J4" s="18" t="s">
        <v>31</v>
      </c>
      <c r="K4" s="18" t="s">
        <v>31</v>
      </c>
      <c r="L4" s="20" t="s">
        <v>342</v>
      </c>
      <c r="M4" s="20" t="s">
        <v>675</v>
      </c>
      <c r="N4" s="20" t="s">
        <v>312</v>
      </c>
      <c r="O4" s="2" t="s">
        <v>3196</v>
      </c>
      <c r="P4" s="20" t="s">
        <v>2814</v>
      </c>
      <c r="Q4" s="20" t="s">
        <v>621</v>
      </c>
      <c r="R4" s="20" t="s">
        <v>596</v>
      </c>
      <c r="S4" s="20" t="s">
        <v>159</v>
      </c>
      <c r="T4" s="152">
        <v>6.24</v>
      </c>
      <c r="U4" s="20" t="s">
        <v>2322</v>
      </c>
      <c r="V4" s="170">
        <v>8.7040000000000006E-2</v>
      </c>
      <c r="W4" s="164">
        <v>8.5000000000000006E-2</v>
      </c>
      <c r="X4" s="18" t="s">
        <v>602</v>
      </c>
      <c r="Y4" s="18" t="s">
        <v>312</v>
      </c>
      <c r="Z4" s="20" t="s">
        <v>342</v>
      </c>
      <c r="AA4" s="20" t="s">
        <v>1086</v>
      </c>
      <c r="AB4" s="2" t="s">
        <v>1558</v>
      </c>
      <c r="AD4" s="149">
        <v>3000</v>
      </c>
      <c r="AE4" s="152">
        <v>3.7589999999999999</v>
      </c>
      <c r="AF4" s="152">
        <v>96.798000000000002</v>
      </c>
      <c r="AG4" s="152">
        <v>10.916</v>
      </c>
      <c r="AH4" s="20"/>
      <c r="AI4" s="20"/>
      <c r="AJ4" s="20" t="s">
        <v>37</v>
      </c>
      <c r="AK4" s="164">
        <v>0.31477215964847699</v>
      </c>
      <c r="AL4" s="164">
        <v>2.9735581943316001E-4</v>
      </c>
    </row>
    <row r="5" spans="1:38">
      <c r="A5" s="20" t="s">
        <v>256</v>
      </c>
      <c r="B5" s="20">
        <v>556</v>
      </c>
      <c r="C5" s="20" t="s">
        <v>3182</v>
      </c>
      <c r="D5" s="20" t="s">
        <v>3183</v>
      </c>
      <c r="E5" s="18" t="s">
        <v>1552</v>
      </c>
      <c r="F5" s="20" t="s">
        <v>3184</v>
      </c>
      <c r="G5" s="20" t="s">
        <v>3185</v>
      </c>
      <c r="H5" s="20" t="s">
        <v>511</v>
      </c>
      <c r="I5" s="20" t="s">
        <v>945</v>
      </c>
      <c r="J5" s="18" t="s">
        <v>31</v>
      </c>
      <c r="K5" s="18" t="s">
        <v>31</v>
      </c>
      <c r="L5" s="20" t="s">
        <v>342</v>
      </c>
      <c r="M5" s="20" t="s">
        <v>666</v>
      </c>
      <c r="N5" s="20" t="s">
        <v>312</v>
      </c>
      <c r="O5" s="20" t="s">
        <v>3186</v>
      </c>
      <c r="P5" s="20" t="s">
        <v>2394</v>
      </c>
      <c r="Q5" s="20" t="s">
        <v>358</v>
      </c>
      <c r="R5" s="20" t="s">
        <v>596</v>
      </c>
      <c r="S5" s="18" t="s">
        <v>35</v>
      </c>
      <c r="T5" s="152">
        <v>3.01</v>
      </c>
      <c r="U5" s="20" t="s">
        <v>2376</v>
      </c>
      <c r="V5" s="170">
        <v>3.4360000000000002E-2</v>
      </c>
      <c r="W5" s="164">
        <v>3.6400000000000002E-2</v>
      </c>
      <c r="X5" s="18" t="s">
        <v>602</v>
      </c>
      <c r="Y5" s="18" t="s">
        <v>312</v>
      </c>
      <c r="Z5" s="20" t="s">
        <v>1083</v>
      </c>
      <c r="AA5" s="20" t="s">
        <v>1086</v>
      </c>
      <c r="AB5" s="2" t="s">
        <v>1558</v>
      </c>
      <c r="AC5" s="20"/>
      <c r="AD5" s="152">
        <v>220000</v>
      </c>
      <c r="AE5" s="152">
        <v>1</v>
      </c>
      <c r="AF5" s="152">
        <v>103.18</v>
      </c>
      <c r="AG5" s="149">
        <v>226.99600000000001</v>
      </c>
      <c r="AJ5" s="20" t="s">
        <v>37</v>
      </c>
      <c r="AK5" s="164">
        <v>2.91297754976719E-2</v>
      </c>
      <c r="AL5" s="164">
        <v>7.1171648504186403E-4</v>
      </c>
    </row>
    <row r="6" spans="1:38">
      <c r="A6" s="20" t="s">
        <v>256</v>
      </c>
      <c r="B6" s="20">
        <v>556</v>
      </c>
      <c r="C6" s="20" t="s">
        <v>3197</v>
      </c>
      <c r="D6" s="20" t="s">
        <v>3198</v>
      </c>
      <c r="E6" s="18" t="s">
        <v>34</v>
      </c>
      <c r="F6" s="20" t="s">
        <v>3199</v>
      </c>
      <c r="G6" s="20" t="s">
        <v>3200</v>
      </c>
      <c r="H6" s="20" t="s">
        <v>511</v>
      </c>
      <c r="I6" s="20" t="s">
        <v>1154</v>
      </c>
      <c r="J6" s="18" t="s">
        <v>31</v>
      </c>
      <c r="K6" s="18" t="s">
        <v>475</v>
      </c>
      <c r="L6" s="20" t="s">
        <v>342</v>
      </c>
      <c r="M6" s="20" t="s">
        <v>342</v>
      </c>
      <c r="N6" s="20" t="s">
        <v>312</v>
      </c>
      <c r="O6" s="20" t="s">
        <v>341</v>
      </c>
      <c r="P6" s="20" t="s">
        <v>2165</v>
      </c>
      <c r="Q6" s="20" t="s">
        <v>342</v>
      </c>
      <c r="R6" s="20" t="s">
        <v>596</v>
      </c>
      <c r="S6" s="18" t="s">
        <v>35</v>
      </c>
      <c r="T6" s="152">
        <v>0</v>
      </c>
      <c r="U6" s="20" t="s">
        <v>2162</v>
      </c>
      <c r="V6" s="170">
        <v>0</v>
      </c>
      <c r="W6" s="164">
        <v>8.1500000000000003E-2</v>
      </c>
      <c r="X6" s="18" t="s">
        <v>602</v>
      </c>
      <c r="Y6" s="18" t="s">
        <v>530</v>
      </c>
      <c r="Z6" s="20" t="s">
        <v>342</v>
      </c>
      <c r="AA6" s="20"/>
      <c r="AB6" s="2" t="s">
        <v>3201</v>
      </c>
      <c r="AC6" s="20"/>
      <c r="AD6" s="152">
        <v>14100</v>
      </c>
      <c r="AE6" s="152">
        <v>1</v>
      </c>
      <c r="AF6" s="152">
        <v>201</v>
      </c>
      <c r="AG6" s="149">
        <v>28.341000000000001</v>
      </c>
      <c r="AJ6" s="20" t="s">
        <v>37</v>
      </c>
      <c r="AK6" s="164">
        <v>3.6369229738828801E-3</v>
      </c>
      <c r="AL6" s="164">
        <v>8.8859525729843093E-5</v>
      </c>
    </row>
    <row r="7" spans="1:38">
      <c r="A7" s="20" t="s">
        <v>256</v>
      </c>
      <c r="B7" s="20">
        <v>556</v>
      </c>
      <c r="C7" s="20" t="s">
        <v>3202</v>
      </c>
      <c r="D7" s="20" t="s">
        <v>3203</v>
      </c>
      <c r="E7" s="18" t="s">
        <v>1552</v>
      </c>
      <c r="F7" s="20" t="s">
        <v>3204</v>
      </c>
      <c r="G7" s="20" t="s">
        <v>3205</v>
      </c>
      <c r="H7" s="20" t="s">
        <v>511</v>
      </c>
      <c r="I7" s="20" t="s">
        <v>342</v>
      </c>
      <c r="J7" s="18" t="s">
        <v>31</v>
      </c>
      <c r="K7" s="18" t="s">
        <v>31</v>
      </c>
      <c r="L7" s="20" t="s">
        <v>342</v>
      </c>
      <c r="M7" s="20" t="s">
        <v>342</v>
      </c>
      <c r="N7" s="20" t="s">
        <v>312</v>
      </c>
      <c r="O7" s="20" t="s">
        <v>3206</v>
      </c>
      <c r="P7" s="20" t="s">
        <v>2165</v>
      </c>
      <c r="Q7" s="20" t="s">
        <v>342</v>
      </c>
      <c r="R7" s="20" t="s">
        <v>598</v>
      </c>
      <c r="S7" s="18" t="s">
        <v>35</v>
      </c>
      <c r="T7" s="152">
        <v>0.01</v>
      </c>
      <c r="U7" s="20" t="s">
        <v>3207</v>
      </c>
      <c r="V7" s="170">
        <v>1E-4</v>
      </c>
      <c r="W7" s="164">
        <v>0.06</v>
      </c>
      <c r="X7" s="18" t="s">
        <v>602</v>
      </c>
      <c r="Y7" s="18" t="s">
        <v>530</v>
      </c>
      <c r="Z7" s="20" t="s">
        <v>1081</v>
      </c>
      <c r="AA7" s="20" t="s">
        <v>1085</v>
      </c>
      <c r="AB7" s="2" t="s">
        <v>3208</v>
      </c>
      <c r="AC7" s="20"/>
      <c r="AD7" s="152">
        <v>230948.22</v>
      </c>
      <c r="AE7" s="152">
        <v>1</v>
      </c>
      <c r="AF7" s="152">
        <v>0</v>
      </c>
      <c r="AG7" s="152">
        <v>0</v>
      </c>
      <c r="AH7" s="20"/>
      <c r="AI7" s="20"/>
      <c r="AJ7" s="20" t="s">
        <v>37</v>
      </c>
      <c r="AK7" s="164">
        <v>2.9636953074886502E-10</v>
      </c>
      <c r="AL7" s="164">
        <v>7.24108157699145E-12</v>
      </c>
    </row>
    <row r="8" spans="1:38">
      <c r="A8" s="20" t="s">
        <v>256</v>
      </c>
      <c r="B8" s="20">
        <v>556</v>
      </c>
      <c r="C8" s="20" t="s">
        <v>3209</v>
      </c>
      <c r="D8" s="20" t="s">
        <v>3210</v>
      </c>
      <c r="E8" s="18" t="s">
        <v>505</v>
      </c>
      <c r="F8" s="20" t="s">
        <v>3211</v>
      </c>
      <c r="G8" s="20" t="s">
        <v>3212</v>
      </c>
      <c r="H8" s="20" t="s">
        <v>511</v>
      </c>
      <c r="I8" s="20" t="s">
        <v>1154</v>
      </c>
      <c r="J8" s="18" t="s">
        <v>31</v>
      </c>
      <c r="K8" s="18" t="s">
        <v>155</v>
      </c>
      <c r="L8" s="20" t="s">
        <v>342</v>
      </c>
      <c r="M8" s="20" t="s">
        <v>629</v>
      </c>
      <c r="N8" s="20" t="s">
        <v>312</v>
      </c>
      <c r="O8" s="20" t="s">
        <v>3213</v>
      </c>
      <c r="P8" s="20" t="s">
        <v>2394</v>
      </c>
      <c r="Q8" s="20" t="s">
        <v>358</v>
      </c>
      <c r="R8" s="20" t="s">
        <v>596</v>
      </c>
      <c r="S8" s="18" t="s">
        <v>35</v>
      </c>
      <c r="T8" s="152">
        <v>3.56</v>
      </c>
      <c r="U8" s="20" t="s">
        <v>3214</v>
      </c>
      <c r="V8" s="170">
        <v>6.4839999999999995E-2</v>
      </c>
      <c r="W8" s="164">
        <v>3.3500000000000002E-2</v>
      </c>
      <c r="X8" s="18" t="s">
        <v>602</v>
      </c>
      <c r="Y8" s="18" t="s">
        <v>312</v>
      </c>
      <c r="Z8" s="20" t="s">
        <v>1083</v>
      </c>
      <c r="AA8" s="20" t="s">
        <v>3191</v>
      </c>
      <c r="AB8" s="2" t="s">
        <v>1558</v>
      </c>
      <c r="AC8" s="20"/>
      <c r="AD8" s="152">
        <v>630000</v>
      </c>
      <c r="AE8" s="152">
        <v>1</v>
      </c>
      <c r="AF8" s="152">
        <v>89.96</v>
      </c>
      <c r="AG8" s="152">
        <v>566.74800000000005</v>
      </c>
      <c r="AH8" s="20"/>
      <c r="AI8" s="20"/>
      <c r="AJ8" s="20" t="s">
        <v>37</v>
      </c>
      <c r="AK8" s="164">
        <v>7.2729219914688101E-2</v>
      </c>
      <c r="AL8" s="164">
        <v>1.7769647679452801E-3</v>
      </c>
    </row>
    <row r="9" spans="1:38">
      <c r="A9" s="20" t="s">
        <v>256</v>
      </c>
      <c r="B9" s="20">
        <v>556</v>
      </c>
      <c r="C9" s="20" t="s">
        <v>3215</v>
      </c>
      <c r="D9" s="20" t="s">
        <v>3216</v>
      </c>
      <c r="E9" s="18" t="s">
        <v>1552</v>
      </c>
      <c r="F9" s="20" t="s">
        <v>3217</v>
      </c>
      <c r="G9" s="20" t="s">
        <v>3218</v>
      </c>
      <c r="H9" s="20" t="s">
        <v>511</v>
      </c>
      <c r="I9" s="20" t="s">
        <v>342</v>
      </c>
      <c r="J9" s="18" t="s">
        <v>31</v>
      </c>
      <c r="K9" s="18" t="s">
        <v>31</v>
      </c>
      <c r="L9" s="20" t="s">
        <v>342</v>
      </c>
      <c r="M9" s="20" t="s">
        <v>342</v>
      </c>
      <c r="N9" s="20" t="s">
        <v>312</v>
      </c>
      <c r="O9" s="20" t="s">
        <v>341</v>
      </c>
      <c r="P9" s="20" t="s">
        <v>2165</v>
      </c>
      <c r="Q9" s="20" t="s">
        <v>342</v>
      </c>
      <c r="R9" s="20" t="s">
        <v>598</v>
      </c>
      <c r="S9" s="18" t="s">
        <v>35</v>
      </c>
      <c r="T9" s="152">
        <v>0</v>
      </c>
      <c r="U9" s="20" t="s">
        <v>3219</v>
      </c>
      <c r="V9" s="170">
        <v>0</v>
      </c>
      <c r="W9" s="164">
        <v>5.8500000000000003E-2</v>
      </c>
      <c r="X9" s="18" t="s">
        <v>602</v>
      </c>
      <c r="Y9" s="18" t="s">
        <v>312</v>
      </c>
      <c r="Z9" s="20" t="s">
        <v>342</v>
      </c>
      <c r="AA9" s="20" t="s">
        <v>1085</v>
      </c>
      <c r="AC9" s="20"/>
      <c r="AD9" s="152">
        <v>540000</v>
      </c>
      <c r="AE9" s="152">
        <v>1</v>
      </c>
      <c r="AF9" s="152">
        <v>0</v>
      </c>
      <c r="AG9" s="152">
        <v>0</v>
      </c>
      <c r="AH9" s="20"/>
      <c r="AI9" s="20"/>
      <c r="AJ9" s="20" t="s">
        <v>37</v>
      </c>
      <c r="AK9" s="164">
        <v>0</v>
      </c>
      <c r="AL9" s="164">
        <v>0</v>
      </c>
    </row>
    <row r="10" spans="1:38">
      <c r="A10" s="20" t="s">
        <v>256</v>
      </c>
      <c r="B10" s="20">
        <v>556</v>
      </c>
      <c r="C10" s="20" t="s">
        <v>3220</v>
      </c>
      <c r="D10" s="20" t="s">
        <v>3221</v>
      </c>
      <c r="E10" s="18" t="s">
        <v>1552</v>
      </c>
      <c r="F10" s="20" t="s">
        <v>3222</v>
      </c>
      <c r="G10" s="20" t="s">
        <v>3223</v>
      </c>
      <c r="H10" s="20" t="s">
        <v>511</v>
      </c>
      <c r="I10" s="20" t="s">
        <v>342</v>
      </c>
      <c r="J10" s="18" t="s">
        <v>31</v>
      </c>
      <c r="K10" s="18" t="s">
        <v>31</v>
      </c>
      <c r="L10" s="20" t="s">
        <v>342</v>
      </c>
      <c r="M10" s="20" t="s">
        <v>641</v>
      </c>
      <c r="N10" s="20" t="s">
        <v>312</v>
      </c>
      <c r="O10" s="20" t="s">
        <v>3152</v>
      </c>
      <c r="P10" s="20" t="s">
        <v>2165</v>
      </c>
      <c r="Q10" s="20" t="s">
        <v>342</v>
      </c>
      <c r="R10" s="20" t="s">
        <v>596</v>
      </c>
      <c r="S10" s="18" t="s">
        <v>35</v>
      </c>
      <c r="T10" s="152">
        <v>0</v>
      </c>
      <c r="U10" s="20" t="s">
        <v>3224</v>
      </c>
      <c r="V10" s="170">
        <v>0</v>
      </c>
      <c r="W10" s="164">
        <v>0.06</v>
      </c>
      <c r="X10" s="18" t="s">
        <v>602</v>
      </c>
      <c r="Y10" s="18" t="s">
        <v>530</v>
      </c>
      <c r="Z10" s="20" t="s">
        <v>1081</v>
      </c>
      <c r="AA10" s="20" t="s">
        <v>1085</v>
      </c>
      <c r="AC10" s="20"/>
      <c r="AD10" s="152">
        <v>194298.72</v>
      </c>
      <c r="AE10" s="152">
        <v>1</v>
      </c>
      <c r="AF10" s="152">
        <v>0</v>
      </c>
      <c r="AG10" s="152">
        <v>0</v>
      </c>
      <c r="AH10" s="20"/>
      <c r="AI10" s="20"/>
      <c r="AJ10" s="20" t="s">
        <v>37</v>
      </c>
      <c r="AK10" s="164">
        <v>0</v>
      </c>
      <c r="AL10" s="164">
        <v>0</v>
      </c>
    </row>
    <row r="11" spans="1:38">
      <c r="A11" s="20" t="s">
        <v>256</v>
      </c>
      <c r="B11" s="20">
        <v>556</v>
      </c>
      <c r="C11" s="20" t="s">
        <v>3225</v>
      </c>
      <c r="D11" s="20" t="s">
        <v>3226</v>
      </c>
      <c r="E11" s="18" t="s">
        <v>1552</v>
      </c>
      <c r="F11" s="20" t="s">
        <v>3227</v>
      </c>
      <c r="G11" s="20" t="s">
        <v>3228</v>
      </c>
      <c r="H11" s="20" t="s">
        <v>511</v>
      </c>
      <c r="I11" s="20" t="s">
        <v>945</v>
      </c>
      <c r="J11" s="18" t="s">
        <v>31</v>
      </c>
      <c r="K11" s="18" t="s">
        <v>31</v>
      </c>
      <c r="L11" s="20" t="s">
        <v>342</v>
      </c>
      <c r="M11" s="20" t="s">
        <v>639</v>
      </c>
      <c r="N11" s="20" t="s">
        <v>312</v>
      </c>
      <c r="O11" s="20" t="s">
        <v>341</v>
      </c>
      <c r="P11" s="20" t="s">
        <v>2165</v>
      </c>
      <c r="Q11" s="20" t="s">
        <v>342</v>
      </c>
      <c r="R11" s="20" t="s">
        <v>596</v>
      </c>
      <c r="S11" s="18" t="s">
        <v>35</v>
      </c>
      <c r="T11" s="152">
        <v>0</v>
      </c>
      <c r="U11" s="20" t="s">
        <v>3229</v>
      </c>
      <c r="V11" s="170">
        <v>0</v>
      </c>
      <c r="W11" s="164">
        <v>5.3499999999999999E-2</v>
      </c>
      <c r="X11" s="18" t="s">
        <v>602</v>
      </c>
      <c r="Y11" s="18" t="s">
        <v>530</v>
      </c>
      <c r="Z11" s="20" t="s">
        <v>342</v>
      </c>
      <c r="AA11" s="20" t="s">
        <v>1085</v>
      </c>
      <c r="AB11" s="2" t="s">
        <v>1558</v>
      </c>
      <c r="AC11" s="20"/>
      <c r="AD11" s="152">
        <v>276019.92</v>
      </c>
      <c r="AE11" s="152">
        <v>1</v>
      </c>
      <c r="AF11" s="152">
        <v>0</v>
      </c>
      <c r="AG11" s="152">
        <v>0</v>
      </c>
      <c r="AH11" s="20"/>
      <c r="AI11" s="20"/>
      <c r="AJ11" s="20" t="s">
        <v>37</v>
      </c>
      <c r="AK11" s="164">
        <v>3.5420880995635799E-10</v>
      </c>
      <c r="AL11" s="164">
        <v>8.6542462097982492E-12</v>
      </c>
    </row>
    <row r="12" spans="1:38">
      <c r="A12" s="20" t="s">
        <v>256</v>
      </c>
      <c r="B12" s="20">
        <v>556</v>
      </c>
      <c r="C12" s="20" t="s">
        <v>3230</v>
      </c>
      <c r="D12" s="20" t="s">
        <v>3231</v>
      </c>
      <c r="E12" s="18" t="s">
        <v>1552</v>
      </c>
      <c r="F12" s="20" t="s">
        <v>3232</v>
      </c>
      <c r="G12" s="20" t="s">
        <v>3233</v>
      </c>
      <c r="H12" s="20" t="s">
        <v>511</v>
      </c>
      <c r="I12" s="20" t="s">
        <v>342</v>
      </c>
      <c r="J12" s="18" t="s">
        <v>31</v>
      </c>
      <c r="K12" s="18" t="s">
        <v>31</v>
      </c>
      <c r="L12" s="20" t="s">
        <v>342</v>
      </c>
      <c r="M12" s="20" t="s">
        <v>342</v>
      </c>
      <c r="N12" s="20" t="s">
        <v>312</v>
      </c>
      <c r="O12" s="20" t="s">
        <v>3234</v>
      </c>
      <c r="P12" s="20" t="s">
        <v>2165</v>
      </c>
      <c r="Q12" s="20" t="s">
        <v>342</v>
      </c>
      <c r="R12" s="20" t="s">
        <v>596</v>
      </c>
      <c r="S12" s="18" t="s">
        <v>35</v>
      </c>
      <c r="T12" s="152">
        <v>0.01</v>
      </c>
      <c r="U12" s="20" t="s">
        <v>3235</v>
      </c>
      <c r="V12" s="170">
        <v>1E-4</v>
      </c>
      <c r="W12" s="164">
        <v>6.4500000000000002E-2</v>
      </c>
      <c r="X12" s="18" t="s">
        <v>602</v>
      </c>
      <c r="Y12" s="18" t="s">
        <v>530</v>
      </c>
      <c r="Z12" s="20" t="s">
        <v>1081</v>
      </c>
      <c r="AA12" s="20" t="s">
        <v>1085</v>
      </c>
      <c r="AB12" s="2" t="s">
        <v>3236</v>
      </c>
      <c r="AC12" s="20"/>
      <c r="AD12" s="152">
        <v>99201.36</v>
      </c>
      <c r="AE12" s="152">
        <v>1</v>
      </c>
      <c r="AF12" s="152">
        <v>0</v>
      </c>
      <c r="AG12" s="152">
        <v>0</v>
      </c>
      <c r="AH12" s="20"/>
      <c r="AI12" s="20"/>
      <c r="AJ12" s="20" t="s">
        <v>37</v>
      </c>
      <c r="AK12" s="164">
        <v>1.27302390608809E-10</v>
      </c>
      <c r="AL12" s="164">
        <v>3.1103298406391497E-12</v>
      </c>
    </row>
    <row r="13" spans="1:38">
      <c r="A13" s="20" t="s">
        <v>256</v>
      </c>
      <c r="B13" s="20">
        <v>556</v>
      </c>
      <c r="C13" s="20" t="s">
        <v>3230</v>
      </c>
      <c r="D13" s="20" t="s">
        <v>3231</v>
      </c>
      <c r="E13" s="18" t="s">
        <v>1552</v>
      </c>
      <c r="F13" s="20" t="s">
        <v>3237</v>
      </c>
      <c r="G13" s="20" t="s">
        <v>3238</v>
      </c>
      <c r="H13" s="20" t="s">
        <v>511</v>
      </c>
      <c r="I13" s="20" t="s">
        <v>342</v>
      </c>
      <c r="J13" s="18" t="s">
        <v>31</v>
      </c>
      <c r="K13" s="18" t="s">
        <v>31</v>
      </c>
      <c r="L13" s="20" t="s">
        <v>342</v>
      </c>
      <c r="M13" s="20" t="s">
        <v>342</v>
      </c>
      <c r="N13" s="20" t="s">
        <v>312</v>
      </c>
      <c r="O13" s="20" t="s">
        <v>3234</v>
      </c>
      <c r="P13" s="20" t="s">
        <v>2165</v>
      </c>
      <c r="Q13" s="20" t="s">
        <v>342</v>
      </c>
      <c r="R13" s="20" t="s">
        <v>596</v>
      </c>
      <c r="S13" s="18" t="s">
        <v>35</v>
      </c>
      <c r="T13" s="152">
        <v>0.01</v>
      </c>
      <c r="U13" s="20" t="s">
        <v>3235</v>
      </c>
      <c r="V13" s="170">
        <v>1E-4</v>
      </c>
      <c r="W13" s="164">
        <v>5.7000000000000002E-2</v>
      </c>
      <c r="X13" s="18" t="s">
        <v>602</v>
      </c>
      <c r="Y13" s="18" t="s">
        <v>530</v>
      </c>
      <c r="Z13" s="20" t="s">
        <v>1081</v>
      </c>
      <c r="AA13" s="20" t="s">
        <v>1085</v>
      </c>
      <c r="AB13" s="2" t="s">
        <v>3236</v>
      </c>
      <c r="AC13" s="20"/>
      <c r="AD13" s="152">
        <v>442000.69</v>
      </c>
      <c r="AE13" s="152">
        <v>1</v>
      </c>
      <c r="AF13" s="152">
        <v>0</v>
      </c>
      <c r="AG13" s="152">
        <v>0</v>
      </c>
      <c r="AH13" s="20"/>
      <c r="AI13" s="20"/>
      <c r="AJ13" s="20" t="s">
        <v>37</v>
      </c>
      <c r="AK13" s="164">
        <v>5.6720738997674196E-10</v>
      </c>
      <c r="AL13" s="164">
        <v>1.3858357745197199E-11</v>
      </c>
    </row>
    <row r="14" spans="1:38">
      <c r="A14" s="20" t="s">
        <v>256</v>
      </c>
      <c r="B14" s="20">
        <v>556</v>
      </c>
      <c r="C14" s="20" t="s">
        <v>3239</v>
      </c>
      <c r="D14" s="20" t="s">
        <v>3240</v>
      </c>
      <c r="E14" s="18" t="s">
        <v>1552</v>
      </c>
      <c r="F14" s="20" t="s">
        <v>3241</v>
      </c>
      <c r="G14" s="20" t="s">
        <v>3242</v>
      </c>
      <c r="H14" s="20" t="s">
        <v>511</v>
      </c>
      <c r="I14" s="20" t="s">
        <v>945</v>
      </c>
      <c r="J14" s="18" t="s">
        <v>31</v>
      </c>
      <c r="K14" s="18" t="s">
        <v>31</v>
      </c>
      <c r="L14" s="20" t="s">
        <v>342</v>
      </c>
      <c r="M14" s="20" t="s">
        <v>635</v>
      </c>
      <c r="N14" s="20" t="s">
        <v>312</v>
      </c>
      <c r="O14" s="20" t="s">
        <v>341</v>
      </c>
      <c r="P14" s="20" t="s">
        <v>2165</v>
      </c>
      <c r="Q14" s="20" t="s">
        <v>342</v>
      </c>
      <c r="R14" s="20" t="s">
        <v>598</v>
      </c>
      <c r="S14" s="18" t="s">
        <v>35</v>
      </c>
      <c r="T14" s="152">
        <v>0</v>
      </c>
      <c r="U14" s="20" t="s">
        <v>3207</v>
      </c>
      <c r="V14" s="170">
        <v>0</v>
      </c>
      <c r="W14" s="164">
        <v>7.0999999999999994E-2</v>
      </c>
      <c r="X14" s="18" t="s">
        <v>602</v>
      </c>
      <c r="Y14" s="18" t="s">
        <v>530</v>
      </c>
      <c r="Z14" s="20" t="s">
        <v>342</v>
      </c>
      <c r="AA14" s="20" t="s">
        <v>1085</v>
      </c>
      <c r="AB14" s="2" t="s">
        <v>3201</v>
      </c>
      <c r="AC14" s="20"/>
      <c r="AD14" s="152">
        <v>274.97000000000003</v>
      </c>
      <c r="AE14" s="152">
        <v>1</v>
      </c>
      <c r="AF14" s="152">
        <v>2257</v>
      </c>
      <c r="AG14" s="152">
        <v>6.2060000000000004</v>
      </c>
      <c r="AH14" s="20"/>
      <c r="AI14" s="20"/>
      <c r="AJ14" s="20" t="s">
        <v>37</v>
      </c>
      <c r="AK14" s="164">
        <v>7.9640835212596399E-4</v>
      </c>
      <c r="AL14" s="164">
        <v>1.9458335786981098E-5</v>
      </c>
    </row>
    <row r="15" spans="1:38">
      <c r="A15" s="20" t="s">
        <v>256</v>
      </c>
      <c r="B15" s="20">
        <v>556</v>
      </c>
      <c r="C15" s="20" t="s">
        <v>3239</v>
      </c>
      <c r="D15" s="20" t="s">
        <v>3240</v>
      </c>
      <c r="E15" s="18" t="s">
        <v>1552</v>
      </c>
      <c r="F15" s="20" t="s">
        <v>3243</v>
      </c>
      <c r="G15" s="20" t="s">
        <v>3244</v>
      </c>
      <c r="H15" s="20" t="s">
        <v>34</v>
      </c>
      <c r="I15" s="20" t="s">
        <v>945</v>
      </c>
      <c r="J15" s="18" t="s">
        <v>31</v>
      </c>
      <c r="K15" s="18" t="s">
        <v>154</v>
      </c>
      <c r="L15" s="20" t="s">
        <v>342</v>
      </c>
      <c r="M15" s="20" t="s">
        <v>342</v>
      </c>
      <c r="N15" s="20" t="s">
        <v>312</v>
      </c>
      <c r="O15" s="20" t="s">
        <v>3234</v>
      </c>
      <c r="P15" s="20" t="s">
        <v>2165</v>
      </c>
      <c r="Q15" s="20" t="s">
        <v>342</v>
      </c>
      <c r="R15" s="20" t="s">
        <v>596</v>
      </c>
      <c r="S15" s="18" t="s">
        <v>35</v>
      </c>
      <c r="T15" s="152">
        <v>0</v>
      </c>
      <c r="U15" s="20" t="s">
        <v>3245</v>
      </c>
      <c r="V15" s="170">
        <v>0</v>
      </c>
      <c r="W15" s="164">
        <v>7.0999999999999994E-2</v>
      </c>
      <c r="X15" s="18" t="s">
        <v>602</v>
      </c>
      <c r="Y15" s="18" t="s">
        <v>312</v>
      </c>
      <c r="Z15" s="20" t="s">
        <v>1081</v>
      </c>
      <c r="AA15" s="20" t="s">
        <v>1085</v>
      </c>
      <c r="AB15" s="2" t="s">
        <v>3201</v>
      </c>
      <c r="AC15" s="20"/>
      <c r="AD15" s="152">
        <v>91.67</v>
      </c>
      <c r="AE15" s="152">
        <v>1</v>
      </c>
      <c r="AF15" s="152">
        <v>2257</v>
      </c>
      <c r="AG15" s="152">
        <v>2.069</v>
      </c>
      <c r="AH15" s="20"/>
      <c r="AI15" s="20"/>
      <c r="AJ15" s="20" t="s">
        <v>37</v>
      </c>
      <c r="AK15" s="164">
        <v>2.6550806865980703E-4</v>
      </c>
      <c r="AL15" s="164">
        <v>6.4870554663874601E-6</v>
      </c>
    </row>
    <row r="16" spans="1:38">
      <c r="A16" s="20" t="s">
        <v>256</v>
      </c>
      <c r="B16" s="20">
        <v>556</v>
      </c>
      <c r="C16" s="20" t="s">
        <v>3246</v>
      </c>
      <c r="D16" s="20" t="s">
        <v>3247</v>
      </c>
      <c r="E16" s="18" t="s">
        <v>34</v>
      </c>
      <c r="F16" s="20" t="s">
        <v>3248</v>
      </c>
      <c r="G16" s="20" t="s">
        <v>3249</v>
      </c>
      <c r="H16" s="20" t="s">
        <v>511</v>
      </c>
      <c r="I16" s="20" t="s">
        <v>342</v>
      </c>
      <c r="J16" s="18" t="s">
        <v>31</v>
      </c>
      <c r="K16" s="18" t="s">
        <v>31</v>
      </c>
      <c r="L16" s="20" t="s">
        <v>342</v>
      </c>
      <c r="M16" s="20" t="s">
        <v>635</v>
      </c>
      <c r="N16" s="20" t="s">
        <v>312</v>
      </c>
      <c r="O16" s="20" t="s">
        <v>3250</v>
      </c>
      <c r="P16" s="20" t="s">
        <v>2165</v>
      </c>
      <c r="Q16" s="20" t="s">
        <v>342</v>
      </c>
      <c r="R16" s="20" t="s">
        <v>596</v>
      </c>
      <c r="S16" s="18" t="s">
        <v>35</v>
      </c>
      <c r="T16" s="152">
        <v>0</v>
      </c>
      <c r="U16" s="20" t="s">
        <v>3251</v>
      </c>
      <c r="V16" s="170">
        <v>0</v>
      </c>
      <c r="W16" s="164">
        <v>8.8499999999999995E-2</v>
      </c>
      <c r="X16" s="18" t="s">
        <v>602</v>
      </c>
      <c r="Y16" s="18" t="s">
        <v>530</v>
      </c>
      <c r="Z16" s="20" t="s">
        <v>1081</v>
      </c>
      <c r="AA16" s="20" t="s">
        <v>1085</v>
      </c>
      <c r="AB16" s="2" t="s">
        <v>3113</v>
      </c>
      <c r="AC16" s="20"/>
      <c r="AD16" s="152">
        <v>140740</v>
      </c>
      <c r="AE16" s="152">
        <v>1</v>
      </c>
      <c r="AF16" s="152">
        <v>5.27</v>
      </c>
      <c r="AG16" s="152">
        <v>7.4169999999999998</v>
      </c>
      <c r="AH16" s="20"/>
      <c r="AI16" s="20"/>
      <c r="AJ16" s="20" t="s">
        <v>37</v>
      </c>
      <c r="AK16" s="164">
        <v>9.5180305647095604E-4</v>
      </c>
      <c r="AL16" s="164">
        <v>2.3255034212596399E-5</v>
      </c>
    </row>
    <row r="17" spans="1:38">
      <c r="A17" s="20" t="s">
        <v>256</v>
      </c>
      <c r="B17" s="20">
        <v>556</v>
      </c>
      <c r="C17" s="20" t="s">
        <v>3252</v>
      </c>
      <c r="D17" s="20" t="s">
        <v>3253</v>
      </c>
      <c r="E17" s="18" t="s">
        <v>1552</v>
      </c>
      <c r="F17" s="20" t="s">
        <v>3254</v>
      </c>
      <c r="G17" s="20" t="s">
        <v>3255</v>
      </c>
      <c r="H17" s="20" t="s">
        <v>511</v>
      </c>
      <c r="I17" s="20" t="s">
        <v>1154</v>
      </c>
      <c r="J17" s="18" t="s">
        <v>31</v>
      </c>
      <c r="K17" s="18" t="s">
        <v>31</v>
      </c>
      <c r="L17" s="20" t="s">
        <v>342</v>
      </c>
      <c r="M17" s="20" t="s">
        <v>650</v>
      </c>
      <c r="N17" s="20" t="s">
        <v>312</v>
      </c>
      <c r="O17" s="20" t="s">
        <v>3256</v>
      </c>
      <c r="P17" s="20" t="s">
        <v>2327</v>
      </c>
      <c r="Q17" s="20" t="s">
        <v>621</v>
      </c>
      <c r="R17" s="20" t="s">
        <v>596</v>
      </c>
      <c r="S17" s="18" t="s">
        <v>35</v>
      </c>
      <c r="T17" s="152">
        <v>1.66</v>
      </c>
      <c r="U17" s="20" t="s">
        <v>2203</v>
      </c>
      <c r="V17" s="170">
        <v>6.2640000000000001E-2</v>
      </c>
      <c r="W17" s="164">
        <v>4.2999999999999997E-2</v>
      </c>
      <c r="X17" s="18" t="s">
        <v>602</v>
      </c>
      <c r="Y17" s="18" t="s">
        <v>312</v>
      </c>
      <c r="Z17" s="20" t="s">
        <v>1083</v>
      </c>
      <c r="AA17" s="20" t="s">
        <v>1086</v>
      </c>
      <c r="AB17" s="2" t="s">
        <v>1558</v>
      </c>
      <c r="AC17" s="20"/>
      <c r="AD17" s="152">
        <v>245000</v>
      </c>
      <c r="AE17" s="152">
        <v>1</v>
      </c>
      <c r="AF17" s="152">
        <v>97.01</v>
      </c>
      <c r="AG17" s="152">
        <v>237.67400000000001</v>
      </c>
      <c r="AH17" s="20"/>
      <c r="AI17" s="20"/>
      <c r="AJ17" s="20" t="s">
        <v>37</v>
      </c>
      <c r="AK17" s="164">
        <v>3.05001181805909E-2</v>
      </c>
      <c r="AL17" s="164">
        <v>7.4519753530494996E-4</v>
      </c>
    </row>
    <row r="18" spans="1:38">
      <c r="A18" s="20" t="s">
        <v>256</v>
      </c>
      <c r="B18" s="20">
        <v>556</v>
      </c>
      <c r="C18" s="20" t="s">
        <v>3257</v>
      </c>
      <c r="D18" s="20" t="s">
        <v>3258</v>
      </c>
      <c r="E18" s="18" t="s">
        <v>1552</v>
      </c>
      <c r="F18" s="20" t="s">
        <v>3259</v>
      </c>
      <c r="G18" s="20" t="s">
        <v>3260</v>
      </c>
      <c r="H18" s="20" t="s">
        <v>511</v>
      </c>
      <c r="I18" s="20" t="s">
        <v>945</v>
      </c>
      <c r="J18" s="18" t="s">
        <v>31</v>
      </c>
      <c r="K18" s="18" t="s">
        <v>31</v>
      </c>
      <c r="L18" s="20" t="s">
        <v>342</v>
      </c>
      <c r="M18" s="20" t="s">
        <v>342</v>
      </c>
      <c r="N18" s="20" t="s">
        <v>312</v>
      </c>
      <c r="O18" s="20" t="s">
        <v>341</v>
      </c>
      <c r="P18" s="20" t="s">
        <v>2165</v>
      </c>
      <c r="Q18" s="20" t="s">
        <v>342</v>
      </c>
      <c r="R18" s="20" t="s">
        <v>598</v>
      </c>
      <c r="S18" s="18" t="s">
        <v>35</v>
      </c>
      <c r="T18" s="152">
        <v>0</v>
      </c>
      <c r="U18" s="20" t="s">
        <v>206</v>
      </c>
      <c r="V18" s="170">
        <v>0</v>
      </c>
      <c r="W18" s="164">
        <v>4.4999999999999998E-2</v>
      </c>
      <c r="X18" s="18" t="s">
        <v>602</v>
      </c>
      <c r="Y18" s="18" t="s">
        <v>530</v>
      </c>
      <c r="Z18" s="20" t="s">
        <v>342</v>
      </c>
      <c r="AA18" s="20" t="s">
        <v>1085</v>
      </c>
      <c r="AB18" s="2" t="s">
        <v>3113</v>
      </c>
      <c r="AC18" s="20"/>
      <c r="AD18" s="152">
        <v>223549.34</v>
      </c>
      <c r="AE18" s="152">
        <v>1</v>
      </c>
      <c r="AF18" s="152">
        <v>1.36</v>
      </c>
      <c r="AG18" s="152">
        <v>3.04</v>
      </c>
      <c r="AH18" s="20"/>
      <c r="AI18" s="20"/>
      <c r="AJ18" s="20" t="s">
        <v>37</v>
      </c>
      <c r="AK18" s="164">
        <v>3.9014966070414001E-4</v>
      </c>
      <c r="AL18" s="164">
        <v>9.5323750496744796E-6</v>
      </c>
    </row>
    <row r="19" spans="1:38">
      <c r="A19" s="20" t="s">
        <v>256</v>
      </c>
      <c r="B19" s="20">
        <v>556</v>
      </c>
      <c r="C19" s="20" t="s">
        <v>3261</v>
      </c>
      <c r="D19" s="20" t="s">
        <v>3262</v>
      </c>
      <c r="E19" s="18" t="s">
        <v>1552</v>
      </c>
      <c r="F19" s="20" t="s">
        <v>3263</v>
      </c>
      <c r="G19" s="20" t="s">
        <v>3264</v>
      </c>
      <c r="H19" s="20" t="s">
        <v>34</v>
      </c>
      <c r="I19" s="20" t="s">
        <v>945</v>
      </c>
      <c r="J19" s="18" t="s">
        <v>31</v>
      </c>
      <c r="K19" s="18" t="s">
        <v>31</v>
      </c>
      <c r="L19" s="20" t="s">
        <v>342</v>
      </c>
      <c r="M19" s="20" t="s">
        <v>674</v>
      </c>
      <c r="N19" s="20" t="s">
        <v>312</v>
      </c>
      <c r="O19" s="20" t="s">
        <v>341</v>
      </c>
      <c r="P19" s="20" t="s">
        <v>174</v>
      </c>
      <c r="Q19" s="20" t="s">
        <v>604</v>
      </c>
      <c r="R19" s="20" t="s">
        <v>596</v>
      </c>
      <c r="S19" s="18" t="s">
        <v>35</v>
      </c>
      <c r="T19" s="152">
        <v>0.42</v>
      </c>
      <c r="U19" s="20" t="s">
        <v>3265</v>
      </c>
      <c r="V19" s="170">
        <v>1.5299999999999999E-2</v>
      </c>
      <c r="W19" s="164">
        <v>7.1499999999999994E-2</v>
      </c>
      <c r="X19" s="18" t="s">
        <v>602</v>
      </c>
      <c r="Y19" s="18" t="s">
        <v>312</v>
      </c>
      <c r="Z19" s="20" t="s">
        <v>342</v>
      </c>
      <c r="AA19" s="20" t="s">
        <v>1086</v>
      </c>
      <c r="AB19" s="2" t="s">
        <v>1558</v>
      </c>
      <c r="AC19" s="20"/>
      <c r="AD19" s="152">
        <v>1650579.28</v>
      </c>
      <c r="AE19" s="152">
        <v>1</v>
      </c>
      <c r="AF19" s="152">
        <v>125.44</v>
      </c>
      <c r="AG19" s="152">
        <v>2070.4870000000001</v>
      </c>
      <c r="AH19" s="20"/>
      <c r="AI19" s="20"/>
      <c r="AJ19" s="20" t="s">
        <v>37</v>
      </c>
      <c r="AK19" s="164">
        <v>0.26569988568698599</v>
      </c>
      <c r="AL19" s="164">
        <v>6.4917420572733397E-3</v>
      </c>
    </row>
    <row r="20" spans="1:38">
      <c r="A20" s="2" t="s">
        <v>256</v>
      </c>
      <c r="B20" s="2">
        <v>556</v>
      </c>
      <c r="C20" s="2" t="s">
        <v>1903</v>
      </c>
      <c r="D20" s="2" t="s">
        <v>1904</v>
      </c>
      <c r="E20" s="18" t="s">
        <v>1552</v>
      </c>
      <c r="F20" s="2" t="s">
        <v>3266</v>
      </c>
      <c r="G20" s="2" t="s">
        <v>3267</v>
      </c>
      <c r="H20" s="20" t="s">
        <v>34</v>
      </c>
      <c r="I20" s="20" t="s">
        <v>945</v>
      </c>
      <c r="J20" s="18" t="s">
        <v>31</v>
      </c>
      <c r="K20" s="18" t="s">
        <v>31</v>
      </c>
      <c r="L20" s="20" t="s">
        <v>342</v>
      </c>
      <c r="M20" s="20" t="s">
        <v>636</v>
      </c>
      <c r="N20" s="20" t="s">
        <v>312</v>
      </c>
      <c r="O20" s="2" t="s">
        <v>3268</v>
      </c>
      <c r="P20" s="2" t="s">
        <v>1556</v>
      </c>
      <c r="Q20" s="20" t="s">
        <v>621</v>
      </c>
      <c r="R20" s="20" t="s">
        <v>596</v>
      </c>
      <c r="S20" s="2" t="s">
        <v>35</v>
      </c>
      <c r="T20" s="149">
        <v>1.34</v>
      </c>
      <c r="U20" s="2" t="s">
        <v>3269</v>
      </c>
      <c r="V20" s="164">
        <v>1.83E-2</v>
      </c>
      <c r="W20" s="164">
        <v>0.05</v>
      </c>
      <c r="X20" s="18" t="s">
        <v>602</v>
      </c>
      <c r="Y20" s="18" t="s">
        <v>312</v>
      </c>
      <c r="Z20" s="2" t="s">
        <v>1083</v>
      </c>
      <c r="AA20" s="20" t="s">
        <v>1086</v>
      </c>
      <c r="AB20" s="2" t="s">
        <v>1558</v>
      </c>
      <c r="AD20" s="149">
        <v>91754.54</v>
      </c>
      <c r="AE20" s="149">
        <v>1</v>
      </c>
      <c r="AF20" s="149">
        <v>146.05000000000001</v>
      </c>
      <c r="AG20" s="149">
        <v>134.00800000000001</v>
      </c>
      <c r="AJ20" s="20" t="s">
        <v>37</v>
      </c>
      <c r="AK20" s="164">
        <v>1.7196816486502401E-2</v>
      </c>
      <c r="AL20" s="164">
        <v>4.20163134613297E-4</v>
      </c>
    </row>
    <row r="21" spans="1:38">
      <c r="A21" s="2" t="s">
        <v>256</v>
      </c>
      <c r="B21" s="2">
        <v>556</v>
      </c>
      <c r="C21" s="2" t="s">
        <v>3270</v>
      </c>
      <c r="D21" s="2" t="s">
        <v>3271</v>
      </c>
      <c r="E21" s="4" t="s">
        <v>1552</v>
      </c>
      <c r="F21" s="2" t="s">
        <v>3272</v>
      </c>
      <c r="G21" s="2" t="s">
        <v>3273</v>
      </c>
      <c r="H21" s="2" t="s">
        <v>511</v>
      </c>
      <c r="I21" s="2" t="s">
        <v>945</v>
      </c>
      <c r="J21" s="2" t="s">
        <v>31</v>
      </c>
      <c r="K21" s="2" t="s">
        <v>31</v>
      </c>
      <c r="L21" s="2" t="s">
        <v>342</v>
      </c>
      <c r="M21" s="2" t="s">
        <v>342</v>
      </c>
      <c r="N21" s="2" t="s">
        <v>312</v>
      </c>
      <c r="O21" s="2" t="s">
        <v>341</v>
      </c>
      <c r="P21" s="2" t="s">
        <v>2165</v>
      </c>
      <c r="Q21" s="2" t="s">
        <v>342</v>
      </c>
      <c r="R21" s="2" t="s">
        <v>598</v>
      </c>
      <c r="S21" s="2" t="s">
        <v>35</v>
      </c>
      <c r="T21" s="149">
        <v>0</v>
      </c>
      <c r="U21" s="2" t="s">
        <v>3274</v>
      </c>
      <c r="V21" s="164">
        <v>0</v>
      </c>
      <c r="W21" s="164">
        <v>0.05</v>
      </c>
      <c r="X21" s="4" t="s">
        <v>602</v>
      </c>
      <c r="Y21" s="4" t="s">
        <v>530</v>
      </c>
      <c r="Z21" s="2" t="s">
        <v>342</v>
      </c>
      <c r="AA21" s="2" t="s">
        <v>1085</v>
      </c>
      <c r="AB21" s="2" t="s">
        <v>3275</v>
      </c>
      <c r="AD21" s="149">
        <v>12500</v>
      </c>
      <c r="AE21" s="149">
        <v>1</v>
      </c>
      <c r="AF21" s="149">
        <v>1</v>
      </c>
      <c r="AG21" s="149">
        <v>0.125</v>
      </c>
      <c r="AJ21" s="2" t="s">
        <v>37</v>
      </c>
      <c r="AK21" s="164">
        <v>1.6040907933219E-5</v>
      </c>
      <c r="AL21" s="164">
        <v>3.9192127011151298E-7</v>
      </c>
    </row>
    <row r="22" spans="1:38">
      <c r="A22" s="2" t="s">
        <v>256</v>
      </c>
      <c r="B22" s="2">
        <v>556</v>
      </c>
      <c r="C22" s="2" t="s">
        <v>3276</v>
      </c>
      <c r="D22" s="2" t="s">
        <v>3277</v>
      </c>
      <c r="E22" s="4" t="s">
        <v>1552</v>
      </c>
      <c r="F22" s="2" t="s">
        <v>3278</v>
      </c>
      <c r="G22" s="2" t="s">
        <v>3279</v>
      </c>
      <c r="H22" s="2" t="s">
        <v>511</v>
      </c>
      <c r="I22" s="2" t="s">
        <v>1154</v>
      </c>
      <c r="J22" s="2" t="s">
        <v>31</v>
      </c>
      <c r="K22" s="2" t="s">
        <v>31</v>
      </c>
      <c r="L22" s="2" t="s">
        <v>342</v>
      </c>
      <c r="M22" s="2" t="s">
        <v>639</v>
      </c>
      <c r="N22" s="2" t="s">
        <v>312</v>
      </c>
      <c r="O22" s="2" t="s">
        <v>3280</v>
      </c>
      <c r="P22" s="2" t="s">
        <v>2161</v>
      </c>
      <c r="Q22" s="2" t="s">
        <v>621</v>
      </c>
      <c r="R22" s="2" t="s">
        <v>596</v>
      </c>
      <c r="S22" s="2" t="s">
        <v>35</v>
      </c>
      <c r="T22" s="149">
        <v>2.33</v>
      </c>
      <c r="U22" s="2" t="s">
        <v>3281</v>
      </c>
      <c r="V22" s="164">
        <v>6.3109999999999999E-2</v>
      </c>
      <c r="W22" s="164">
        <v>2.86E-2</v>
      </c>
      <c r="X22" s="4" t="s">
        <v>602</v>
      </c>
      <c r="Y22" s="4" t="s">
        <v>312</v>
      </c>
      <c r="Z22" s="2" t="s">
        <v>1083</v>
      </c>
      <c r="AA22" s="2" t="s">
        <v>1086</v>
      </c>
      <c r="AB22" s="2" t="s">
        <v>1558</v>
      </c>
      <c r="AD22" s="149">
        <v>271428.59999999998</v>
      </c>
      <c r="AE22" s="149">
        <v>1</v>
      </c>
      <c r="AF22" s="149">
        <v>93.81</v>
      </c>
      <c r="AG22" s="149">
        <v>254.62700000000001</v>
      </c>
      <c r="AJ22" s="2" t="s">
        <v>37</v>
      </c>
      <c r="AK22" s="164">
        <v>3.26756078864976E-2</v>
      </c>
      <c r="AL22" s="164">
        <v>7.9835042990437498E-4</v>
      </c>
    </row>
    <row r="23" spans="1:38">
      <c r="A23" s="2" t="s">
        <v>256</v>
      </c>
      <c r="B23" s="2">
        <v>556</v>
      </c>
      <c r="C23" s="2" t="s">
        <v>3282</v>
      </c>
      <c r="D23" s="2" t="s">
        <v>3283</v>
      </c>
      <c r="E23" s="4" t="s">
        <v>1552</v>
      </c>
      <c r="F23" s="2" t="s">
        <v>3284</v>
      </c>
      <c r="G23" s="2" t="s">
        <v>3285</v>
      </c>
      <c r="H23" s="2" t="s">
        <v>511</v>
      </c>
      <c r="I23" s="2" t="s">
        <v>1154</v>
      </c>
      <c r="J23" s="2" t="s">
        <v>31</v>
      </c>
      <c r="K23" s="2" t="s">
        <v>31</v>
      </c>
      <c r="L23" s="2" t="s">
        <v>342</v>
      </c>
      <c r="M23" s="2" t="s">
        <v>639</v>
      </c>
      <c r="N23" s="2" t="s">
        <v>312</v>
      </c>
      <c r="O23" s="2" t="s">
        <v>3286</v>
      </c>
      <c r="P23" s="2" t="s">
        <v>2234</v>
      </c>
      <c r="Q23" s="2" t="s">
        <v>621</v>
      </c>
      <c r="R23" s="2" t="s">
        <v>596</v>
      </c>
      <c r="S23" s="2" t="s">
        <v>35</v>
      </c>
      <c r="T23" s="149">
        <v>2.37</v>
      </c>
      <c r="U23" s="2" t="s">
        <v>2180</v>
      </c>
      <c r="V23" s="164">
        <v>6.2659999999999993E-2</v>
      </c>
      <c r="W23" s="164">
        <v>4.4699999999999997E-2</v>
      </c>
      <c r="X23" s="4" t="s">
        <v>602</v>
      </c>
      <c r="Y23" s="4" t="s">
        <v>312</v>
      </c>
      <c r="Z23" s="2" t="s">
        <v>1083</v>
      </c>
      <c r="AA23" s="2" t="s">
        <v>1086</v>
      </c>
      <c r="AB23" s="2" t="s">
        <v>1558</v>
      </c>
      <c r="AD23" s="149">
        <v>351363.51</v>
      </c>
      <c r="AE23" s="149">
        <v>1</v>
      </c>
      <c r="AF23" s="149">
        <v>96.14</v>
      </c>
      <c r="AG23" s="149">
        <v>337.80099999999999</v>
      </c>
      <c r="AJ23" s="2" t="s">
        <v>37</v>
      </c>
      <c r="AK23" s="164">
        <v>4.3349062336028601E-2</v>
      </c>
      <c r="AL23" s="164">
        <v>1.05913079481593E-3</v>
      </c>
    </row>
    <row r="24" spans="1:38">
      <c r="A24" s="2" t="s">
        <v>256</v>
      </c>
      <c r="B24" s="2">
        <v>556</v>
      </c>
      <c r="C24" s="2" t="s">
        <v>3287</v>
      </c>
      <c r="D24" s="2" t="s">
        <v>3288</v>
      </c>
      <c r="E24" s="4" t="s">
        <v>1552</v>
      </c>
      <c r="F24" s="2" t="s">
        <v>3289</v>
      </c>
      <c r="G24" s="2" t="s">
        <v>3290</v>
      </c>
      <c r="H24" s="2" t="s">
        <v>511</v>
      </c>
      <c r="I24" s="2" t="s">
        <v>1156</v>
      </c>
      <c r="J24" s="2" t="s">
        <v>31</v>
      </c>
      <c r="K24" s="2" t="s">
        <v>31</v>
      </c>
      <c r="L24" s="2" t="s">
        <v>342</v>
      </c>
      <c r="M24" s="2" t="s">
        <v>637</v>
      </c>
      <c r="N24" s="2" t="s">
        <v>312</v>
      </c>
      <c r="O24" s="2" t="s">
        <v>3291</v>
      </c>
      <c r="P24" s="2" t="s">
        <v>2165</v>
      </c>
      <c r="Q24" s="2" t="s">
        <v>342</v>
      </c>
      <c r="R24" s="2" t="s">
        <v>598</v>
      </c>
      <c r="S24" s="2" t="s">
        <v>35</v>
      </c>
      <c r="T24" s="149">
        <v>0.01</v>
      </c>
      <c r="U24" s="2" t="s">
        <v>3292</v>
      </c>
      <c r="V24" s="164">
        <v>1E-4</v>
      </c>
      <c r="W24" s="164">
        <v>4.4999999999999998E-2</v>
      </c>
      <c r="X24" s="4" t="s">
        <v>602</v>
      </c>
      <c r="Y24" s="4" t="s">
        <v>530</v>
      </c>
      <c r="Z24" s="2" t="s">
        <v>1081</v>
      </c>
      <c r="AA24" s="2" t="s">
        <v>1085</v>
      </c>
      <c r="AB24" s="2" t="s">
        <v>3293</v>
      </c>
      <c r="AD24" s="149">
        <v>604981.84</v>
      </c>
      <c r="AE24" s="149">
        <v>1</v>
      </c>
      <c r="AF24" s="149">
        <v>0</v>
      </c>
      <c r="AG24" s="149">
        <v>0</v>
      </c>
      <c r="AJ24" s="2" t="s">
        <v>37</v>
      </c>
      <c r="AK24" s="164">
        <v>7.7635663973675403E-10</v>
      </c>
      <c r="AL24" s="164">
        <v>1.8968420090176002E-11</v>
      </c>
    </row>
    <row r="25" spans="1:38">
      <c r="A25" s="2" t="s">
        <v>256</v>
      </c>
      <c r="B25" s="2">
        <v>556</v>
      </c>
      <c r="C25" s="2" t="s">
        <v>2529</v>
      </c>
      <c r="D25" s="2" t="s">
        <v>2530</v>
      </c>
      <c r="E25" s="4" t="s">
        <v>1552</v>
      </c>
      <c r="F25" s="2" t="s">
        <v>3187</v>
      </c>
      <c r="G25" s="2" t="s">
        <v>3188</v>
      </c>
      <c r="H25" s="2" t="s">
        <v>511</v>
      </c>
      <c r="I25" s="2" t="s">
        <v>945</v>
      </c>
      <c r="J25" s="2" t="s">
        <v>31</v>
      </c>
      <c r="K25" s="2" t="s">
        <v>31</v>
      </c>
      <c r="L25" s="2" t="s">
        <v>342</v>
      </c>
      <c r="M25" s="2" t="s">
        <v>666</v>
      </c>
      <c r="N25" s="2" t="s">
        <v>312</v>
      </c>
      <c r="O25" s="2" t="s">
        <v>3294</v>
      </c>
      <c r="P25" s="2" t="s">
        <v>357</v>
      </c>
      <c r="Q25" s="2" t="s">
        <v>358</v>
      </c>
      <c r="R25" s="2" t="s">
        <v>596</v>
      </c>
      <c r="S25" s="2" t="s">
        <v>35</v>
      </c>
      <c r="T25" s="149">
        <v>9.0299999999999994</v>
      </c>
      <c r="U25" s="2" t="s">
        <v>3190</v>
      </c>
      <c r="V25" s="164">
        <v>3.4110000000000001E-2</v>
      </c>
      <c r="W25" s="164">
        <v>4.1000000000000002E-2</v>
      </c>
      <c r="X25" s="4" t="s">
        <v>602</v>
      </c>
      <c r="Y25" s="4" t="s">
        <v>312</v>
      </c>
      <c r="Z25" s="2" t="s">
        <v>1083</v>
      </c>
      <c r="AA25" s="2" t="s">
        <v>3191</v>
      </c>
      <c r="AB25" s="2" t="s">
        <v>1558</v>
      </c>
      <c r="AD25" s="149">
        <v>1445887.11</v>
      </c>
      <c r="AE25" s="149">
        <v>1</v>
      </c>
      <c r="AF25" s="149">
        <v>129.74</v>
      </c>
      <c r="AG25" s="149">
        <v>1875.894</v>
      </c>
      <c r="AJ25" s="2" t="s">
        <v>37</v>
      </c>
      <c r="AK25" s="164">
        <v>0.24072833542483901</v>
      </c>
      <c r="AL25" s="164">
        <v>5.88162187354442E-3</v>
      </c>
    </row>
    <row r="26" spans="1:38">
      <c r="A26" s="2" t="s">
        <v>256</v>
      </c>
      <c r="B26" s="2">
        <v>556</v>
      </c>
      <c r="C26" s="2" t="s">
        <v>2567</v>
      </c>
      <c r="D26" s="2" t="s">
        <v>2568</v>
      </c>
      <c r="E26" s="4" t="s">
        <v>1552</v>
      </c>
      <c r="F26" s="2" t="s">
        <v>3295</v>
      </c>
      <c r="G26" s="2" t="s">
        <v>3296</v>
      </c>
      <c r="H26" s="2" t="s">
        <v>511</v>
      </c>
      <c r="I26" s="2" t="s">
        <v>945</v>
      </c>
      <c r="J26" s="2" t="s">
        <v>31</v>
      </c>
      <c r="K26" s="2" t="s">
        <v>31</v>
      </c>
      <c r="L26" s="4" t="s">
        <v>342</v>
      </c>
      <c r="M26" s="2" t="s">
        <v>666</v>
      </c>
      <c r="N26" s="2" t="s">
        <v>312</v>
      </c>
      <c r="O26" s="2" t="s">
        <v>3297</v>
      </c>
      <c r="P26" s="2" t="s">
        <v>2571</v>
      </c>
      <c r="Q26" s="2" t="s">
        <v>358</v>
      </c>
      <c r="R26" s="2" t="s">
        <v>596</v>
      </c>
      <c r="S26" s="2" t="s">
        <v>35</v>
      </c>
      <c r="T26" s="149">
        <v>1.38</v>
      </c>
      <c r="U26" s="2" t="s">
        <v>3298</v>
      </c>
      <c r="V26" s="164">
        <v>2.521E-2</v>
      </c>
      <c r="W26" s="164">
        <v>5.6000000000000001E-2</v>
      </c>
      <c r="X26" s="4" t="s">
        <v>602</v>
      </c>
      <c r="Y26" s="4" t="s">
        <v>312</v>
      </c>
      <c r="Z26" s="2" t="s">
        <v>1083</v>
      </c>
      <c r="AA26" s="2" t="s">
        <v>3191</v>
      </c>
      <c r="AB26" s="2" t="s">
        <v>1558</v>
      </c>
      <c r="AC26" s="2" t="s">
        <v>3299</v>
      </c>
      <c r="AD26" s="149">
        <v>176472.44</v>
      </c>
      <c r="AE26" s="149">
        <v>1</v>
      </c>
      <c r="AF26" s="149">
        <v>143</v>
      </c>
      <c r="AG26" s="149">
        <v>252.35599999999999</v>
      </c>
      <c r="AJ26" s="2" t="s">
        <v>37</v>
      </c>
      <c r="AK26" s="164">
        <v>3.2384102182323501E-2</v>
      </c>
      <c r="AL26" s="164">
        <v>7.91228184312025E-4</v>
      </c>
    </row>
    <row r="27" spans="1:38">
      <c r="A27" s="2" t="s">
        <v>256</v>
      </c>
      <c r="B27" s="2">
        <v>556</v>
      </c>
      <c r="C27" s="2" t="s">
        <v>3300</v>
      </c>
      <c r="D27" s="2" t="s">
        <v>3301</v>
      </c>
      <c r="E27" s="4" t="s">
        <v>1552</v>
      </c>
      <c r="F27" s="2" t="s">
        <v>3302</v>
      </c>
      <c r="G27" s="2" t="s">
        <v>3303</v>
      </c>
      <c r="H27" s="2" t="s">
        <v>511</v>
      </c>
      <c r="I27" s="2" t="s">
        <v>342</v>
      </c>
      <c r="J27" s="2" t="s">
        <v>31</v>
      </c>
      <c r="K27" s="2" t="s">
        <v>31</v>
      </c>
      <c r="L27" s="4" t="s">
        <v>342</v>
      </c>
      <c r="M27" s="2" t="s">
        <v>648</v>
      </c>
      <c r="N27" s="2" t="s">
        <v>312</v>
      </c>
      <c r="O27" s="2" t="s">
        <v>3304</v>
      </c>
      <c r="P27" s="2" t="s">
        <v>2165</v>
      </c>
      <c r="Q27" s="2" t="s">
        <v>342</v>
      </c>
      <c r="R27" s="2" t="s">
        <v>598</v>
      </c>
      <c r="S27" s="2" t="s">
        <v>35</v>
      </c>
      <c r="T27" s="149">
        <v>0.01</v>
      </c>
      <c r="U27" s="2" t="s">
        <v>3305</v>
      </c>
      <c r="V27" s="164">
        <v>1E-4</v>
      </c>
      <c r="W27" s="164">
        <v>7.0000000000000007E-2</v>
      </c>
      <c r="X27" s="4" t="s">
        <v>602</v>
      </c>
      <c r="Y27" s="4" t="s">
        <v>530</v>
      </c>
      <c r="Z27" s="2" t="s">
        <v>1081</v>
      </c>
      <c r="AA27" s="2" t="s">
        <v>1085</v>
      </c>
      <c r="AB27" s="2" t="s">
        <v>3306</v>
      </c>
      <c r="AD27" s="149">
        <v>38735</v>
      </c>
      <c r="AE27" s="149">
        <v>1</v>
      </c>
      <c r="AF27" s="149">
        <v>0</v>
      </c>
      <c r="AG27" s="149">
        <v>0</v>
      </c>
      <c r="AJ27" s="2" t="s">
        <v>37</v>
      </c>
      <c r="AK27" s="164">
        <v>4.9707565503459097E-11</v>
      </c>
      <c r="AL27" s="164">
        <v>1.2144856318215599E-12</v>
      </c>
    </row>
    <row r="28" spans="1:38">
      <c r="A28" s="2" t="s">
        <v>256</v>
      </c>
      <c r="B28" s="2">
        <v>556</v>
      </c>
      <c r="C28" s="2" t="s">
        <v>3307</v>
      </c>
      <c r="D28" s="2" t="s">
        <v>3308</v>
      </c>
      <c r="E28" s="4" t="s">
        <v>1552</v>
      </c>
      <c r="F28" s="2" t="s">
        <v>3309</v>
      </c>
      <c r="G28" s="2" t="s">
        <v>3310</v>
      </c>
      <c r="H28" s="2" t="s">
        <v>511</v>
      </c>
      <c r="I28" s="2" t="s">
        <v>342</v>
      </c>
      <c r="J28" s="2" t="s">
        <v>31</v>
      </c>
      <c r="K28" s="2" t="s">
        <v>31</v>
      </c>
      <c r="L28" s="4" t="s">
        <v>342</v>
      </c>
      <c r="M28" s="2" t="s">
        <v>666</v>
      </c>
      <c r="N28" s="2" t="s">
        <v>312</v>
      </c>
      <c r="O28" s="2" t="s">
        <v>3152</v>
      </c>
      <c r="P28" s="2" t="s">
        <v>3311</v>
      </c>
      <c r="Q28" s="2" t="s">
        <v>358</v>
      </c>
      <c r="R28" s="2" t="s">
        <v>596</v>
      </c>
      <c r="S28" s="2" t="s">
        <v>35</v>
      </c>
      <c r="T28" s="149">
        <v>0</v>
      </c>
      <c r="U28" s="2" t="s">
        <v>3312</v>
      </c>
      <c r="V28" s="164">
        <v>0</v>
      </c>
      <c r="W28" s="164">
        <v>7.3999999999999996E-2</v>
      </c>
      <c r="X28" s="4" t="s">
        <v>602</v>
      </c>
      <c r="Y28" s="4" t="s">
        <v>530</v>
      </c>
      <c r="Z28" s="2" t="s">
        <v>1081</v>
      </c>
      <c r="AA28" s="2" t="s">
        <v>1085</v>
      </c>
      <c r="AD28" s="149">
        <v>33104</v>
      </c>
      <c r="AE28" s="149">
        <v>1</v>
      </c>
      <c r="AF28" s="149">
        <v>0</v>
      </c>
      <c r="AG28" s="149">
        <v>0</v>
      </c>
      <c r="AJ28" s="2" t="s">
        <v>37</v>
      </c>
      <c r="AK28" s="164">
        <v>0</v>
      </c>
      <c r="AL28" s="164">
        <v>0</v>
      </c>
    </row>
    <row r="29" spans="1:38">
      <c r="A29" s="2" t="s">
        <v>256</v>
      </c>
      <c r="B29" s="2">
        <v>556</v>
      </c>
      <c r="C29" s="2" t="s">
        <v>3307</v>
      </c>
      <c r="D29" s="2" t="s">
        <v>3308</v>
      </c>
      <c r="E29" s="4" t="s">
        <v>1552</v>
      </c>
      <c r="F29" s="2" t="s">
        <v>3313</v>
      </c>
      <c r="G29" s="2" t="s">
        <v>3310</v>
      </c>
      <c r="H29" s="2" t="s">
        <v>511</v>
      </c>
      <c r="I29" s="2" t="s">
        <v>342</v>
      </c>
      <c r="J29" s="2" t="s">
        <v>31</v>
      </c>
      <c r="K29" s="2" t="s">
        <v>31</v>
      </c>
      <c r="L29" s="4" t="s">
        <v>342</v>
      </c>
      <c r="M29" s="2" t="s">
        <v>666</v>
      </c>
      <c r="N29" s="2" t="s">
        <v>312</v>
      </c>
      <c r="O29" s="2" t="s">
        <v>3314</v>
      </c>
      <c r="P29" s="2" t="s">
        <v>3311</v>
      </c>
      <c r="Q29" s="2" t="s">
        <v>358</v>
      </c>
      <c r="R29" s="2" t="s">
        <v>596</v>
      </c>
      <c r="S29" s="2" t="s">
        <v>35</v>
      </c>
      <c r="T29" s="149">
        <v>0.01</v>
      </c>
      <c r="U29" s="2" t="s">
        <v>3312</v>
      </c>
      <c r="V29" s="164">
        <v>1E-4</v>
      </c>
      <c r="W29" s="164">
        <v>7.3999999999999996E-2</v>
      </c>
      <c r="X29" s="4" t="s">
        <v>601</v>
      </c>
      <c r="Y29" s="4" t="s">
        <v>530</v>
      </c>
      <c r="Z29" s="2" t="s">
        <v>342</v>
      </c>
      <c r="AA29" s="2" t="s">
        <v>1085</v>
      </c>
      <c r="AB29" s="2" t="s">
        <v>3315</v>
      </c>
      <c r="AD29" s="149">
        <v>94231.81</v>
      </c>
      <c r="AE29" s="149">
        <v>1</v>
      </c>
      <c r="AF29" s="149">
        <v>0</v>
      </c>
      <c r="AG29" s="149">
        <v>0</v>
      </c>
      <c r="AJ29" s="2" t="s">
        <v>37</v>
      </c>
      <c r="AK29" s="164">
        <v>1.20925103087247E-8</v>
      </c>
      <c r="AL29" s="164">
        <v>2.9545160528085399E-10</v>
      </c>
    </row>
    <row r="30" spans="1:38">
      <c r="A30" s="2" t="s">
        <v>256</v>
      </c>
      <c r="B30" s="2">
        <v>556</v>
      </c>
      <c r="C30" s="2" t="s">
        <v>3316</v>
      </c>
      <c r="D30" s="2" t="s">
        <v>3317</v>
      </c>
      <c r="E30" s="4" t="s">
        <v>1552</v>
      </c>
      <c r="F30" s="2" t="s">
        <v>3318</v>
      </c>
      <c r="G30" s="2" t="s">
        <v>3319</v>
      </c>
      <c r="H30" s="2" t="s">
        <v>511</v>
      </c>
      <c r="I30" s="2" t="s">
        <v>945</v>
      </c>
      <c r="J30" s="2" t="s">
        <v>31</v>
      </c>
      <c r="K30" s="2" t="s">
        <v>31</v>
      </c>
      <c r="L30" s="4" t="s">
        <v>342</v>
      </c>
      <c r="M30" s="2" t="s">
        <v>342</v>
      </c>
      <c r="N30" s="2" t="s">
        <v>312</v>
      </c>
      <c r="O30" s="2" t="s">
        <v>3250</v>
      </c>
      <c r="P30" s="2" t="s">
        <v>3311</v>
      </c>
      <c r="Q30" s="2" t="s">
        <v>621</v>
      </c>
      <c r="R30" s="2" t="s">
        <v>596</v>
      </c>
      <c r="S30" s="2" t="s">
        <v>35</v>
      </c>
      <c r="T30" s="149">
        <v>0</v>
      </c>
      <c r="U30" s="2" t="s">
        <v>3305</v>
      </c>
      <c r="V30" s="164">
        <v>0</v>
      </c>
      <c r="W30" s="164">
        <v>5.5E-2</v>
      </c>
      <c r="X30" s="4" t="s">
        <v>602</v>
      </c>
      <c r="Y30" s="4" t="s">
        <v>312</v>
      </c>
      <c r="Z30" s="2" t="s">
        <v>1081</v>
      </c>
      <c r="AA30" s="2" t="s">
        <v>1085</v>
      </c>
      <c r="AB30" s="2" t="s">
        <v>3320</v>
      </c>
      <c r="AD30" s="149">
        <v>1261.8</v>
      </c>
      <c r="AE30" s="149">
        <v>1</v>
      </c>
      <c r="AF30" s="149">
        <v>190</v>
      </c>
      <c r="AG30" s="149">
        <v>2.3969999999999998</v>
      </c>
      <c r="AJ30" s="2" t="s">
        <v>37</v>
      </c>
      <c r="AK30" s="164">
        <v>3.0765434797806301E-4</v>
      </c>
      <c r="AL30" s="164">
        <v>7.5167991311259403E-6</v>
      </c>
    </row>
    <row r="31" spans="1:38">
      <c r="A31" s="2" t="s">
        <v>256</v>
      </c>
      <c r="B31" s="2">
        <v>556</v>
      </c>
      <c r="C31" s="2" t="s">
        <v>3321</v>
      </c>
      <c r="D31" s="2" t="s">
        <v>3322</v>
      </c>
      <c r="E31" s="4" t="s">
        <v>1552</v>
      </c>
      <c r="F31" s="2" t="s">
        <v>3323</v>
      </c>
      <c r="G31" s="2" t="s">
        <v>3324</v>
      </c>
      <c r="H31" s="2" t="s">
        <v>511</v>
      </c>
      <c r="I31" s="2" t="s">
        <v>1154</v>
      </c>
      <c r="J31" s="2" t="s">
        <v>31</v>
      </c>
      <c r="K31" s="2" t="s">
        <v>31</v>
      </c>
      <c r="L31" s="4" t="s">
        <v>342</v>
      </c>
      <c r="M31" s="2" t="s">
        <v>634</v>
      </c>
      <c r="N31" s="2" t="s">
        <v>312</v>
      </c>
      <c r="O31" s="2" t="s">
        <v>3325</v>
      </c>
      <c r="P31" s="2" t="s">
        <v>157</v>
      </c>
      <c r="Q31" s="2" t="s">
        <v>604</v>
      </c>
      <c r="R31" s="2" t="s">
        <v>596</v>
      </c>
      <c r="S31" s="2" t="s">
        <v>35</v>
      </c>
      <c r="T31" s="149">
        <v>1.18</v>
      </c>
      <c r="U31" s="2" t="s">
        <v>3006</v>
      </c>
      <c r="V31" s="164">
        <v>5.0270000000000002E-2</v>
      </c>
      <c r="W31" s="164">
        <v>2.5000000000000001E-2</v>
      </c>
      <c r="X31" s="4" t="s">
        <v>602</v>
      </c>
      <c r="Y31" s="4" t="s">
        <v>312</v>
      </c>
      <c r="Z31" s="2" t="s">
        <v>1083</v>
      </c>
      <c r="AA31" s="2" t="s">
        <v>3191</v>
      </c>
      <c r="AB31" s="2" t="s">
        <v>1558</v>
      </c>
      <c r="AD31" s="149">
        <v>179886.59</v>
      </c>
      <c r="AE31" s="149">
        <v>1</v>
      </c>
      <c r="AF31" s="149">
        <v>97.89</v>
      </c>
      <c r="AG31" s="149">
        <v>176.09100000000001</v>
      </c>
      <c r="AJ31" s="2" t="s">
        <v>37</v>
      </c>
      <c r="AK31" s="164">
        <v>2.2597273963096201E-2</v>
      </c>
      <c r="AL31" s="164">
        <v>5.5211041354672505E-4</v>
      </c>
    </row>
    <row r="32" spans="1:38">
      <c r="A32" s="2" t="s">
        <v>256</v>
      </c>
      <c r="B32" s="2">
        <v>556</v>
      </c>
      <c r="C32" s="2" t="s">
        <v>3321</v>
      </c>
      <c r="D32" s="2" t="s">
        <v>3322</v>
      </c>
      <c r="E32" s="4" t="s">
        <v>1552</v>
      </c>
      <c r="F32" s="2" t="s">
        <v>3326</v>
      </c>
      <c r="G32" s="2" t="s">
        <v>3327</v>
      </c>
      <c r="H32" s="2" t="s">
        <v>511</v>
      </c>
      <c r="I32" s="2" t="s">
        <v>1154</v>
      </c>
      <c r="J32" s="2" t="s">
        <v>31</v>
      </c>
      <c r="K32" s="2" t="s">
        <v>31</v>
      </c>
      <c r="L32" s="4" t="s">
        <v>342</v>
      </c>
      <c r="M32" s="2" t="s">
        <v>634</v>
      </c>
      <c r="N32" s="2" t="s">
        <v>312</v>
      </c>
      <c r="O32" s="2" t="s">
        <v>3325</v>
      </c>
      <c r="P32" s="2" t="s">
        <v>157</v>
      </c>
      <c r="Q32" s="2" t="s">
        <v>604</v>
      </c>
      <c r="R32" s="2" t="s">
        <v>596</v>
      </c>
      <c r="S32" s="2" t="s">
        <v>35</v>
      </c>
      <c r="T32" s="149">
        <v>4.41</v>
      </c>
      <c r="U32" s="2" t="s">
        <v>3328</v>
      </c>
      <c r="V32" s="164">
        <v>5.6919999999999998E-2</v>
      </c>
      <c r="W32" s="164">
        <v>3.7400000000000003E-2</v>
      </c>
      <c r="X32" s="4" t="s">
        <v>602</v>
      </c>
      <c r="Y32" s="4" t="s">
        <v>312</v>
      </c>
      <c r="Z32" s="2" t="s">
        <v>1083</v>
      </c>
      <c r="AA32" s="2" t="s">
        <v>3191</v>
      </c>
      <c r="AB32" s="2" t="s">
        <v>1558</v>
      </c>
      <c r="AD32" s="149">
        <v>353674.74</v>
      </c>
      <c r="AE32" s="149">
        <v>1</v>
      </c>
      <c r="AF32" s="149">
        <v>93.08</v>
      </c>
      <c r="AG32" s="149">
        <v>329.2</v>
      </c>
      <c r="AJ32" s="2" t="s">
        <v>37</v>
      </c>
      <c r="AK32" s="164">
        <v>4.2245392622512999E-2</v>
      </c>
      <c r="AL32" s="164">
        <v>1.0321652615864301E-3</v>
      </c>
    </row>
    <row r="33" spans="1:38">
      <c r="A33" s="2" t="s">
        <v>256</v>
      </c>
      <c r="B33" s="2">
        <v>556</v>
      </c>
      <c r="C33" s="2" t="s">
        <v>3329</v>
      </c>
      <c r="D33" s="2" t="s">
        <v>3330</v>
      </c>
      <c r="E33" s="4" t="s">
        <v>1552</v>
      </c>
      <c r="F33" s="2" t="s">
        <v>3331</v>
      </c>
      <c r="G33" s="2" t="s">
        <v>3332</v>
      </c>
      <c r="H33" s="2" t="s">
        <v>511</v>
      </c>
      <c r="I33" s="2" t="s">
        <v>945</v>
      </c>
      <c r="J33" s="2" t="s">
        <v>31</v>
      </c>
      <c r="K33" s="2" t="s">
        <v>31</v>
      </c>
      <c r="L33" s="4" t="s">
        <v>342</v>
      </c>
      <c r="M33" s="2" t="s">
        <v>666</v>
      </c>
      <c r="N33" s="2" t="s">
        <v>312</v>
      </c>
      <c r="O33" s="2" t="s">
        <v>341</v>
      </c>
      <c r="P33" s="2" t="s">
        <v>157</v>
      </c>
      <c r="Q33" s="2" t="s">
        <v>604</v>
      </c>
      <c r="R33" s="2" t="s">
        <v>596</v>
      </c>
      <c r="S33" s="2" t="s">
        <v>35</v>
      </c>
      <c r="T33" s="149">
        <v>4.1100000000000003</v>
      </c>
      <c r="U33" s="2" t="s">
        <v>2524</v>
      </c>
      <c r="V33" s="164">
        <v>3.1910000000000001E-2</v>
      </c>
      <c r="W33" s="164">
        <v>1.55E-2</v>
      </c>
      <c r="X33" s="4" t="s">
        <v>602</v>
      </c>
      <c r="Y33" s="4" t="s">
        <v>312</v>
      </c>
      <c r="Z33" s="2" t="s">
        <v>1083</v>
      </c>
      <c r="AA33" s="2" t="s">
        <v>1086</v>
      </c>
      <c r="AB33" s="2" t="s">
        <v>1558</v>
      </c>
      <c r="AD33" s="149">
        <v>677149.55</v>
      </c>
      <c r="AE33" s="149">
        <v>1</v>
      </c>
      <c r="AF33" s="149">
        <v>100.61</v>
      </c>
      <c r="AG33" s="149">
        <v>681.28</v>
      </c>
      <c r="AJ33" s="2" t="s">
        <v>37</v>
      </c>
      <c r="AK33" s="164">
        <v>8.7426818875687706E-2</v>
      </c>
      <c r="AL33" s="164">
        <v>2.1360654919420599E-3</v>
      </c>
    </row>
    <row r="34" spans="1:38">
      <c r="A34" s="2" t="s">
        <v>256</v>
      </c>
      <c r="B34" s="2">
        <v>556</v>
      </c>
      <c r="C34" s="2" t="s">
        <v>3329</v>
      </c>
      <c r="D34" s="2" t="s">
        <v>3330</v>
      </c>
      <c r="E34" s="4" t="s">
        <v>1552</v>
      </c>
      <c r="F34" s="2" t="s">
        <v>3333</v>
      </c>
      <c r="G34" s="2" t="s">
        <v>3334</v>
      </c>
      <c r="H34" s="2" t="s">
        <v>511</v>
      </c>
      <c r="I34" s="2" t="s">
        <v>945</v>
      </c>
      <c r="J34" s="2" t="s">
        <v>31</v>
      </c>
      <c r="K34" s="2" t="s">
        <v>31</v>
      </c>
      <c r="L34" s="4" t="s">
        <v>342</v>
      </c>
      <c r="M34" s="2" t="s">
        <v>666</v>
      </c>
      <c r="N34" s="2" t="s">
        <v>312</v>
      </c>
      <c r="O34" s="2" t="s">
        <v>341</v>
      </c>
      <c r="P34" s="2" t="s">
        <v>157</v>
      </c>
      <c r="Q34" s="2" t="s">
        <v>604</v>
      </c>
      <c r="R34" s="2" t="s">
        <v>596</v>
      </c>
      <c r="S34" s="2" t="s">
        <v>35</v>
      </c>
      <c r="T34" s="149">
        <v>6.83</v>
      </c>
      <c r="U34" s="2" t="s">
        <v>3335</v>
      </c>
      <c r="V34" s="164">
        <v>3.4200000000000001E-2</v>
      </c>
      <c r="W34" s="164">
        <v>1.7500000000000002E-2</v>
      </c>
      <c r="X34" s="4" t="s">
        <v>602</v>
      </c>
      <c r="Y34" s="4" t="s">
        <v>312</v>
      </c>
      <c r="Z34" s="2" t="s">
        <v>1083</v>
      </c>
      <c r="AA34" s="2" t="s">
        <v>1086</v>
      </c>
      <c r="AB34" s="2" t="s">
        <v>1558</v>
      </c>
      <c r="AD34" s="149">
        <v>218500</v>
      </c>
      <c r="AE34" s="149">
        <v>1</v>
      </c>
      <c r="AF34" s="149">
        <v>96.05</v>
      </c>
      <c r="AG34" s="149">
        <v>209.869</v>
      </c>
      <c r="AJ34" s="2" t="s">
        <v>37</v>
      </c>
      <c r="AK34" s="164">
        <v>2.6931946538109802E-2</v>
      </c>
      <c r="AL34" s="164">
        <v>6.5801778413880499E-4</v>
      </c>
    </row>
    <row r="35" spans="1:38">
      <c r="A35" s="2" t="s">
        <v>256</v>
      </c>
      <c r="B35" s="2">
        <v>556</v>
      </c>
      <c r="C35" s="2" t="s">
        <v>3336</v>
      </c>
      <c r="D35" s="2" t="s">
        <v>3337</v>
      </c>
      <c r="E35" s="4" t="s">
        <v>1552</v>
      </c>
      <c r="F35" s="2" t="s">
        <v>3338</v>
      </c>
      <c r="G35" s="2" t="s">
        <v>3339</v>
      </c>
      <c r="H35" s="2" t="s">
        <v>511</v>
      </c>
      <c r="I35" s="2" t="s">
        <v>945</v>
      </c>
      <c r="J35" s="2" t="s">
        <v>31</v>
      </c>
      <c r="K35" s="2" t="s">
        <v>31</v>
      </c>
      <c r="L35" s="4" t="s">
        <v>342</v>
      </c>
      <c r="M35" s="2" t="s">
        <v>628</v>
      </c>
      <c r="N35" s="2" t="s">
        <v>312</v>
      </c>
      <c r="O35" s="2" t="s">
        <v>3340</v>
      </c>
      <c r="P35" s="2" t="s">
        <v>357</v>
      </c>
      <c r="Q35" s="2" t="s">
        <v>621</v>
      </c>
      <c r="R35" s="2" t="s">
        <v>596</v>
      </c>
      <c r="S35" s="2" t="s">
        <v>35</v>
      </c>
      <c r="T35" s="149">
        <v>7.61</v>
      </c>
      <c r="U35" s="2" t="s">
        <v>3341</v>
      </c>
      <c r="V35" s="164">
        <v>3.209E-2</v>
      </c>
      <c r="W35" s="164">
        <v>8.3000000000000001E-3</v>
      </c>
      <c r="X35" s="4" t="s">
        <v>602</v>
      </c>
      <c r="Y35" s="4" t="s">
        <v>312</v>
      </c>
      <c r="Z35" s="2" t="s">
        <v>1083</v>
      </c>
      <c r="AA35" s="2" t="s">
        <v>1086</v>
      </c>
      <c r="AB35" s="2" t="s">
        <v>1558</v>
      </c>
      <c r="AD35" s="149">
        <v>277351.96999999997</v>
      </c>
      <c r="AE35" s="149">
        <v>1</v>
      </c>
      <c r="AF35" s="149">
        <v>94.68</v>
      </c>
      <c r="AG35" s="149">
        <v>262.59699999999998</v>
      </c>
      <c r="AJ35" s="2" t="s">
        <v>37</v>
      </c>
      <c r="AK35" s="164">
        <v>3.3698334538742401E-2</v>
      </c>
      <c r="AL35" s="164">
        <v>8.2333831277194101E-4</v>
      </c>
    </row>
    <row r="36" spans="1:38">
      <c r="A36" s="2" t="s">
        <v>256</v>
      </c>
      <c r="B36" s="2">
        <v>556</v>
      </c>
      <c r="C36" s="2" t="s">
        <v>3192</v>
      </c>
      <c r="D36" s="2" t="s">
        <v>3193</v>
      </c>
      <c r="E36" s="4" t="s">
        <v>1552</v>
      </c>
      <c r="F36" s="2" t="s">
        <v>3194</v>
      </c>
      <c r="G36" s="2" t="s">
        <v>3195</v>
      </c>
      <c r="H36" s="2" t="s">
        <v>511</v>
      </c>
      <c r="I36" s="2" t="s">
        <v>364</v>
      </c>
      <c r="J36" s="2" t="s">
        <v>31</v>
      </c>
      <c r="K36" s="2" t="s">
        <v>31</v>
      </c>
      <c r="L36" s="4" t="s">
        <v>342</v>
      </c>
      <c r="M36" s="2" t="s">
        <v>675</v>
      </c>
      <c r="N36" s="2" t="s">
        <v>312</v>
      </c>
      <c r="O36" s="2" t="s">
        <v>3196</v>
      </c>
      <c r="P36" s="2" t="s">
        <v>2814</v>
      </c>
      <c r="Q36" s="2" t="s">
        <v>621</v>
      </c>
      <c r="R36" s="2" t="s">
        <v>596</v>
      </c>
      <c r="S36" s="2" t="s">
        <v>159</v>
      </c>
      <c r="T36" s="149">
        <v>6.24</v>
      </c>
      <c r="U36" s="2" t="s">
        <v>2322</v>
      </c>
      <c r="V36" s="164">
        <v>8.7040000000000006E-2</v>
      </c>
      <c r="W36" s="164">
        <v>8.5000000000000006E-2</v>
      </c>
      <c r="X36" s="4" t="s">
        <v>602</v>
      </c>
      <c r="Y36" s="4" t="s">
        <v>312</v>
      </c>
      <c r="Z36" s="2" t="s">
        <v>342</v>
      </c>
      <c r="AA36" s="2" t="s">
        <v>1086</v>
      </c>
      <c r="AB36" s="2" t="s">
        <v>1558</v>
      </c>
      <c r="AD36" s="149">
        <v>35000</v>
      </c>
      <c r="AE36" s="149">
        <v>3.7589999999999999</v>
      </c>
      <c r="AF36" s="149">
        <v>96.798000000000002</v>
      </c>
      <c r="AG36" s="149">
        <v>127.35299999999999</v>
      </c>
      <c r="AJ36" s="2" t="s">
        <v>37</v>
      </c>
      <c r="AK36" s="164">
        <v>1.6342808234305301E-2</v>
      </c>
      <c r="AL36" s="164">
        <v>3.99297482850927E-4</v>
      </c>
    </row>
    <row r="37" spans="1:38">
      <c r="A37" s="2" t="s">
        <v>256</v>
      </c>
      <c r="B37" s="2">
        <v>7205</v>
      </c>
      <c r="C37" s="2" t="s">
        <v>3182</v>
      </c>
      <c r="D37" s="2" t="s">
        <v>3183</v>
      </c>
      <c r="E37" s="4" t="s">
        <v>1552</v>
      </c>
      <c r="F37" s="2" t="s">
        <v>3184</v>
      </c>
      <c r="G37" s="2" t="s">
        <v>3185</v>
      </c>
      <c r="H37" s="2" t="s">
        <v>511</v>
      </c>
      <c r="I37" s="2" t="s">
        <v>945</v>
      </c>
      <c r="J37" s="2" t="s">
        <v>31</v>
      </c>
      <c r="K37" s="2" t="s">
        <v>31</v>
      </c>
      <c r="L37" s="4" t="s">
        <v>342</v>
      </c>
      <c r="M37" s="2" t="s">
        <v>666</v>
      </c>
      <c r="N37" s="2" t="s">
        <v>312</v>
      </c>
      <c r="O37" s="2" t="s">
        <v>3186</v>
      </c>
      <c r="P37" s="2" t="s">
        <v>2394</v>
      </c>
      <c r="Q37" s="2" t="s">
        <v>358</v>
      </c>
      <c r="R37" s="2" t="s">
        <v>596</v>
      </c>
      <c r="S37" s="2" t="s">
        <v>35</v>
      </c>
      <c r="T37" s="149">
        <v>3.01</v>
      </c>
      <c r="U37" s="2" t="s">
        <v>2376</v>
      </c>
      <c r="V37" s="164">
        <v>3.4360000000000002E-2</v>
      </c>
      <c r="W37" s="164">
        <v>3.6400000000000002E-2</v>
      </c>
      <c r="X37" s="4" t="s">
        <v>602</v>
      </c>
      <c r="Y37" s="4" t="s">
        <v>312</v>
      </c>
      <c r="Z37" s="2" t="s">
        <v>1083</v>
      </c>
      <c r="AA37" s="2" t="s">
        <v>1086</v>
      </c>
      <c r="AB37" s="2" t="s">
        <v>1558</v>
      </c>
      <c r="AD37" s="149">
        <v>1675000</v>
      </c>
      <c r="AE37" s="149">
        <v>1</v>
      </c>
      <c r="AF37" s="149">
        <v>103.18</v>
      </c>
      <c r="AG37" s="149">
        <v>1728.2650000000001</v>
      </c>
      <c r="AJ37" s="2" t="s">
        <v>37</v>
      </c>
      <c r="AK37" s="164">
        <v>4.8241512325330999E-2</v>
      </c>
      <c r="AL37" s="164">
        <v>9.3964556868646502E-4</v>
      </c>
    </row>
    <row r="38" spans="1:38">
      <c r="A38" s="2" t="s">
        <v>256</v>
      </c>
      <c r="B38" s="2">
        <v>7205</v>
      </c>
      <c r="C38" s="2" t="s">
        <v>3197</v>
      </c>
      <c r="D38" s="2" t="s">
        <v>3198</v>
      </c>
      <c r="E38" s="4" t="s">
        <v>34</v>
      </c>
      <c r="F38" s="2" t="s">
        <v>3199</v>
      </c>
      <c r="G38" s="2" t="s">
        <v>3200</v>
      </c>
      <c r="H38" s="2" t="s">
        <v>511</v>
      </c>
      <c r="I38" s="2" t="s">
        <v>1154</v>
      </c>
      <c r="J38" s="2" t="s">
        <v>31</v>
      </c>
      <c r="K38" s="2" t="s">
        <v>475</v>
      </c>
      <c r="L38" s="4" t="s">
        <v>342</v>
      </c>
      <c r="M38" s="2" t="s">
        <v>342</v>
      </c>
      <c r="N38" s="2" t="s">
        <v>312</v>
      </c>
      <c r="O38" s="2" t="s">
        <v>341</v>
      </c>
      <c r="P38" s="2" t="s">
        <v>2165</v>
      </c>
      <c r="Q38" s="2" t="s">
        <v>342</v>
      </c>
      <c r="R38" s="2" t="s">
        <v>596</v>
      </c>
      <c r="S38" s="2" t="s">
        <v>35</v>
      </c>
      <c r="T38" s="149">
        <v>0</v>
      </c>
      <c r="U38" s="2" t="s">
        <v>2162</v>
      </c>
      <c r="V38" s="164">
        <v>0</v>
      </c>
      <c r="W38" s="164">
        <v>8.1500000000000003E-2</v>
      </c>
      <c r="X38" s="4" t="s">
        <v>602</v>
      </c>
      <c r="Y38" s="4" t="s">
        <v>530</v>
      </c>
      <c r="Z38" s="2" t="s">
        <v>342</v>
      </c>
      <c r="AB38" s="2" t="s">
        <v>3201</v>
      </c>
      <c r="AD38" s="149">
        <v>82975.73</v>
      </c>
      <c r="AE38" s="149">
        <v>1</v>
      </c>
      <c r="AF38" s="149">
        <v>201</v>
      </c>
      <c r="AG38" s="149">
        <v>166.78100000000001</v>
      </c>
      <c r="AJ38" s="2" t="s">
        <v>37</v>
      </c>
      <c r="AK38" s="164">
        <v>4.6554076776487803E-3</v>
      </c>
      <c r="AL38" s="164">
        <v>9.0677779030460799E-5</v>
      </c>
    </row>
    <row r="39" spans="1:38">
      <c r="A39" s="2" t="s">
        <v>256</v>
      </c>
      <c r="B39" s="2">
        <v>7205</v>
      </c>
      <c r="C39" s="2" t="s">
        <v>3202</v>
      </c>
      <c r="D39" s="2" t="s">
        <v>3203</v>
      </c>
      <c r="E39" s="4" t="s">
        <v>1552</v>
      </c>
      <c r="F39" s="2" t="s">
        <v>3204</v>
      </c>
      <c r="G39" s="2" t="s">
        <v>3205</v>
      </c>
      <c r="H39" s="2" t="s">
        <v>511</v>
      </c>
      <c r="I39" s="2" t="s">
        <v>342</v>
      </c>
      <c r="J39" s="2" t="s">
        <v>31</v>
      </c>
      <c r="K39" s="2" t="s">
        <v>31</v>
      </c>
      <c r="L39" s="4" t="s">
        <v>342</v>
      </c>
      <c r="M39" s="2" t="s">
        <v>342</v>
      </c>
      <c r="N39" s="2" t="s">
        <v>312</v>
      </c>
      <c r="O39" s="2" t="s">
        <v>3206</v>
      </c>
      <c r="P39" s="2" t="s">
        <v>2165</v>
      </c>
      <c r="Q39" s="2" t="s">
        <v>342</v>
      </c>
      <c r="R39" s="2" t="s">
        <v>598</v>
      </c>
      <c r="S39" s="2" t="s">
        <v>35</v>
      </c>
      <c r="T39" s="149">
        <v>0.01</v>
      </c>
      <c r="U39" s="2" t="s">
        <v>3207</v>
      </c>
      <c r="V39" s="164">
        <v>1E-4</v>
      </c>
      <c r="W39" s="164">
        <v>0.06</v>
      </c>
      <c r="X39" s="4" t="s">
        <v>602</v>
      </c>
      <c r="Y39" s="4" t="s">
        <v>530</v>
      </c>
      <c r="Z39" s="2" t="s">
        <v>1081</v>
      </c>
      <c r="AA39" s="2" t="s">
        <v>1085</v>
      </c>
      <c r="AB39" s="2" t="s">
        <v>3208</v>
      </c>
      <c r="AD39" s="149">
        <v>992106.45</v>
      </c>
      <c r="AE39" s="149">
        <v>1</v>
      </c>
      <c r="AF39" s="149">
        <v>0</v>
      </c>
      <c r="AG39" s="149">
        <v>0</v>
      </c>
      <c r="AJ39" s="2" t="s">
        <v>37</v>
      </c>
      <c r="AK39" s="164">
        <v>2.7692926452665202E-10</v>
      </c>
      <c r="AL39" s="164">
        <v>5.3940132410698601E-12</v>
      </c>
    </row>
    <row r="40" spans="1:38">
      <c r="A40" s="2" t="s">
        <v>256</v>
      </c>
      <c r="B40" s="2">
        <v>7205</v>
      </c>
      <c r="C40" s="2" t="s">
        <v>3209</v>
      </c>
      <c r="D40" s="2" t="s">
        <v>3210</v>
      </c>
      <c r="E40" s="4" t="s">
        <v>505</v>
      </c>
      <c r="F40" s="2" t="s">
        <v>3211</v>
      </c>
      <c r="G40" s="2" t="s">
        <v>3212</v>
      </c>
      <c r="H40" s="2" t="s">
        <v>511</v>
      </c>
      <c r="I40" s="2" t="s">
        <v>1154</v>
      </c>
      <c r="J40" s="2" t="s">
        <v>31</v>
      </c>
      <c r="K40" s="2" t="s">
        <v>155</v>
      </c>
      <c r="L40" s="4" t="s">
        <v>342</v>
      </c>
      <c r="M40" s="2" t="s">
        <v>629</v>
      </c>
      <c r="N40" s="2" t="s">
        <v>312</v>
      </c>
      <c r="O40" s="2" t="s">
        <v>3213</v>
      </c>
      <c r="P40" s="2" t="s">
        <v>2394</v>
      </c>
      <c r="Q40" s="2" t="s">
        <v>358</v>
      </c>
      <c r="R40" s="2" t="s">
        <v>596</v>
      </c>
      <c r="S40" s="2" t="s">
        <v>35</v>
      </c>
      <c r="T40" s="149">
        <v>3.56</v>
      </c>
      <c r="U40" s="2" t="s">
        <v>3214</v>
      </c>
      <c r="V40" s="164">
        <v>6.4839999999999995E-2</v>
      </c>
      <c r="W40" s="164">
        <v>3.3500000000000002E-2</v>
      </c>
      <c r="X40" s="4" t="s">
        <v>602</v>
      </c>
      <c r="Y40" s="4" t="s">
        <v>312</v>
      </c>
      <c r="Z40" s="2" t="s">
        <v>1083</v>
      </c>
      <c r="AA40" s="2" t="s">
        <v>3191</v>
      </c>
      <c r="AB40" s="2" t="s">
        <v>1558</v>
      </c>
      <c r="AD40" s="149">
        <v>3412500</v>
      </c>
      <c r="AE40" s="149">
        <v>1</v>
      </c>
      <c r="AF40" s="149">
        <v>89.96</v>
      </c>
      <c r="AG40" s="149">
        <v>3069.8850000000002</v>
      </c>
      <c r="AJ40" s="2" t="s">
        <v>37</v>
      </c>
      <c r="AK40" s="164">
        <v>8.5690501783493203E-2</v>
      </c>
      <c r="AL40" s="164">
        <v>1.66907496051071E-3</v>
      </c>
    </row>
    <row r="41" spans="1:38">
      <c r="A41" s="2" t="s">
        <v>256</v>
      </c>
      <c r="B41" s="2">
        <v>7205</v>
      </c>
      <c r="C41" s="2" t="s">
        <v>3215</v>
      </c>
      <c r="D41" s="2" t="s">
        <v>3216</v>
      </c>
      <c r="E41" s="4" t="s">
        <v>1552</v>
      </c>
      <c r="F41" s="2" t="s">
        <v>3217</v>
      </c>
      <c r="G41" s="2" t="s">
        <v>3218</v>
      </c>
      <c r="H41" s="2" t="s">
        <v>511</v>
      </c>
      <c r="I41" s="2" t="s">
        <v>342</v>
      </c>
      <c r="J41" s="2" t="s">
        <v>31</v>
      </c>
      <c r="K41" s="2" t="s">
        <v>31</v>
      </c>
      <c r="L41" s="4" t="s">
        <v>342</v>
      </c>
      <c r="M41" s="2" t="s">
        <v>342</v>
      </c>
      <c r="N41" s="2" t="s">
        <v>312</v>
      </c>
      <c r="O41" s="2" t="s">
        <v>341</v>
      </c>
      <c r="P41" s="2" t="s">
        <v>2165</v>
      </c>
      <c r="Q41" s="2" t="s">
        <v>342</v>
      </c>
      <c r="R41" s="2" t="s">
        <v>598</v>
      </c>
      <c r="S41" s="2" t="s">
        <v>35</v>
      </c>
      <c r="T41" s="149">
        <v>0</v>
      </c>
      <c r="U41" s="2" t="s">
        <v>3219</v>
      </c>
      <c r="V41" s="164">
        <v>0</v>
      </c>
      <c r="W41" s="164">
        <v>5.8500000000000003E-2</v>
      </c>
      <c r="X41" s="4" t="s">
        <v>602</v>
      </c>
      <c r="Y41" s="4" t="s">
        <v>312</v>
      </c>
      <c r="Z41" s="2" t="s">
        <v>342</v>
      </c>
      <c r="AA41" s="2" t="s">
        <v>1085</v>
      </c>
      <c r="AD41" s="149">
        <v>3060000</v>
      </c>
      <c r="AE41" s="149">
        <v>1</v>
      </c>
      <c r="AF41" s="149">
        <v>0</v>
      </c>
      <c r="AG41" s="149">
        <v>0</v>
      </c>
      <c r="AJ41" s="2" t="s">
        <v>37</v>
      </c>
      <c r="AK41" s="164">
        <v>0</v>
      </c>
      <c r="AL41" s="164">
        <v>0</v>
      </c>
    </row>
    <row r="42" spans="1:38">
      <c r="A42" s="2" t="s">
        <v>256</v>
      </c>
      <c r="B42" s="2">
        <v>7205</v>
      </c>
      <c r="C42" s="2" t="s">
        <v>3220</v>
      </c>
      <c r="D42" s="2" t="s">
        <v>3221</v>
      </c>
      <c r="E42" s="4" t="s">
        <v>1552</v>
      </c>
      <c r="F42" s="2" t="s">
        <v>3222</v>
      </c>
      <c r="G42" s="2" t="s">
        <v>3223</v>
      </c>
      <c r="H42" s="2" t="s">
        <v>511</v>
      </c>
      <c r="I42" s="2" t="s">
        <v>342</v>
      </c>
      <c r="J42" s="2" t="s">
        <v>31</v>
      </c>
      <c r="K42" s="2" t="s">
        <v>31</v>
      </c>
      <c r="L42" s="4" t="s">
        <v>342</v>
      </c>
      <c r="M42" s="2" t="s">
        <v>641</v>
      </c>
      <c r="N42" s="2" t="s">
        <v>312</v>
      </c>
      <c r="O42" s="2" t="s">
        <v>341</v>
      </c>
      <c r="P42" s="2" t="s">
        <v>2165</v>
      </c>
      <c r="Q42" s="2" t="s">
        <v>342</v>
      </c>
      <c r="R42" s="2" t="s">
        <v>596</v>
      </c>
      <c r="S42" s="2" t="s">
        <v>35</v>
      </c>
      <c r="T42" s="149">
        <v>0</v>
      </c>
      <c r="U42" s="2" t="s">
        <v>3224</v>
      </c>
      <c r="V42" s="164">
        <v>0</v>
      </c>
      <c r="W42" s="164">
        <v>0.06</v>
      </c>
      <c r="X42" s="4" t="s">
        <v>602</v>
      </c>
      <c r="Y42" s="4" t="s">
        <v>530</v>
      </c>
      <c r="Z42" s="2" t="s">
        <v>1081</v>
      </c>
      <c r="AA42" s="2" t="s">
        <v>1085</v>
      </c>
      <c r="AD42" s="149">
        <v>1211726.25</v>
      </c>
      <c r="AE42" s="149">
        <v>1</v>
      </c>
      <c r="AF42" s="149">
        <v>0</v>
      </c>
      <c r="AG42" s="149">
        <v>0</v>
      </c>
      <c r="AJ42" s="2" t="s">
        <v>37</v>
      </c>
      <c r="AK42" s="164">
        <v>0</v>
      </c>
      <c r="AL42" s="164">
        <v>0</v>
      </c>
    </row>
    <row r="43" spans="1:38">
      <c r="A43" s="2" t="s">
        <v>256</v>
      </c>
      <c r="B43" s="2">
        <v>7205</v>
      </c>
      <c r="C43" s="2" t="s">
        <v>3225</v>
      </c>
      <c r="D43" s="2" t="s">
        <v>3226</v>
      </c>
      <c r="E43" s="4" t="s">
        <v>1552</v>
      </c>
      <c r="F43" s="2" t="s">
        <v>3227</v>
      </c>
      <c r="G43" s="2" t="s">
        <v>3228</v>
      </c>
      <c r="H43" s="2" t="s">
        <v>511</v>
      </c>
      <c r="I43" s="2" t="s">
        <v>945</v>
      </c>
      <c r="J43" s="2" t="s">
        <v>31</v>
      </c>
      <c r="K43" s="2" t="s">
        <v>31</v>
      </c>
      <c r="L43" s="4" t="s">
        <v>342</v>
      </c>
      <c r="M43" s="2" t="s">
        <v>639</v>
      </c>
      <c r="N43" s="2" t="s">
        <v>312</v>
      </c>
      <c r="O43" s="2" t="s">
        <v>341</v>
      </c>
      <c r="P43" s="2" t="s">
        <v>2165</v>
      </c>
      <c r="Q43" s="2" t="s">
        <v>342</v>
      </c>
      <c r="R43" s="2" t="s">
        <v>596</v>
      </c>
      <c r="S43" s="2" t="s">
        <v>35</v>
      </c>
      <c r="T43" s="149">
        <v>0</v>
      </c>
      <c r="U43" s="2" t="s">
        <v>3229</v>
      </c>
      <c r="V43" s="164">
        <v>0</v>
      </c>
      <c r="W43" s="164">
        <v>5.3499999999999999E-2</v>
      </c>
      <c r="X43" s="4" t="s">
        <v>602</v>
      </c>
      <c r="Y43" s="4" t="s">
        <v>530</v>
      </c>
      <c r="Z43" s="2" t="s">
        <v>342</v>
      </c>
      <c r="AA43" s="2" t="s">
        <v>1085</v>
      </c>
      <c r="AB43" s="2" t="s">
        <v>1558</v>
      </c>
      <c r="AD43" s="149">
        <v>1104077.6599999999</v>
      </c>
      <c r="AE43" s="149">
        <v>1</v>
      </c>
      <c r="AF43" s="149">
        <v>0</v>
      </c>
      <c r="AG43" s="149">
        <v>0</v>
      </c>
      <c r="AJ43" s="2" t="s">
        <v>37</v>
      </c>
      <c r="AK43" s="164">
        <v>3.0818408081522598E-10</v>
      </c>
      <c r="AL43" s="164">
        <v>6.0027928628116699E-12</v>
      </c>
    </row>
    <row r="44" spans="1:38">
      <c r="A44" s="2" t="s">
        <v>256</v>
      </c>
      <c r="B44" s="2">
        <v>7205</v>
      </c>
      <c r="C44" s="2" t="s">
        <v>3230</v>
      </c>
      <c r="D44" s="2" t="s">
        <v>3231</v>
      </c>
      <c r="E44" s="4" t="s">
        <v>1552</v>
      </c>
      <c r="F44" s="2" t="s">
        <v>3232</v>
      </c>
      <c r="G44" s="2" t="s">
        <v>3233</v>
      </c>
      <c r="H44" s="2" t="s">
        <v>511</v>
      </c>
      <c r="I44" s="2" t="s">
        <v>342</v>
      </c>
      <c r="J44" s="2" t="s">
        <v>31</v>
      </c>
      <c r="K44" s="2" t="s">
        <v>31</v>
      </c>
      <c r="L44" s="4" t="s">
        <v>342</v>
      </c>
      <c r="M44" s="2" t="s">
        <v>342</v>
      </c>
      <c r="N44" s="2" t="s">
        <v>312</v>
      </c>
      <c r="O44" s="2" t="s">
        <v>3234</v>
      </c>
      <c r="P44" s="2" t="s">
        <v>2165</v>
      </c>
      <c r="Q44" s="2" t="s">
        <v>342</v>
      </c>
      <c r="R44" s="2" t="s">
        <v>596</v>
      </c>
      <c r="S44" s="2" t="s">
        <v>35</v>
      </c>
      <c r="T44" s="149">
        <v>0.01</v>
      </c>
      <c r="U44" s="2" t="s">
        <v>3235</v>
      </c>
      <c r="V44" s="164">
        <v>1E-4</v>
      </c>
      <c r="W44" s="164">
        <v>6.4500000000000002E-2</v>
      </c>
      <c r="X44" s="4" t="s">
        <v>602</v>
      </c>
      <c r="Y44" s="4" t="s">
        <v>530</v>
      </c>
      <c r="Z44" s="2" t="s">
        <v>1081</v>
      </c>
      <c r="AA44" s="2" t="s">
        <v>1085</v>
      </c>
      <c r="AB44" s="2" t="s">
        <v>3236</v>
      </c>
      <c r="AD44" s="149">
        <v>527995.82999999996</v>
      </c>
      <c r="AE44" s="149">
        <v>1</v>
      </c>
      <c r="AF44" s="149">
        <v>0</v>
      </c>
      <c r="AG44" s="149">
        <v>0</v>
      </c>
      <c r="AJ44" s="2" t="s">
        <v>37</v>
      </c>
      <c r="AK44" s="164">
        <v>1.4738085502320799E-10</v>
      </c>
      <c r="AL44" s="164">
        <v>2.8706763253576998E-12</v>
      </c>
    </row>
    <row r="45" spans="1:38">
      <c r="A45" s="2" t="s">
        <v>256</v>
      </c>
      <c r="B45" s="2">
        <v>7205</v>
      </c>
      <c r="C45" s="2" t="s">
        <v>3230</v>
      </c>
      <c r="D45" s="2" t="s">
        <v>3231</v>
      </c>
      <c r="E45" s="4" t="s">
        <v>1552</v>
      </c>
      <c r="F45" s="2" t="s">
        <v>3237</v>
      </c>
      <c r="G45" s="2" t="s">
        <v>3238</v>
      </c>
      <c r="H45" s="2" t="s">
        <v>511</v>
      </c>
      <c r="I45" s="2" t="s">
        <v>342</v>
      </c>
      <c r="J45" s="2" t="s">
        <v>31</v>
      </c>
      <c r="K45" s="2" t="s">
        <v>31</v>
      </c>
      <c r="L45" s="4" t="s">
        <v>342</v>
      </c>
      <c r="M45" s="2" t="s">
        <v>342</v>
      </c>
      <c r="N45" s="2" t="s">
        <v>312</v>
      </c>
      <c r="O45" s="2" t="s">
        <v>3234</v>
      </c>
      <c r="P45" s="2" t="s">
        <v>2165</v>
      </c>
      <c r="Q45" s="2" t="s">
        <v>342</v>
      </c>
      <c r="R45" s="2" t="s">
        <v>596</v>
      </c>
      <c r="S45" s="2" t="s">
        <v>35</v>
      </c>
      <c r="T45" s="149">
        <v>0.01</v>
      </c>
      <c r="U45" s="2" t="s">
        <v>3235</v>
      </c>
      <c r="V45" s="164">
        <v>1E-4</v>
      </c>
      <c r="W45" s="164">
        <v>5.7000000000000002E-2</v>
      </c>
      <c r="X45" s="4" t="s">
        <v>602</v>
      </c>
      <c r="Y45" s="4" t="s">
        <v>530</v>
      </c>
      <c r="Z45" s="2" t="s">
        <v>1081</v>
      </c>
      <c r="AA45" s="2" t="s">
        <v>1085</v>
      </c>
      <c r="AB45" s="2" t="s">
        <v>3236</v>
      </c>
      <c r="AD45" s="149">
        <v>2183500.92</v>
      </c>
      <c r="AE45" s="149">
        <v>1</v>
      </c>
      <c r="AF45" s="149">
        <v>0</v>
      </c>
      <c r="AG45" s="149">
        <v>0</v>
      </c>
      <c r="AJ45" s="2" t="s">
        <v>37</v>
      </c>
      <c r="AK45" s="164">
        <v>6.0948631456722009E-10</v>
      </c>
      <c r="AL45" s="164">
        <v>1.1871541480622599E-11</v>
      </c>
    </row>
    <row r="46" spans="1:38">
      <c r="A46" s="2" t="s">
        <v>256</v>
      </c>
      <c r="B46" s="2">
        <v>7205</v>
      </c>
      <c r="C46" s="2" t="s">
        <v>3239</v>
      </c>
      <c r="D46" s="2" t="s">
        <v>3240</v>
      </c>
      <c r="E46" s="4" t="s">
        <v>1552</v>
      </c>
      <c r="F46" s="2" t="s">
        <v>3241</v>
      </c>
      <c r="G46" s="2" t="s">
        <v>3242</v>
      </c>
      <c r="H46" s="2" t="s">
        <v>511</v>
      </c>
      <c r="I46" s="2" t="s">
        <v>945</v>
      </c>
      <c r="J46" s="2" t="s">
        <v>31</v>
      </c>
      <c r="K46" s="2" t="s">
        <v>31</v>
      </c>
      <c r="L46" s="4" t="s">
        <v>342</v>
      </c>
      <c r="M46" s="2" t="s">
        <v>635</v>
      </c>
      <c r="N46" s="2" t="s">
        <v>312</v>
      </c>
      <c r="O46" s="2" t="s">
        <v>341</v>
      </c>
      <c r="P46" s="2" t="s">
        <v>2165</v>
      </c>
      <c r="Q46" s="2" t="s">
        <v>342</v>
      </c>
      <c r="R46" s="2" t="s">
        <v>598</v>
      </c>
      <c r="S46" s="2" t="s">
        <v>35</v>
      </c>
      <c r="T46" s="149">
        <v>0</v>
      </c>
      <c r="U46" s="2" t="s">
        <v>3207</v>
      </c>
      <c r="V46" s="164">
        <v>0</v>
      </c>
      <c r="W46" s="164">
        <v>7.0999999999999994E-2</v>
      </c>
      <c r="X46" s="4" t="s">
        <v>602</v>
      </c>
      <c r="Y46" s="4" t="s">
        <v>530</v>
      </c>
      <c r="Z46" s="2" t="s">
        <v>342</v>
      </c>
      <c r="AA46" s="2" t="s">
        <v>1085</v>
      </c>
      <c r="AB46" s="2" t="s">
        <v>3201</v>
      </c>
      <c r="AD46" s="149">
        <v>1131.25</v>
      </c>
      <c r="AE46" s="149">
        <v>1</v>
      </c>
      <c r="AF46" s="149">
        <v>2257</v>
      </c>
      <c r="AG46" s="149">
        <v>25.532</v>
      </c>
      <c r="AJ46" s="2" t="s">
        <v>37</v>
      </c>
      <c r="AK46" s="164">
        <v>7.1269010722484899E-4</v>
      </c>
      <c r="AL46" s="164">
        <v>1.38817393738478E-5</v>
      </c>
    </row>
    <row r="47" spans="1:38">
      <c r="A47" s="2" t="s">
        <v>256</v>
      </c>
      <c r="B47" s="2">
        <v>7205</v>
      </c>
      <c r="C47" s="2" t="s">
        <v>3239</v>
      </c>
      <c r="D47" s="2" t="s">
        <v>3240</v>
      </c>
      <c r="E47" s="4" t="s">
        <v>1552</v>
      </c>
      <c r="F47" s="2" t="s">
        <v>3243</v>
      </c>
      <c r="G47" s="2" t="s">
        <v>3244</v>
      </c>
      <c r="H47" s="2" t="s">
        <v>34</v>
      </c>
      <c r="I47" s="2" t="s">
        <v>945</v>
      </c>
      <c r="J47" s="2" t="s">
        <v>31</v>
      </c>
      <c r="K47" s="2" t="s">
        <v>154</v>
      </c>
      <c r="L47" s="4" t="s">
        <v>342</v>
      </c>
      <c r="M47" s="2" t="s">
        <v>342</v>
      </c>
      <c r="N47" s="2" t="s">
        <v>312</v>
      </c>
      <c r="O47" s="2" t="s">
        <v>3234</v>
      </c>
      <c r="P47" s="2" t="s">
        <v>2165</v>
      </c>
      <c r="Q47" s="2" t="s">
        <v>342</v>
      </c>
      <c r="R47" s="2" t="s">
        <v>596</v>
      </c>
      <c r="S47" s="2" t="s">
        <v>35</v>
      </c>
      <c r="T47" s="149">
        <v>0</v>
      </c>
      <c r="U47" s="2" t="s">
        <v>3245</v>
      </c>
      <c r="V47" s="164">
        <v>0</v>
      </c>
      <c r="W47" s="164">
        <v>7.0999999999999994E-2</v>
      </c>
      <c r="X47" s="4" t="s">
        <v>602</v>
      </c>
      <c r="Y47" s="4" t="s">
        <v>312</v>
      </c>
      <c r="Z47" s="2" t="s">
        <v>1081</v>
      </c>
      <c r="AA47" s="2" t="s">
        <v>1085</v>
      </c>
      <c r="AB47" s="2" t="s">
        <v>3201</v>
      </c>
      <c r="AD47" s="149">
        <v>377.08</v>
      </c>
      <c r="AE47" s="149">
        <v>1</v>
      </c>
      <c r="AF47" s="149">
        <v>2257</v>
      </c>
      <c r="AG47" s="149">
        <v>8.5109999999999992</v>
      </c>
      <c r="AJ47" s="2" t="s">
        <v>37</v>
      </c>
      <c r="AK47" s="164">
        <v>2.3756126906726701E-4</v>
      </c>
      <c r="AL47" s="164">
        <v>4.6272055541131703E-6</v>
      </c>
    </row>
    <row r="48" spans="1:38">
      <c r="A48" s="2" t="s">
        <v>256</v>
      </c>
      <c r="B48" s="2">
        <v>7205</v>
      </c>
      <c r="C48" s="2" t="s">
        <v>3246</v>
      </c>
      <c r="D48" s="2" t="s">
        <v>3247</v>
      </c>
      <c r="E48" s="4" t="s">
        <v>34</v>
      </c>
      <c r="F48" s="2" t="s">
        <v>3248</v>
      </c>
      <c r="G48" s="2" t="s">
        <v>3249</v>
      </c>
      <c r="H48" s="2" t="s">
        <v>511</v>
      </c>
      <c r="I48" s="2" t="s">
        <v>342</v>
      </c>
      <c r="J48" s="2" t="s">
        <v>31</v>
      </c>
      <c r="K48" s="2" t="s">
        <v>31</v>
      </c>
      <c r="L48" s="4" t="s">
        <v>342</v>
      </c>
      <c r="M48" s="2" t="s">
        <v>635</v>
      </c>
      <c r="N48" s="2" t="s">
        <v>312</v>
      </c>
      <c r="O48" s="2" t="s">
        <v>3250</v>
      </c>
      <c r="P48" s="2" t="s">
        <v>2165</v>
      </c>
      <c r="Q48" s="2" t="s">
        <v>342</v>
      </c>
      <c r="R48" s="2" t="s">
        <v>596</v>
      </c>
      <c r="S48" s="2" t="s">
        <v>35</v>
      </c>
      <c r="T48" s="149">
        <v>0</v>
      </c>
      <c r="U48" s="2" t="s">
        <v>3251</v>
      </c>
      <c r="V48" s="164">
        <v>0</v>
      </c>
      <c r="W48" s="164">
        <v>8.8499999999999995E-2</v>
      </c>
      <c r="X48" s="4" t="s">
        <v>602</v>
      </c>
      <c r="Y48" s="4" t="s">
        <v>530</v>
      </c>
      <c r="Z48" s="2" t="s">
        <v>1081</v>
      </c>
      <c r="AA48" s="2" t="s">
        <v>1085</v>
      </c>
      <c r="AB48" s="2" t="s">
        <v>3113</v>
      </c>
      <c r="AD48" s="149">
        <v>822184.72</v>
      </c>
      <c r="AE48" s="149">
        <v>1</v>
      </c>
      <c r="AF48" s="149">
        <v>5.27</v>
      </c>
      <c r="AG48" s="149">
        <v>43.329000000000001</v>
      </c>
      <c r="AJ48" s="2" t="s">
        <v>37</v>
      </c>
      <c r="AK48" s="164">
        <v>1.20945745461408E-3</v>
      </c>
      <c r="AL48" s="164">
        <v>2.3557746906416702E-5</v>
      </c>
    </row>
    <row r="49" spans="1:38">
      <c r="A49" s="2" t="s">
        <v>256</v>
      </c>
      <c r="B49" s="2">
        <v>7205</v>
      </c>
      <c r="C49" s="2" t="s">
        <v>3252</v>
      </c>
      <c r="D49" s="2" t="s">
        <v>3253</v>
      </c>
      <c r="E49" s="4" t="s">
        <v>1552</v>
      </c>
      <c r="F49" s="2" t="s">
        <v>3254</v>
      </c>
      <c r="G49" s="2" t="s">
        <v>3255</v>
      </c>
      <c r="H49" s="2" t="s">
        <v>511</v>
      </c>
      <c r="I49" s="2" t="s">
        <v>1154</v>
      </c>
      <c r="J49" s="2" t="s">
        <v>31</v>
      </c>
      <c r="K49" s="2" t="s">
        <v>31</v>
      </c>
      <c r="L49" s="4" t="s">
        <v>342</v>
      </c>
      <c r="M49" s="2" t="s">
        <v>650</v>
      </c>
      <c r="N49" s="2" t="s">
        <v>312</v>
      </c>
      <c r="O49" s="2" t="s">
        <v>3256</v>
      </c>
      <c r="P49" s="2" t="s">
        <v>2327</v>
      </c>
      <c r="Q49" s="2" t="s">
        <v>621</v>
      </c>
      <c r="R49" s="2" t="s">
        <v>596</v>
      </c>
      <c r="S49" s="2" t="s">
        <v>35</v>
      </c>
      <c r="T49" s="149">
        <v>1.66</v>
      </c>
      <c r="U49" s="2" t="s">
        <v>2203</v>
      </c>
      <c r="V49" s="164">
        <v>6.2640000000000001E-2</v>
      </c>
      <c r="W49" s="164">
        <v>4.2999999999999997E-2</v>
      </c>
      <c r="X49" s="4" t="s">
        <v>602</v>
      </c>
      <c r="Y49" s="4" t="s">
        <v>312</v>
      </c>
      <c r="Z49" s="2" t="s">
        <v>1083</v>
      </c>
      <c r="AA49" s="2" t="s">
        <v>1086</v>
      </c>
      <c r="AB49" s="2" t="s">
        <v>1558</v>
      </c>
      <c r="AD49" s="149">
        <v>1750000</v>
      </c>
      <c r="AE49" s="149">
        <v>1</v>
      </c>
      <c r="AF49" s="149">
        <v>97.01</v>
      </c>
      <c r="AG49" s="149">
        <v>1697.675</v>
      </c>
      <c r="AJ49" s="2" t="s">
        <v>37</v>
      </c>
      <c r="AK49" s="164">
        <v>4.7387645665975003E-2</v>
      </c>
      <c r="AL49" s="164">
        <v>9.2301400006352795E-4</v>
      </c>
    </row>
    <row r="50" spans="1:38">
      <c r="A50" s="2" t="s">
        <v>256</v>
      </c>
      <c r="B50" s="2">
        <v>7205</v>
      </c>
      <c r="C50" s="2" t="s">
        <v>3257</v>
      </c>
      <c r="D50" s="2" t="s">
        <v>3258</v>
      </c>
      <c r="E50" s="4" t="s">
        <v>1552</v>
      </c>
      <c r="F50" s="2" t="s">
        <v>3259</v>
      </c>
      <c r="G50" s="2" t="s">
        <v>3260</v>
      </c>
      <c r="H50" s="2" t="s">
        <v>511</v>
      </c>
      <c r="I50" s="2" t="s">
        <v>945</v>
      </c>
      <c r="J50" s="2" t="s">
        <v>31</v>
      </c>
      <c r="K50" s="2" t="s">
        <v>31</v>
      </c>
      <c r="L50" s="4" t="s">
        <v>342</v>
      </c>
      <c r="M50" s="2" t="s">
        <v>342</v>
      </c>
      <c r="N50" s="2" t="s">
        <v>312</v>
      </c>
      <c r="O50" s="2" t="s">
        <v>341</v>
      </c>
      <c r="P50" s="2" t="s">
        <v>2165</v>
      </c>
      <c r="Q50" s="2" t="s">
        <v>342</v>
      </c>
      <c r="R50" s="2" t="s">
        <v>598</v>
      </c>
      <c r="S50" s="2" t="s">
        <v>35</v>
      </c>
      <c r="T50" s="149">
        <v>0</v>
      </c>
      <c r="U50" s="2" t="s">
        <v>206</v>
      </c>
      <c r="V50" s="164">
        <v>0</v>
      </c>
      <c r="W50" s="164">
        <v>4.4999999999999998E-2</v>
      </c>
      <c r="X50" s="4" t="s">
        <v>602</v>
      </c>
      <c r="Y50" s="4" t="s">
        <v>530</v>
      </c>
      <c r="Z50" s="2" t="s">
        <v>342</v>
      </c>
      <c r="AA50" s="2" t="s">
        <v>1085</v>
      </c>
      <c r="AB50" s="2" t="s">
        <v>3113</v>
      </c>
      <c r="AD50" s="149">
        <v>936329.55</v>
      </c>
      <c r="AE50" s="149">
        <v>1</v>
      </c>
      <c r="AF50" s="149">
        <v>1.36</v>
      </c>
      <c r="AG50" s="149">
        <v>12.734</v>
      </c>
      <c r="AJ50" s="2" t="s">
        <v>37</v>
      </c>
      <c r="AK50" s="164">
        <v>3.5544975334557801E-4</v>
      </c>
      <c r="AL50" s="164">
        <v>6.9234310767345302E-6</v>
      </c>
    </row>
    <row r="51" spans="1:38">
      <c r="A51" s="2" t="s">
        <v>256</v>
      </c>
      <c r="B51" s="2">
        <v>7205</v>
      </c>
      <c r="C51" s="2" t="s">
        <v>3261</v>
      </c>
      <c r="D51" s="2" t="s">
        <v>3262</v>
      </c>
      <c r="E51" s="4" t="s">
        <v>1552</v>
      </c>
      <c r="F51" s="2" t="s">
        <v>3263</v>
      </c>
      <c r="G51" s="2" t="s">
        <v>3264</v>
      </c>
      <c r="H51" s="2" t="s">
        <v>34</v>
      </c>
      <c r="I51" s="2" t="s">
        <v>945</v>
      </c>
      <c r="J51" s="2" t="s">
        <v>31</v>
      </c>
      <c r="K51" s="2" t="s">
        <v>31</v>
      </c>
      <c r="L51" s="4" t="s">
        <v>342</v>
      </c>
      <c r="M51" s="2" t="s">
        <v>674</v>
      </c>
      <c r="N51" s="2" t="s">
        <v>312</v>
      </c>
      <c r="O51" s="2" t="s">
        <v>341</v>
      </c>
      <c r="P51" s="2" t="s">
        <v>174</v>
      </c>
      <c r="Q51" s="2" t="s">
        <v>604</v>
      </c>
      <c r="R51" s="2" t="s">
        <v>596</v>
      </c>
      <c r="S51" s="2" t="s">
        <v>35</v>
      </c>
      <c r="T51" s="149">
        <v>0.42</v>
      </c>
      <c r="U51" s="2" t="s">
        <v>3265</v>
      </c>
      <c r="V51" s="164">
        <v>1.5299999999999999E-2</v>
      </c>
      <c r="W51" s="164">
        <v>7.1499999999999994E-2</v>
      </c>
      <c r="X51" s="4" t="s">
        <v>602</v>
      </c>
      <c r="Y51" s="4" t="s">
        <v>312</v>
      </c>
      <c r="Z51" s="2" t="s">
        <v>342</v>
      </c>
      <c r="AA51" s="2" t="s">
        <v>1086</v>
      </c>
      <c r="AB51" s="2" t="s">
        <v>1558</v>
      </c>
      <c r="AD51" s="149">
        <v>4697803.0999999996</v>
      </c>
      <c r="AE51" s="149">
        <v>1</v>
      </c>
      <c r="AF51" s="149">
        <v>125.44</v>
      </c>
      <c r="AG51" s="149">
        <v>5892.924</v>
      </c>
      <c r="AJ51" s="2" t="s">
        <v>37</v>
      </c>
      <c r="AK51" s="164">
        <v>0.16449073252270199</v>
      </c>
      <c r="AL51" s="164">
        <v>3.2039415941732098E-3</v>
      </c>
    </row>
    <row r="52" spans="1:38">
      <c r="A52" s="2" t="s">
        <v>256</v>
      </c>
      <c r="B52" s="2">
        <v>7205</v>
      </c>
      <c r="C52" s="2" t="s">
        <v>1903</v>
      </c>
      <c r="D52" s="2" t="s">
        <v>1904</v>
      </c>
      <c r="E52" s="4" t="s">
        <v>1552</v>
      </c>
      <c r="F52" s="2" t="s">
        <v>3266</v>
      </c>
      <c r="G52" s="2" t="s">
        <v>3342</v>
      </c>
      <c r="H52" s="2" t="s">
        <v>34</v>
      </c>
      <c r="I52" s="2" t="s">
        <v>945</v>
      </c>
      <c r="J52" s="2" t="s">
        <v>31</v>
      </c>
      <c r="K52" s="2" t="s">
        <v>31</v>
      </c>
      <c r="L52" s="4" t="s">
        <v>342</v>
      </c>
      <c r="M52" s="2" t="s">
        <v>636</v>
      </c>
      <c r="N52" s="2" t="s">
        <v>312</v>
      </c>
      <c r="O52" s="2" t="s">
        <v>3268</v>
      </c>
      <c r="P52" s="2" t="s">
        <v>1556</v>
      </c>
      <c r="Q52" s="2" t="s">
        <v>621</v>
      </c>
      <c r="R52" s="2" t="s">
        <v>596</v>
      </c>
      <c r="S52" s="2" t="s">
        <v>35</v>
      </c>
      <c r="T52" s="149">
        <v>1.34</v>
      </c>
      <c r="U52" s="2" t="s">
        <v>3269</v>
      </c>
      <c r="V52" s="164">
        <v>1.83E-2</v>
      </c>
      <c r="W52" s="164">
        <v>0.05</v>
      </c>
      <c r="X52" s="4" t="s">
        <v>602</v>
      </c>
      <c r="Y52" s="4" t="s">
        <v>312</v>
      </c>
      <c r="Z52" s="2" t="s">
        <v>1083</v>
      </c>
      <c r="AA52" s="2" t="s">
        <v>1086</v>
      </c>
      <c r="AB52" s="2" t="s">
        <v>1558</v>
      </c>
      <c r="AD52" s="149">
        <v>367018.18</v>
      </c>
      <c r="AE52" s="149">
        <v>1</v>
      </c>
      <c r="AF52" s="149">
        <v>146.05000000000001</v>
      </c>
      <c r="AG52" s="149">
        <v>536.03</v>
      </c>
      <c r="AJ52" s="2" t="s">
        <v>37</v>
      </c>
      <c r="AK52" s="164">
        <v>1.4962346836277601E-2</v>
      </c>
      <c r="AL52" s="164">
        <v>2.9143578267292001E-4</v>
      </c>
    </row>
    <row r="53" spans="1:38">
      <c r="A53" s="2" t="s">
        <v>256</v>
      </c>
      <c r="B53" s="2">
        <v>7205</v>
      </c>
      <c r="C53" s="2" t="s">
        <v>3270</v>
      </c>
      <c r="D53" s="2" t="s">
        <v>3271</v>
      </c>
      <c r="E53" s="4" t="s">
        <v>1552</v>
      </c>
      <c r="F53" s="2" t="s">
        <v>3272</v>
      </c>
      <c r="G53" s="2" t="s">
        <v>3273</v>
      </c>
      <c r="H53" s="2" t="s">
        <v>511</v>
      </c>
      <c r="I53" s="2" t="s">
        <v>945</v>
      </c>
      <c r="J53" s="2" t="s">
        <v>31</v>
      </c>
      <c r="K53" s="2" t="s">
        <v>31</v>
      </c>
      <c r="L53" s="4" t="s">
        <v>342</v>
      </c>
      <c r="M53" s="2" t="s">
        <v>342</v>
      </c>
      <c r="N53" s="2" t="s">
        <v>312</v>
      </c>
      <c r="O53" s="2" t="s">
        <v>341</v>
      </c>
      <c r="P53" s="2" t="s">
        <v>2165</v>
      </c>
      <c r="Q53" s="2" t="s">
        <v>342</v>
      </c>
      <c r="R53" s="2" t="s">
        <v>598</v>
      </c>
      <c r="S53" s="2" t="s">
        <v>35</v>
      </c>
      <c r="T53" s="149">
        <v>0</v>
      </c>
      <c r="U53" s="2" t="s">
        <v>3274</v>
      </c>
      <c r="V53" s="164">
        <v>0</v>
      </c>
      <c r="W53" s="164">
        <v>0.05</v>
      </c>
      <c r="X53" s="4" t="s">
        <v>602</v>
      </c>
      <c r="Y53" s="4" t="s">
        <v>530</v>
      </c>
      <c r="Z53" s="2" t="s">
        <v>342</v>
      </c>
      <c r="AA53" s="2" t="s">
        <v>1085</v>
      </c>
      <c r="AB53" s="2" t="s">
        <v>3275</v>
      </c>
      <c r="AD53" s="149">
        <v>79027.45</v>
      </c>
      <c r="AE53" s="149">
        <v>1</v>
      </c>
      <c r="AF53" s="149">
        <v>1</v>
      </c>
      <c r="AG53" s="149">
        <v>0.79</v>
      </c>
      <c r="AJ53" s="2" t="s">
        <v>37</v>
      </c>
      <c r="AK53" s="164">
        <v>2.2059138518771601E-5</v>
      </c>
      <c r="AL53" s="164">
        <v>4.2966670734575501E-7</v>
      </c>
    </row>
    <row r="54" spans="1:38">
      <c r="A54" s="2" t="s">
        <v>256</v>
      </c>
      <c r="B54" s="2">
        <v>7205</v>
      </c>
      <c r="C54" s="2" t="s">
        <v>3276</v>
      </c>
      <c r="D54" s="2" t="s">
        <v>3277</v>
      </c>
      <c r="E54" s="4" t="s">
        <v>1552</v>
      </c>
      <c r="F54" s="2" t="s">
        <v>3278</v>
      </c>
      <c r="G54" s="2" t="s">
        <v>3279</v>
      </c>
      <c r="H54" s="2" t="s">
        <v>511</v>
      </c>
      <c r="I54" s="2" t="s">
        <v>1154</v>
      </c>
      <c r="J54" s="2" t="s">
        <v>31</v>
      </c>
      <c r="K54" s="2" t="s">
        <v>31</v>
      </c>
      <c r="L54" s="4" t="s">
        <v>342</v>
      </c>
      <c r="M54" s="2" t="s">
        <v>639</v>
      </c>
      <c r="N54" s="2" t="s">
        <v>312</v>
      </c>
      <c r="O54" s="2" t="s">
        <v>3280</v>
      </c>
      <c r="P54" s="2" t="s">
        <v>2161</v>
      </c>
      <c r="Q54" s="2" t="s">
        <v>621</v>
      </c>
      <c r="R54" s="2" t="s">
        <v>596</v>
      </c>
      <c r="S54" s="2" t="s">
        <v>35</v>
      </c>
      <c r="T54" s="149">
        <v>2.33</v>
      </c>
      <c r="U54" s="2" t="s">
        <v>3281</v>
      </c>
      <c r="V54" s="164">
        <v>6.3109999999999999E-2</v>
      </c>
      <c r="W54" s="164">
        <v>2.86E-2</v>
      </c>
      <c r="X54" s="4" t="s">
        <v>602</v>
      </c>
      <c r="Y54" s="4" t="s">
        <v>312</v>
      </c>
      <c r="Z54" s="2" t="s">
        <v>1083</v>
      </c>
      <c r="AA54" s="2" t="s">
        <v>1086</v>
      </c>
      <c r="AB54" s="2" t="s">
        <v>1558</v>
      </c>
      <c r="AD54" s="149">
        <v>1442857.32</v>
      </c>
      <c r="AE54" s="149">
        <v>1</v>
      </c>
      <c r="AF54" s="149">
        <v>93.81</v>
      </c>
      <c r="AG54" s="149">
        <v>1353.5440000000001</v>
      </c>
      <c r="AJ54" s="2" t="s">
        <v>37</v>
      </c>
      <c r="AK54" s="164">
        <v>3.77818397981972E-2</v>
      </c>
      <c r="AL54" s="164">
        <v>7.3591263275045601E-4</v>
      </c>
    </row>
    <row r="55" spans="1:38">
      <c r="A55" s="2" t="s">
        <v>256</v>
      </c>
      <c r="B55" s="2">
        <v>7205</v>
      </c>
      <c r="C55" s="2" t="s">
        <v>3282</v>
      </c>
      <c r="D55" s="2" t="s">
        <v>3283</v>
      </c>
      <c r="E55" s="4" t="s">
        <v>1552</v>
      </c>
      <c r="F55" s="2" t="s">
        <v>3284</v>
      </c>
      <c r="G55" s="2" t="s">
        <v>3285</v>
      </c>
      <c r="H55" s="2" t="s">
        <v>511</v>
      </c>
      <c r="I55" s="2" t="s">
        <v>1154</v>
      </c>
      <c r="J55" s="2" t="s">
        <v>31</v>
      </c>
      <c r="K55" s="2" t="s">
        <v>31</v>
      </c>
      <c r="L55" s="4" t="s">
        <v>342</v>
      </c>
      <c r="M55" s="2" t="s">
        <v>639</v>
      </c>
      <c r="N55" s="2" t="s">
        <v>312</v>
      </c>
      <c r="O55" s="2" t="s">
        <v>3286</v>
      </c>
      <c r="P55" s="2" t="s">
        <v>2234</v>
      </c>
      <c r="Q55" s="2" t="s">
        <v>621</v>
      </c>
      <c r="R55" s="2" t="s">
        <v>596</v>
      </c>
      <c r="S55" s="2" t="s">
        <v>35</v>
      </c>
      <c r="T55" s="149">
        <v>2.37</v>
      </c>
      <c r="U55" s="2" t="s">
        <v>2180</v>
      </c>
      <c r="V55" s="164">
        <v>6.2659999999999993E-2</v>
      </c>
      <c r="W55" s="164">
        <v>4.4699999999999997E-2</v>
      </c>
      <c r="X55" s="4" t="s">
        <v>602</v>
      </c>
      <c r="Y55" s="4" t="s">
        <v>312</v>
      </c>
      <c r="Z55" s="2" t="s">
        <v>1083</v>
      </c>
      <c r="AA55" s="2" t="s">
        <v>1086</v>
      </c>
      <c r="AB55" s="2" t="s">
        <v>1558</v>
      </c>
      <c r="AD55" s="149">
        <v>1900841.72</v>
      </c>
      <c r="AE55" s="149">
        <v>1</v>
      </c>
      <c r="AF55" s="149">
        <v>96.14</v>
      </c>
      <c r="AG55" s="149">
        <v>1827.4690000000001</v>
      </c>
      <c r="AJ55" s="2" t="s">
        <v>37</v>
      </c>
      <c r="AK55" s="164">
        <v>5.1010625896085099E-2</v>
      </c>
      <c r="AL55" s="164">
        <v>9.9358221309349209E-4</v>
      </c>
    </row>
    <row r="56" spans="1:38">
      <c r="A56" s="2" t="s">
        <v>256</v>
      </c>
      <c r="B56" s="2">
        <v>7205</v>
      </c>
      <c r="C56" s="2" t="s">
        <v>3287</v>
      </c>
      <c r="D56" s="2" t="s">
        <v>3288</v>
      </c>
      <c r="E56" s="4" t="s">
        <v>1552</v>
      </c>
      <c r="F56" s="2" t="s">
        <v>3289</v>
      </c>
      <c r="G56" s="2" t="s">
        <v>3290</v>
      </c>
      <c r="H56" s="2" t="s">
        <v>511</v>
      </c>
      <c r="I56" s="2" t="s">
        <v>1156</v>
      </c>
      <c r="J56" s="2" t="s">
        <v>31</v>
      </c>
      <c r="K56" s="2" t="s">
        <v>31</v>
      </c>
      <c r="L56" s="4" t="s">
        <v>342</v>
      </c>
      <c r="M56" s="2" t="s">
        <v>637</v>
      </c>
      <c r="N56" s="2" t="s">
        <v>312</v>
      </c>
      <c r="O56" s="2" t="s">
        <v>3291</v>
      </c>
      <c r="P56" s="2" t="s">
        <v>2165</v>
      </c>
      <c r="Q56" s="2" t="s">
        <v>342</v>
      </c>
      <c r="R56" s="2" t="s">
        <v>598</v>
      </c>
      <c r="S56" s="2" t="s">
        <v>35</v>
      </c>
      <c r="T56" s="149">
        <v>0.01</v>
      </c>
      <c r="U56" s="2" t="s">
        <v>3292</v>
      </c>
      <c r="V56" s="164">
        <v>1E-4</v>
      </c>
      <c r="W56" s="164">
        <v>4.4999999999999998E-2</v>
      </c>
      <c r="X56" s="4" t="s">
        <v>602</v>
      </c>
      <c r="Y56" s="4" t="s">
        <v>530</v>
      </c>
      <c r="Z56" s="2" t="s">
        <v>1081</v>
      </c>
      <c r="AA56" s="2" t="s">
        <v>1085</v>
      </c>
      <c r="AB56" s="2" t="s">
        <v>3293</v>
      </c>
      <c r="AD56" s="149">
        <v>1014167.04</v>
      </c>
      <c r="AE56" s="149">
        <v>1</v>
      </c>
      <c r="AF56" s="149">
        <v>0</v>
      </c>
      <c r="AG56" s="149">
        <v>0</v>
      </c>
      <c r="AJ56" s="2" t="s">
        <v>37</v>
      </c>
      <c r="AK56" s="164">
        <v>2.8308709463019002E-10</v>
      </c>
      <c r="AL56" s="164">
        <v>5.51395512287681E-12</v>
      </c>
    </row>
    <row r="57" spans="1:38">
      <c r="A57" s="2" t="s">
        <v>256</v>
      </c>
      <c r="B57" s="2">
        <v>7205</v>
      </c>
      <c r="C57" s="2" t="s">
        <v>2529</v>
      </c>
      <c r="D57" s="2" t="s">
        <v>2530</v>
      </c>
      <c r="E57" s="4" t="s">
        <v>1552</v>
      </c>
      <c r="F57" s="2" t="s">
        <v>3187</v>
      </c>
      <c r="G57" s="2" t="s">
        <v>3188</v>
      </c>
      <c r="H57" s="2" t="s">
        <v>511</v>
      </c>
      <c r="I57" s="2" t="s">
        <v>945</v>
      </c>
      <c r="J57" s="2" t="s">
        <v>31</v>
      </c>
      <c r="K57" s="2" t="s">
        <v>31</v>
      </c>
      <c r="L57" s="4" t="s">
        <v>342</v>
      </c>
      <c r="M57" s="2" t="s">
        <v>666</v>
      </c>
      <c r="N57" s="2" t="s">
        <v>312</v>
      </c>
      <c r="O57" s="2" t="s">
        <v>3294</v>
      </c>
      <c r="P57" s="2" t="s">
        <v>357</v>
      </c>
      <c r="Q57" s="2" t="s">
        <v>358</v>
      </c>
      <c r="R57" s="2" t="s">
        <v>596</v>
      </c>
      <c r="S57" s="2" t="s">
        <v>35</v>
      </c>
      <c r="T57" s="149">
        <v>9.0299999999999994</v>
      </c>
      <c r="U57" s="2" t="s">
        <v>3190</v>
      </c>
      <c r="V57" s="164">
        <v>3.4110000000000001E-2</v>
      </c>
      <c r="W57" s="164">
        <v>4.1000000000000002E-2</v>
      </c>
      <c r="X57" s="4" t="s">
        <v>602</v>
      </c>
      <c r="Y57" s="4" t="s">
        <v>312</v>
      </c>
      <c r="Z57" s="2" t="s">
        <v>1083</v>
      </c>
      <c r="AA57" s="2" t="s">
        <v>3191</v>
      </c>
      <c r="AB57" s="2" t="s">
        <v>1558</v>
      </c>
      <c r="AD57" s="149">
        <v>6927113.6900000004</v>
      </c>
      <c r="AE57" s="149">
        <v>1</v>
      </c>
      <c r="AF57" s="149">
        <v>129.74</v>
      </c>
      <c r="AG57" s="149">
        <v>8987.2369999999992</v>
      </c>
      <c r="AJ57" s="2" t="s">
        <v>37</v>
      </c>
      <c r="AK57" s="164">
        <v>0.25086310203959</v>
      </c>
      <c r="AL57" s="164">
        <v>4.8862979375268603E-3</v>
      </c>
    </row>
    <row r="58" spans="1:38">
      <c r="A58" s="2" t="s">
        <v>256</v>
      </c>
      <c r="B58" s="2">
        <v>7205</v>
      </c>
      <c r="C58" s="2" t="s">
        <v>2567</v>
      </c>
      <c r="D58" s="2" t="s">
        <v>2568</v>
      </c>
      <c r="E58" s="4" t="s">
        <v>1552</v>
      </c>
      <c r="F58" s="2" t="s">
        <v>3295</v>
      </c>
      <c r="G58" s="2" t="s">
        <v>3296</v>
      </c>
      <c r="H58" s="2" t="s">
        <v>511</v>
      </c>
      <c r="I58" s="2" t="s">
        <v>945</v>
      </c>
      <c r="J58" s="2" t="s">
        <v>31</v>
      </c>
      <c r="K58" s="2" t="s">
        <v>31</v>
      </c>
      <c r="L58" s="4" t="s">
        <v>342</v>
      </c>
      <c r="M58" s="2" t="s">
        <v>666</v>
      </c>
      <c r="N58" s="2" t="s">
        <v>312</v>
      </c>
      <c r="O58" s="2" t="s">
        <v>3297</v>
      </c>
      <c r="P58" s="2" t="s">
        <v>2571</v>
      </c>
      <c r="Q58" s="2" t="s">
        <v>358</v>
      </c>
      <c r="R58" s="2" t="s">
        <v>596</v>
      </c>
      <c r="S58" s="2" t="s">
        <v>35</v>
      </c>
      <c r="T58" s="149">
        <v>1.38</v>
      </c>
      <c r="U58" s="2" t="s">
        <v>3298</v>
      </c>
      <c r="V58" s="164">
        <v>2.521E-2</v>
      </c>
      <c r="W58" s="164">
        <v>5.6000000000000001E-2</v>
      </c>
      <c r="X58" s="4" t="s">
        <v>602</v>
      </c>
      <c r="Y58" s="4" t="s">
        <v>312</v>
      </c>
      <c r="Z58" s="2" t="s">
        <v>1083</v>
      </c>
      <c r="AA58" s="2" t="s">
        <v>3191</v>
      </c>
      <c r="AB58" s="2" t="s">
        <v>1558</v>
      </c>
      <c r="AC58" s="2" t="s">
        <v>3299</v>
      </c>
      <c r="AD58" s="149">
        <v>705887.52</v>
      </c>
      <c r="AE58" s="149">
        <v>1</v>
      </c>
      <c r="AF58" s="149">
        <v>143</v>
      </c>
      <c r="AG58" s="149">
        <v>1009.419</v>
      </c>
      <c r="AJ58" s="2" t="s">
        <v>37</v>
      </c>
      <c r="AK58" s="164">
        <v>2.81761804699046E-2</v>
      </c>
      <c r="AL58" s="164">
        <v>5.4881411972555196E-4</v>
      </c>
    </row>
    <row r="59" spans="1:38">
      <c r="A59" s="2" t="s">
        <v>256</v>
      </c>
      <c r="B59" s="2">
        <v>7205</v>
      </c>
      <c r="C59" s="2" t="s">
        <v>3300</v>
      </c>
      <c r="D59" s="2" t="s">
        <v>3301</v>
      </c>
      <c r="E59" s="4" t="s">
        <v>1552</v>
      </c>
      <c r="F59" s="2" t="s">
        <v>3302</v>
      </c>
      <c r="G59" s="2" t="s">
        <v>3303</v>
      </c>
      <c r="H59" s="2" t="s">
        <v>511</v>
      </c>
      <c r="I59" s="2" t="s">
        <v>342</v>
      </c>
      <c r="J59" s="2" t="s">
        <v>31</v>
      </c>
      <c r="K59" s="2" t="s">
        <v>31</v>
      </c>
      <c r="L59" s="4" t="s">
        <v>342</v>
      </c>
      <c r="M59" s="2" t="s">
        <v>648</v>
      </c>
      <c r="N59" s="2" t="s">
        <v>312</v>
      </c>
      <c r="O59" s="2" t="s">
        <v>3304</v>
      </c>
      <c r="P59" s="2" t="s">
        <v>2165</v>
      </c>
      <c r="Q59" s="2" t="s">
        <v>342</v>
      </c>
      <c r="R59" s="2" t="s">
        <v>598</v>
      </c>
      <c r="S59" s="2" t="s">
        <v>35</v>
      </c>
      <c r="T59" s="149">
        <v>0.01</v>
      </c>
      <c r="U59" s="2" t="s">
        <v>3305</v>
      </c>
      <c r="V59" s="164">
        <v>1E-4</v>
      </c>
      <c r="W59" s="164">
        <v>7.0000000000000007E-2</v>
      </c>
      <c r="X59" s="4" t="s">
        <v>602</v>
      </c>
      <c r="Y59" s="4" t="s">
        <v>530</v>
      </c>
      <c r="Z59" s="2" t="s">
        <v>1081</v>
      </c>
      <c r="AA59" s="2" t="s">
        <v>1085</v>
      </c>
      <c r="AB59" s="2" t="s">
        <v>3306</v>
      </c>
      <c r="AD59" s="149">
        <v>116243.8</v>
      </c>
      <c r="AE59" s="149">
        <v>1</v>
      </c>
      <c r="AF59" s="149">
        <v>0</v>
      </c>
      <c r="AG59" s="149">
        <v>0</v>
      </c>
      <c r="AJ59" s="2" t="s">
        <v>37</v>
      </c>
      <c r="AK59" s="164">
        <v>3.2447435494228694E-11</v>
      </c>
      <c r="AL59" s="164">
        <v>6.3200939414543303E-13</v>
      </c>
    </row>
    <row r="60" spans="1:38">
      <c r="A60" s="2" t="s">
        <v>256</v>
      </c>
      <c r="B60" s="2">
        <v>7205</v>
      </c>
      <c r="C60" s="2" t="s">
        <v>3307</v>
      </c>
      <c r="D60" s="2" t="s">
        <v>3308</v>
      </c>
      <c r="E60" s="4" t="s">
        <v>1552</v>
      </c>
      <c r="F60" s="2" t="s">
        <v>3309</v>
      </c>
      <c r="G60" s="2" t="s">
        <v>3310</v>
      </c>
      <c r="H60" s="2" t="s">
        <v>511</v>
      </c>
      <c r="I60" s="2" t="s">
        <v>342</v>
      </c>
      <c r="J60" s="2" t="s">
        <v>31</v>
      </c>
      <c r="K60" s="2" t="s">
        <v>31</v>
      </c>
      <c r="L60" s="4" t="s">
        <v>342</v>
      </c>
      <c r="M60" s="2" t="s">
        <v>666</v>
      </c>
      <c r="N60" s="2" t="s">
        <v>312</v>
      </c>
      <c r="O60" s="2" t="s">
        <v>341</v>
      </c>
      <c r="P60" s="2" t="s">
        <v>3311</v>
      </c>
      <c r="Q60" s="2" t="s">
        <v>358</v>
      </c>
      <c r="R60" s="2" t="s">
        <v>596</v>
      </c>
      <c r="S60" s="2" t="s">
        <v>35</v>
      </c>
      <c r="T60" s="149">
        <v>0</v>
      </c>
      <c r="U60" s="2" t="s">
        <v>3312</v>
      </c>
      <c r="V60" s="164">
        <v>0</v>
      </c>
      <c r="W60" s="164">
        <v>7.3999999999999996E-2</v>
      </c>
      <c r="X60" s="4" t="s">
        <v>602</v>
      </c>
      <c r="Y60" s="4" t="s">
        <v>530</v>
      </c>
      <c r="Z60" s="2" t="s">
        <v>1081</v>
      </c>
      <c r="AA60" s="2" t="s">
        <v>1085</v>
      </c>
      <c r="AD60" s="149">
        <v>66209</v>
      </c>
      <c r="AE60" s="149">
        <v>1</v>
      </c>
      <c r="AF60" s="149">
        <v>0</v>
      </c>
      <c r="AG60" s="149">
        <v>0</v>
      </c>
      <c r="AJ60" s="2" t="s">
        <v>37</v>
      </c>
      <c r="AK60" s="164">
        <v>0</v>
      </c>
      <c r="AL60" s="164">
        <v>0</v>
      </c>
    </row>
    <row r="61" spans="1:38">
      <c r="A61" s="2" t="s">
        <v>256</v>
      </c>
      <c r="B61" s="2">
        <v>7205</v>
      </c>
      <c r="C61" s="2" t="s">
        <v>3307</v>
      </c>
      <c r="D61" s="2" t="s">
        <v>3308</v>
      </c>
      <c r="E61" s="4" t="s">
        <v>1552</v>
      </c>
      <c r="F61" s="2" t="s">
        <v>3313</v>
      </c>
      <c r="G61" s="2" t="s">
        <v>3310</v>
      </c>
      <c r="H61" s="2" t="s">
        <v>511</v>
      </c>
      <c r="I61" s="2" t="s">
        <v>342</v>
      </c>
      <c r="J61" s="2" t="s">
        <v>31</v>
      </c>
      <c r="K61" s="2" t="s">
        <v>31</v>
      </c>
      <c r="L61" s="4" t="s">
        <v>342</v>
      </c>
      <c r="M61" s="2" t="s">
        <v>666</v>
      </c>
      <c r="N61" s="2" t="s">
        <v>312</v>
      </c>
      <c r="O61" s="2" t="s">
        <v>3314</v>
      </c>
      <c r="P61" s="2" t="s">
        <v>3311</v>
      </c>
      <c r="Q61" s="2" t="s">
        <v>358</v>
      </c>
      <c r="R61" s="2" t="s">
        <v>596</v>
      </c>
      <c r="S61" s="2" t="s">
        <v>35</v>
      </c>
      <c r="T61" s="149">
        <v>0.01</v>
      </c>
      <c r="U61" s="2" t="s">
        <v>3312</v>
      </c>
      <c r="V61" s="164">
        <v>1E-4</v>
      </c>
      <c r="W61" s="164">
        <v>7.3999999999999996E-2</v>
      </c>
      <c r="X61" s="4" t="s">
        <v>601</v>
      </c>
      <c r="Y61" s="4" t="s">
        <v>530</v>
      </c>
      <c r="Z61" s="2" t="s">
        <v>342</v>
      </c>
      <c r="AA61" s="2" t="s">
        <v>1085</v>
      </c>
      <c r="AB61" s="2" t="s">
        <v>3315</v>
      </c>
      <c r="AD61" s="149">
        <v>188463.71</v>
      </c>
      <c r="AE61" s="149">
        <v>1</v>
      </c>
      <c r="AF61" s="149">
        <v>0</v>
      </c>
      <c r="AG61" s="149">
        <v>0</v>
      </c>
      <c r="AJ61" s="2" t="s">
        <v>37</v>
      </c>
      <c r="AK61" s="164">
        <v>5.2606367593179406E-9</v>
      </c>
      <c r="AL61" s="164">
        <v>1.02466398358881E-10</v>
      </c>
    </row>
    <row r="62" spans="1:38">
      <c r="A62" s="2" t="s">
        <v>256</v>
      </c>
      <c r="B62" s="2">
        <v>7205</v>
      </c>
      <c r="C62" s="2" t="s">
        <v>3316</v>
      </c>
      <c r="D62" s="2" t="s">
        <v>3317</v>
      </c>
      <c r="E62" s="4" t="s">
        <v>1552</v>
      </c>
      <c r="F62" s="2" t="s">
        <v>3318</v>
      </c>
      <c r="G62" s="2" t="s">
        <v>3319</v>
      </c>
      <c r="H62" s="2" t="s">
        <v>511</v>
      </c>
      <c r="I62" s="2" t="s">
        <v>945</v>
      </c>
      <c r="J62" s="2" t="s">
        <v>31</v>
      </c>
      <c r="K62" s="2" t="s">
        <v>31</v>
      </c>
      <c r="L62" s="4" t="s">
        <v>342</v>
      </c>
      <c r="M62" s="2" t="s">
        <v>342</v>
      </c>
      <c r="N62" s="2" t="s">
        <v>312</v>
      </c>
      <c r="O62" s="2" t="s">
        <v>3250</v>
      </c>
      <c r="P62" s="2" t="s">
        <v>3311</v>
      </c>
      <c r="Q62" s="2" t="s">
        <v>621</v>
      </c>
      <c r="R62" s="2" t="s">
        <v>596</v>
      </c>
      <c r="S62" s="2" t="s">
        <v>35</v>
      </c>
      <c r="T62" s="149">
        <v>0</v>
      </c>
      <c r="U62" s="2" t="s">
        <v>3305</v>
      </c>
      <c r="V62" s="164">
        <v>0</v>
      </c>
      <c r="W62" s="164">
        <v>5.5E-2</v>
      </c>
      <c r="X62" s="4" t="s">
        <v>602</v>
      </c>
      <c r="Y62" s="4" t="s">
        <v>312</v>
      </c>
      <c r="Z62" s="2" t="s">
        <v>1081</v>
      </c>
      <c r="AA62" s="2" t="s">
        <v>1085</v>
      </c>
      <c r="AB62" s="2" t="s">
        <v>3320</v>
      </c>
      <c r="AD62" s="149">
        <v>3734.39</v>
      </c>
      <c r="AE62" s="149">
        <v>1</v>
      </c>
      <c r="AF62" s="149">
        <v>190</v>
      </c>
      <c r="AG62" s="149">
        <v>7.0949999999999998</v>
      </c>
      <c r="AJ62" s="2" t="s">
        <v>37</v>
      </c>
      <c r="AK62" s="164">
        <v>1.9805410646164001E-4</v>
      </c>
      <c r="AL62" s="164">
        <v>3.8576871770066398E-6</v>
      </c>
    </row>
    <row r="63" spans="1:38">
      <c r="A63" s="2" t="s">
        <v>256</v>
      </c>
      <c r="B63" s="2">
        <v>7205</v>
      </c>
      <c r="C63" s="2" t="s">
        <v>3316</v>
      </c>
      <c r="D63" s="2" t="s">
        <v>3317</v>
      </c>
      <c r="E63" s="4" t="s">
        <v>1552</v>
      </c>
      <c r="F63" s="2" t="s">
        <v>3343</v>
      </c>
      <c r="G63" s="2" t="s">
        <v>3344</v>
      </c>
      <c r="H63" s="2" t="s">
        <v>511</v>
      </c>
      <c r="I63" s="2" t="s">
        <v>342</v>
      </c>
      <c r="J63" s="2" t="s">
        <v>31</v>
      </c>
      <c r="K63" s="2" t="s">
        <v>31</v>
      </c>
      <c r="L63" s="4" t="s">
        <v>342</v>
      </c>
      <c r="M63" s="2" t="s">
        <v>342</v>
      </c>
      <c r="N63" s="2" t="s">
        <v>312</v>
      </c>
      <c r="O63" s="2" t="s">
        <v>341</v>
      </c>
      <c r="P63" s="2" t="s">
        <v>3311</v>
      </c>
      <c r="Q63" s="2" t="s">
        <v>358</v>
      </c>
      <c r="R63" s="2" t="s">
        <v>598</v>
      </c>
      <c r="S63" s="2" t="s">
        <v>35</v>
      </c>
      <c r="T63" s="149">
        <v>0</v>
      </c>
      <c r="U63" s="2" t="s">
        <v>3207</v>
      </c>
      <c r="V63" s="164">
        <v>0</v>
      </c>
      <c r="W63" s="164">
        <v>8.5000000000000006E-2</v>
      </c>
      <c r="X63" s="4" t="s">
        <v>602</v>
      </c>
      <c r="Y63" s="4" t="s">
        <v>530</v>
      </c>
      <c r="Z63" s="2" t="s">
        <v>342</v>
      </c>
      <c r="AA63" s="2" t="s">
        <v>1085</v>
      </c>
      <c r="AB63" s="2" t="s">
        <v>3320</v>
      </c>
      <c r="AD63" s="149">
        <v>899.92</v>
      </c>
      <c r="AE63" s="149">
        <v>1</v>
      </c>
      <c r="AF63" s="149">
        <v>166</v>
      </c>
      <c r="AG63" s="149">
        <v>1.494</v>
      </c>
      <c r="AJ63" s="2" t="s">
        <v>37</v>
      </c>
      <c r="AK63" s="164">
        <v>4.1698705314988E-5</v>
      </c>
      <c r="AL63" s="164">
        <v>8.1220512750420599E-7</v>
      </c>
    </row>
    <row r="64" spans="1:38">
      <c r="A64" s="2" t="s">
        <v>256</v>
      </c>
      <c r="B64" s="2">
        <v>7205</v>
      </c>
      <c r="C64" s="2" t="s">
        <v>3316</v>
      </c>
      <c r="D64" s="2" t="s">
        <v>3317</v>
      </c>
      <c r="E64" s="4" t="s">
        <v>1552</v>
      </c>
      <c r="F64" s="2" t="s">
        <v>3345</v>
      </c>
      <c r="G64" s="2" t="s">
        <v>3346</v>
      </c>
      <c r="H64" s="2" t="s">
        <v>34</v>
      </c>
      <c r="I64" s="2" t="s">
        <v>1154</v>
      </c>
      <c r="J64" s="2" t="s">
        <v>31</v>
      </c>
      <c r="K64" s="2" t="s">
        <v>31</v>
      </c>
      <c r="L64" s="4" t="s">
        <v>342</v>
      </c>
      <c r="M64" s="2" t="s">
        <v>639</v>
      </c>
      <c r="N64" s="2" t="s">
        <v>312</v>
      </c>
      <c r="O64" s="2" t="s">
        <v>3275</v>
      </c>
      <c r="P64" s="2" t="s">
        <v>3311</v>
      </c>
      <c r="Q64" s="2" t="s">
        <v>358</v>
      </c>
      <c r="R64" s="2" t="s">
        <v>598</v>
      </c>
      <c r="S64" s="2" t="s">
        <v>35</v>
      </c>
      <c r="T64" s="149">
        <v>0</v>
      </c>
      <c r="U64" s="2" t="s">
        <v>3347</v>
      </c>
      <c r="V64" s="164">
        <v>0</v>
      </c>
      <c r="W64" s="164">
        <v>8.5000000000000006E-2</v>
      </c>
      <c r="X64" s="4" t="s">
        <v>602</v>
      </c>
      <c r="Y64" s="4" t="s">
        <v>530</v>
      </c>
      <c r="Z64" s="2" t="s">
        <v>342</v>
      </c>
      <c r="AA64" s="2" t="s">
        <v>1085</v>
      </c>
      <c r="AB64" s="2" t="s">
        <v>3320</v>
      </c>
      <c r="AD64" s="149">
        <v>449.95</v>
      </c>
      <c r="AE64" s="149">
        <v>1</v>
      </c>
      <c r="AF64" s="149">
        <v>166</v>
      </c>
      <c r="AG64" s="149">
        <v>0.747</v>
      </c>
      <c r="AJ64" s="2" t="s">
        <v>37</v>
      </c>
      <c r="AK64" s="164">
        <v>2.0848889297358502E-5</v>
      </c>
      <c r="AL64" s="164">
        <v>4.0609353844843701E-7</v>
      </c>
    </row>
    <row r="65" spans="1:38">
      <c r="A65" s="2" t="s">
        <v>256</v>
      </c>
      <c r="B65" s="2">
        <v>7205</v>
      </c>
      <c r="C65" s="2" t="s">
        <v>3321</v>
      </c>
      <c r="D65" s="2" t="s">
        <v>3322</v>
      </c>
      <c r="E65" s="4" t="s">
        <v>1552</v>
      </c>
      <c r="F65" s="2" t="s">
        <v>3323</v>
      </c>
      <c r="G65" s="2" t="s">
        <v>3324</v>
      </c>
      <c r="H65" s="2" t="s">
        <v>511</v>
      </c>
      <c r="I65" s="2" t="s">
        <v>1154</v>
      </c>
      <c r="J65" s="2" t="s">
        <v>31</v>
      </c>
      <c r="K65" s="2" t="s">
        <v>31</v>
      </c>
      <c r="L65" s="4" t="s">
        <v>342</v>
      </c>
      <c r="M65" s="2" t="s">
        <v>634</v>
      </c>
      <c r="N65" s="2" t="s">
        <v>312</v>
      </c>
      <c r="O65" s="2" t="s">
        <v>3325</v>
      </c>
      <c r="P65" s="2" t="s">
        <v>157</v>
      </c>
      <c r="Q65" s="2" t="s">
        <v>604</v>
      </c>
      <c r="R65" s="2" t="s">
        <v>596</v>
      </c>
      <c r="S65" s="2" t="s">
        <v>35</v>
      </c>
      <c r="T65" s="149">
        <v>1.18</v>
      </c>
      <c r="U65" s="2" t="s">
        <v>3006</v>
      </c>
      <c r="V65" s="164">
        <v>5.0270000000000002E-2</v>
      </c>
      <c r="W65" s="164">
        <v>2.5000000000000001E-2</v>
      </c>
      <c r="X65" s="4" t="s">
        <v>602</v>
      </c>
      <c r="Y65" s="4" t="s">
        <v>312</v>
      </c>
      <c r="Z65" s="2" t="s">
        <v>1083</v>
      </c>
      <c r="AA65" s="2" t="s">
        <v>3191</v>
      </c>
      <c r="AB65" s="2" t="s">
        <v>1558</v>
      </c>
      <c r="AD65" s="149">
        <v>947402.69</v>
      </c>
      <c r="AE65" s="149">
        <v>1</v>
      </c>
      <c r="AF65" s="149">
        <v>97.89</v>
      </c>
      <c r="AG65" s="149">
        <v>927.41200000000003</v>
      </c>
      <c r="AJ65" s="2" t="s">
        <v>37</v>
      </c>
      <c r="AK65" s="164">
        <v>2.5887107141180098E-2</v>
      </c>
      <c r="AL65" s="164">
        <v>5.0422767319732297E-4</v>
      </c>
    </row>
    <row r="66" spans="1:38">
      <c r="A66" s="2" t="s">
        <v>256</v>
      </c>
      <c r="B66" s="2">
        <v>7205</v>
      </c>
      <c r="C66" s="2" t="s">
        <v>3321</v>
      </c>
      <c r="D66" s="2" t="s">
        <v>3322</v>
      </c>
      <c r="E66" s="4" t="s">
        <v>1552</v>
      </c>
      <c r="F66" s="2" t="s">
        <v>3326</v>
      </c>
      <c r="G66" s="2" t="s">
        <v>3327</v>
      </c>
      <c r="H66" s="2" t="s">
        <v>511</v>
      </c>
      <c r="I66" s="2" t="s">
        <v>1154</v>
      </c>
      <c r="J66" s="2" t="s">
        <v>31</v>
      </c>
      <c r="K66" s="2" t="s">
        <v>31</v>
      </c>
      <c r="L66" s="4" t="s">
        <v>342</v>
      </c>
      <c r="M66" s="2" t="s">
        <v>634</v>
      </c>
      <c r="N66" s="2" t="s">
        <v>312</v>
      </c>
      <c r="O66" s="2" t="s">
        <v>3325</v>
      </c>
      <c r="P66" s="2" t="s">
        <v>157</v>
      </c>
      <c r="Q66" s="2" t="s">
        <v>604</v>
      </c>
      <c r="R66" s="2" t="s">
        <v>596</v>
      </c>
      <c r="S66" s="2" t="s">
        <v>35</v>
      </c>
      <c r="T66" s="149">
        <v>4.41</v>
      </c>
      <c r="U66" s="2" t="s">
        <v>3328</v>
      </c>
      <c r="V66" s="164">
        <v>5.6919999999999998E-2</v>
      </c>
      <c r="W66" s="164">
        <v>3.7400000000000003E-2</v>
      </c>
      <c r="X66" s="4" t="s">
        <v>602</v>
      </c>
      <c r="Y66" s="4" t="s">
        <v>312</v>
      </c>
      <c r="Z66" s="2" t="s">
        <v>1083</v>
      </c>
      <c r="AA66" s="2" t="s">
        <v>3191</v>
      </c>
      <c r="AB66" s="2" t="s">
        <v>1558</v>
      </c>
      <c r="AD66" s="149">
        <v>1862686.95</v>
      </c>
      <c r="AE66" s="149">
        <v>1</v>
      </c>
      <c r="AF66" s="149">
        <v>93.08</v>
      </c>
      <c r="AG66" s="149">
        <v>1733.789</v>
      </c>
      <c r="AJ66" s="2" t="s">
        <v>37</v>
      </c>
      <c r="AK66" s="164">
        <v>4.8395705544611201E-2</v>
      </c>
      <c r="AL66" s="164">
        <v>9.4264893587448005E-4</v>
      </c>
    </row>
    <row r="67" spans="1:38">
      <c r="A67" s="2" t="s">
        <v>256</v>
      </c>
      <c r="B67" s="2">
        <v>7205</v>
      </c>
      <c r="C67" s="2" t="s">
        <v>3329</v>
      </c>
      <c r="D67" s="2" t="s">
        <v>3330</v>
      </c>
      <c r="E67" s="4" t="s">
        <v>1552</v>
      </c>
      <c r="F67" s="2" t="s">
        <v>3331</v>
      </c>
      <c r="G67" s="2" t="s">
        <v>3332</v>
      </c>
      <c r="H67" s="2" t="s">
        <v>511</v>
      </c>
      <c r="I67" s="2" t="s">
        <v>945</v>
      </c>
      <c r="J67" s="2" t="s">
        <v>31</v>
      </c>
      <c r="K67" s="2" t="s">
        <v>31</v>
      </c>
      <c r="L67" s="4" t="s">
        <v>342</v>
      </c>
      <c r="M67" s="2" t="s">
        <v>666</v>
      </c>
      <c r="N67" s="2" t="s">
        <v>312</v>
      </c>
      <c r="O67" s="2" t="s">
        <v>341</v>
      </c>
      <c r="P67" s="2" t="s">
        <v>157</v>
      </c>
      <c r="Q67" s="2" t="s">
        <v>604</v>
      </c>
      <c r="R67" s="2" t="s">
        <v>596</v>
      </c>
      <c r="S67" s="2" t="s">
        <v>35</v>
      </c>
      <c r="T67" s="149">
        <v>4.1100000000000003</v>
      </c>
      <c r="U67" s="2" t="s">
        <v>2524</v>
      </c>
      <c r="V67" s="164">
        <v>3.1910000000000001E-2</v>
      </c>
      <c r="W67" s="164">
        <v>1.55E-2</v>
      </c>
      <c r="X67" s="4" t="s">
        <v>602</v>
      </c>
      <c r="Y67" s="4" t="s">
        <v>312</v>
      </c>
      <c r="Z67" s="2" t="s">
        <v>1083</v>
      </c>
      <c r="AA67" s="2" t="s">
        <v>1086</v>
      </c>
      <c r="AB67" s="2" t="s">
        <v>1558</v>
      </c>
      <c r="AD67" s="149">
        <v>3662104.65</v>
      </c>
      <c r="AE67" s="149">
        <v>1</v>
      </c>
      <c r="AF67" s="149">
        <v>100.61</v>
      </c>
      <c r="AG67" s="149">
        <v>3684.4430000000002</v>
      </c>
      <c r="AJ67" s="2" t="s">
        <v>37</v>
      </c>
      <c r="AK67" s="164">
        <v>0.10284483337679499</v>
      </c>
      <c r="AL67" s="164">
        <v>2.00320610376179E-3</v>
      </c>
    </row>
    <row r="68" spans="1:38">
      <c r="A68" s="2" t="s">
        <v>256</v>
      </c>
      <c r="B68" s="2">
        <v>7205</v>
      </c>
      <c r="C68" s="2" t="s">
        <v>3329</v>
      </c>
      <c r="D68" s="2" t="s">
        <v>3330</v>
      </c>
      <c r="E68" s="4" t="s">
        <v>1552</v>
      </c>
      <c r="F68" s="2" t="s">
        <v>3333</v>
      </c>
      <c r="G68" s="2" t="s">
        <v>3334</v>
      </c>
      <c r="H68" s="2" t="s">
        <v>511</v>
      </c>
      <c r="I68" s="2" t="s">
        <v>945</v>
      </c>
      <c r="J68" s="2" t="s">
        <v>31</v>
      </c>
      <c r="K68" s="2" t="s">
        <v>31</v>
      </c>
      <c r="L68" s="4" t="s">
        <v>342</v>
      </c>
      <c r="M68" s="2" t="s">
        <v>666</v>
      </c>
      <c r="N68" s="2" t="s">
        <v>312</v>
      </c>
      <c r="O68" s="2" t="s">
        <v>341</v>
      </c>
      <c r="P68" s="2" t="s">
        <v>157</v>
      </c>
      <c r="Q68" s="2" t="s">
        <v>604</v>
      </c>
      <c r="R68" s="2" t="s">
        <v>596</v>
      </c>
      <c r="S68" s="2" t="s">
        <v>35</v>
      </c>
      <c r="T68" s="149">
        <v>6.83</v>
      </c>
      <c r="U68" s="2" t="s">
        <v>3335</v>
      </c>
      <c r="V68" s="164">
        <v>3.4200000000000001E-2</v>
      </c>
      <c r="W68" s="164">
        <v>1.7500000000000002E-2</v>
      </c>
      <c r="X68" s="4" t="s">
        <v>602</v>
      </c>
      <c r="Y68" s="4" t="s">
        <v>312</v>
      </c>
      <c r="Z68" s="2" t="s">
        <v>1083</v>
      </c>
      <c r="AA68" s="2" t="s">
        <v>1086</v>
      </c>
      <c r="AB68" s="2" t="s">
        <v>1558</v>
      </c>
      <c r="AD68" s="149">
        <v>1121000</v>
      </c>
      <c r="AE68" s="149">
        <v>1</v>
      </c>
      <c r="AF68" s="149">
        <v>96.05</v>
      </c>
      <c r="AG68" s="149">
        <v>1076.72</v>
      </c>
      <c r="AJ68" s="2" t="s">
        <v>37</v>
      </c>
      <c r="AK68" s="164">
        <v>3.0054780529424899E-2</v>
      </c>
      <c r="AL68" s="164">
        <v>5.8540539011024001E-4</v>
      </c>
    </row>
    <row r="69" spans="1:38">
      <c r="A69" s="2" t="s">
        <v>256</v>
      </c>
      <c r="B69" s="2">
        <v>7205</v>
      </c>
      <c r="C69" s="2" t="s">
        <v>3336</v>
      </c>
      <c r="D69" s="2" t="s">
        <v>3337</v>
      </c>
      <c r="E69" s="4" t="s">
        <v>1552</v>
      </c>
      <c r="F69" s="2" t="s">
        <v>3338</v>
      </c>
      <c r="G69" s="2" t="s">
        <v>3339</v>
      </c>
      <c r="H69" s="2" t="s">
        <v>511</v>
      </c>
      <c r="I69" s="2" t="s">
        <v>945</v>
      </c>
      <c r="J69" s="2" t="s">
        <v>31</v>
      </c>
      <c r="K69" s="2" t="s">
        <v>31</v>
      </c>
      <c r="L69" s="4" t="s">
        <v>342</v>
      </c>
      <c r="M69" s="2" t="s">
        <v>628</v>
      </c>
      <c r="N69" s="2" t="s">
        <v>312</v>
      </c>
      <c r="O69" s="2" t="s">
        <v>3340</v>
      </c>
      <c r="P69" s="2" t="s">
        <v>357</v>
      </c>
      <c r="Q69" s="2" t="s">
        <v>621</v>
      </c>
      <c r="R69" s="2" t="s">
        <v>596</v>
      </c>
      <c r="S69" s="2" t="s">
        <v>35</v>
      </c>
      <c r="T69" s="149">
        <v>7.61</v>
      </c>
      <c r="U69" s="2" t="s">
        <v>3341</v>
      </c>
      <c r="V69" s="164">
        <v>3.209E-2</v>
      </c>
      <c r="W69" s="164">
        <v>8.3000000000000001E-3</v>
      </c>
      <c r="X69" s="4" t="s">
        <v>602</v>
      </c>
      <c r="Y69" s="4" t="s">
        <v>312</v>
      </c>
      <c r="Z69" s="2" t="s">
        <v>1083</v>
      </c>
      <c r="AA69" s="2" t="s">
        <v>1086</v>
      </c>
      <c r="AB69" s="2" t="s">
        <v>1558</v>
      </c>
      <c r="AD69" s="149">
        <v>1386760.71</v>
      </c>
      <c r="AE69" s="149">
        <v>1</v>
      </c>
      <c r="AF69" s="149">
        <v>94.68</v>
      </c>
      <c r="AG69" s="149">
        <v>1312.9849999999999</v>
      </c>
      <c r="AJ69" s="2" t="s">
        <v>37</v>
      </c>
      <c r="AK69" s="164">
        <v>3.6649694347298797E-2</v>
      </c>
      <c r="AL69" s="164">
        <v>7.1386076487220396E-4</v>
      </c>
    </row>
    <row r="70" spans="1:38">
      <c r="A70" s="2" t="s">
        <v>256</v>
      </c>
      <c r="B70" s="2">
        <v>7205</v>
      </c>
      <c r="C70" s="2" t="s">
        <v>3192</v>
      </c>
      <c r="D70" s="2" t="s">
        <v>3193</v>
      </c>
      <c r="E70" s="4" t="s">
        <v>1552</v>
      </c>
      <c r="F70" s="2" t="s">
        <v>3194</v>
      </c>
      <c r="G70" s="2" t="s">
        <v>3195</v>
      </c>
      <c r="H70" s="2" t="s">
        <v>511</v>
      </c>
      <c r="I70" s="2" t="s">
        <v>364</v>
      </c>
      <c r="J70" s="2" t="s">
        <v>31</v>
      </c>
      <c r="K70" s="2" t="s">
        <v>31</v>
      </c>
      <c r="L70" s="4" t="s">
        <v>342</v>
      </c>
      <c r="M70" s="2" t="s">
        <v>675</v>
      </c>
      <c r="N70" s="2" t="s">
        <v>312</v>
      </c>
      <c r="O70" s="2" t="s">
        <v>3196</v>
      </c>
      <c r="P70" s="2" t="s">
        <v>2814</v>
      </c>
      <c r="Q70" s="2" t="s">
        <v>621</v>
      </c>
      <c r="R70" s="2" t="s">
        <v>596</v>
      </c>
      <c r="S70" s="2" t="s">
        <v>159</v>
      </c>
      <c r="T70" s="149">
        <v>6.24</v>
      </c>
      <c r="U70" s="2" t="s">
        <v>2322</v>
      </c>
      <c r="V70" s="164">
        <v>8.7040000000000006E-2</v>
      </c>
      <c r="W70" s="164">
        <v>8.5000000000000006E-2</v>
      </c>
      <c r="X70" s="4" t="s">
        <v>602</v>
      </c>
      <c r="Y70" s="4" t="s">
        <v>312</v>
      </c>
      <c r="Z70" s="2" t="s">
        <v>342</v>
      </c>
      <c r="AA70" s="2" t="s">
        <v>1086</v>
      </c>
      <c r="AB70" s="2" t="s">
        <v>1558</v>
      </c>
      <c r="AD70" s="149">
        <v>198000</v>
      </c>
      <c r="AE70" s="149">
        <v>3.7589999999999999</v>
      </c>
      <c r="AF70" s="149">
        <v>96.798000000000002</v>
      </c>
      <c r="AG70" s="149">
        <v>720.452</v>
      </c>
      <c r="AJ70" s="2" t="s">
        <v>37</v>
      </c>
      <c r="AK70" s="164">
        <v>2.01101577034885E-2</v>
      </c>
      <c r="AL70" s="164">
        <v>3.9170456440576099E-4</v>
      </c>
    </row>
    <row r="71" spans="1:38">
      <c r="A71" s="2" t="s">
        <v>256</v>
      </c>
      <c r="B71" s="2">
        <v>7206</v>
      </c>
      <c r="C71" s="2" t="s">
        <v>3182</v>
      </c>
      <c r="D71" s="2" t="s">
        <v>3183</v>
      </c>
      <c r="E71" s="4" t="s">
        <v>1552</v>
      </c>
      <c r="F71" s="2" t="s">
        <v>3184</v>
      </c>
      <c r="G71" s="2" t="s">
        <v>3185</v>
      </c>
      <c r="H71" s="2" t="s">
        <v>511</v>
      </c>
      <c r="I71" s="2" t="s">
        <v>945</v>
      </c>
      <c r="J71" s="2" t="s">
        <v>31</v>
      </c>
      <c r="K71" s="2" t="s">
        <v>31</v>
      </c>
      <c r="L71" s="4" t="s">
        <v>342</v>
      </c>
      <c r="M71" s="2" t="s">
        <v>666</v>
      </c>
      <c r="N71" s="2" t="s">
        <v>312</v>
      </c>
      <c r="O71" s="2" t="s">
        <v>3186</v>
      </c>
      <c r="P71" s="2" t="s">
        <v>2394</v>
      </c>
      <c r="Q71" s="2" t="s">
        <v>358</v>
      </c>
      <c r="R71" s="2" t="s">
        <v>596</v>
      </c>
      <c r="S71" s="2" t="s">
        <v>35</v>
      </c>
      <c r="T71" s="149">
        <v>3.01</v>
      </c>
      <c r="U71" s="2" t="s">
        <v>2376</v>
      </c>
      <c r="V71" s="164">
        <v>3.4360000000000002E-2</v>
      </c>
      <c r="W71" s="164">
        <v>3.6400000000000002E-2</v>
      </c>
      <c r="X71" s="4" t="s">
        <v>602</v>
      </c>
      <c r="Y71" s="4" t="s">
        <v>312</v>
      </c>
      <c r="Z71" s="2" t="s">
        <v>1083</v>
      </c>
      <c r="AA71" s="2" t="s">
        <v>1086</v>
      </c>
      <c r="AB71" s="2" t="s">
        <v>1558</v>
      </c>
      <c r="AD71" s="149">
        <v>40000</v>
      </c>
      <c r="AE71" s="149">
        <v>1</v>
      </c>
      <c r="AF71" s="149">
        <v>103.18</v>
      </c>
      <c r="AG71" s="149">
        <v>41.271999999999998</v>
      </c>
      <c r="AJ71" s="2" t="s">
        <v>37</v>
      </c>
      <c r="AK71" s="164">
        <v>6.8517900910516502E-2</v>
      </c>
      <c r="AL71" s="164">
        <v>6.1628913256838304E-4</v>
      </c>
    </row>
    <row r="72" spans="1:38">
      <c r="A72" s="2" t="s">
        <v>256</v>
      </c>
      <c r="B72" s="2">
        <v>7206</v>
      </c>
      <c r="C72" s="2" t="s">
        <v>3197</v>
      </c>
      <c r="D72" s="2" t="s">
        <v>3198</v>
      </c>
      <c r="E72" s="4" t="s">
        <v>34</v>
      </c>
      <c r="F72" s="2" t="s">
        <v>3199</v>
      </c>
      <c r="G72" s="2" t="s">
        <v>3200</v>
      </c>
      <c r="H72" s="2" t="s">
        <v>511</v>
      </c>
      <c r="I72" s="2" t="s">
        <v>1154</v>
      </c>
      <c r="J72" s="2" t="s">
        <v>31</v>
      </c>
      <c r="K72" s="2" t="s">
        <v>475</v>
      </c>
      <c r="L72" s="4" t="s">
        <v>342</v>
      </c>
      <c r="M72" s="2" t="s">
        <v>342</v>
      </c>
      <c r="N72" s="2" t="s">
        <v>312</v>
      </c>
      <c r="O72" s="2" t="s">
        <v>341</v>
      </c>
      <c r="P72" s="2" t="s">
        <v>2165</v>
      </c>
      <c r="Q72" s="2" t="s">
        <v>342</v>
      </c>
      <c r="R72" s="2" t="s">
        <v>596</v>
      </c>
      <c r="S72" s="2" t="s">
        <v>35</v>
      </c>
      <c r="T72" s="149">
        <v>0</v>
      </c>
      <c r="U72" s="2" t="s">
        <v>2162</v>
      </c>
      <c r="V72" s="164">
        <v>0</v>
      </c>
      <c r="W72" s="164">
        <v>8.1500000000000003E-2</v>
      </c>
      <c r="X72" s="4" t="s">
        <v>602</v>
      </c>
      <c r="Y72" s="4" t="s">
        <v>530</v>
      </c>
      <c r="Z72" s="2" t="s">
        <v>342</v>
      </c>
      <c r="AB72" s="2" t="s">
        <v>3201</v>
      </c>
      <c r="AD72" s="149">
        <v>210</v>
      </c>
      <c r="AE72" s="149">
        <v>1</v>
      </c>
      <c r="AF72" s="149">
        <v>201</v>
      </c>
      <c r="AG72" s="149">
        <v>0.42199999999999999</v>
      </c>
      <c r="AJ72" s="2" t="s">
        <v>37</v>
      </c>
      <c r="AK72" s="164">
        <v>7.007512593121E-4</v>
      </c>
      <c r="AL72" s="164">
        <v>6.3029570376311797E-6</v>
      </c>
    </row>
    <row r="73" spans="1:38">
      <c r="A73" s="2" t="s">
        <v>256</v>
      </c>
      <c r="B73" s="2">
        <v>7206</v>
      </c>
      <c r="C73" s="2" t="s">
        <v>3209</v>
      </c>
      <c r="D73" s="2" t="s">
        <v>3210</v>
      </c>
      <c r="E73" s="4" t="s">
        <v>505</v>
      </c>
      <c r="F73" s="2" t="s">
        <v>3211</v>
      </c>
      <c r="G73" s="2" t="s">
        <v>3212</v>
      </c>
      <c r="H73" s="2" t="s">
        <v>511</v>
      </c>
      <c r="I73" s="2" t="s">
        <v>1154</v>
      </c>
      <c r="J73" s="2" t="s">
        <v>31</v>
      </c>
      <c r="K73" s="2" t="s">
        <v>155</v>
      </c>
      <c r="L73" s="4" t="s">
        <v>342</v>
      </c>
      <c r="M73" s="2" t="s">
        <v>629</v>
      </c>
      <c r="N73" s="2" t="s">
        <v>312</v>
      </c>
      <c r="O73" s="2" t="s">
        <v>3213</v>
      </c>
      <c r="P73" s="2" t="s">
        <v>2394</v>
      </c>
      <c r="Q73" s="2" t="s">
        <v>358</v>
      </c>
      <c r="R73" s="2" t="s">
        <v>596</v>
      </c>
      <c r="S73" s="2" t="s">
        <v>35</v>
      </c>
      <c r="T73" s="149">
        <v>3.56</v>
      </c>
      <c r="U73" s="2" t="s">
        <v>3214</v>
      </c>
      <c r="V73" s="164">
        <v>6.4839999999999995E-2</v>
      </c>
      <c r="W73" s="164">
        <v>3.3500000000000002E-2</v>
      </c>
      <c r="X73" s="4" t="s">
        <v>602</v>
      </c>
      <c r="Y73" s="4" t="s">
        <v>312</v>
      </c>
      <c r="Z73" s="2" t="s">
        <v>1083</v>
      </c>
      <c r="AA73" s="2" t="s">
        <v>3191</v>
      </c>
      <c r="AB73" s="2" t="s">
        <v>1558</v>
      </c>
      <c r="AD73" s="149">
        <v>52500</v>
      </c>
      <c r="AE73" s="149">
        <v>1</v>
      </c>
      <c r="AF73" s="149">
        <v>89.96</v>
      </c>
      <c r="AG73" s="149">
        <v>47.228999999999999</v>
      </c>
      <c r="AJ73" s="2" t="s">
        <v>37</v>
      </c>
      <c r="AK73" s="164">
        <v>7.8407441900144995E-2</v>
      </c>
      <c r="AL73" s="164">
        <v>7.0524131232002705E-4</v>
      </c>
    </row>
    <row r="74" spans="1:38">
      <c r="A74" s="2" t="s">
        <v>256</v>
      </c>
      <c r="B74" s="2">
        <v>7206</v>
      </c>
      <c r="C74" s="2" t="s">
        <v>3220</v>
      </c>
      <c r="D74" s="2" t="s">
        <v>3221</v>
      </c>
      <c r="E74" s="4" t="s">
        <v>1552</v>
      </c>
      <c r="F74" s="2" t="s">
        <v>3222</v>
      </c>
      <c r="G74" s="2" t="s">
        <v>3223</v>
      </c>
      <c r="H74" s="2" t="s">
        <v>511</v>
      </c>
      <c r="I74" s="2" t="s">
        <v>342</v>
      </c>
      <c r="J74" s="2" t="s">
        <v>31</v>
      </c>
      <c r="K74" s="2" t="s">
        <v>31</v>
      </c>
      <c r="L74" s="4" t="s">
        <v>342</v>
      </c>
      <c r="M74" s="2" t="s">
        <v>641</v>
      </c>
      <c r="N74" s="2" t="s">
        <v>312</v>
      </c>
      <c r="O74" s="2" t="s">
        <v>341</v>
      </c>
      <c r="P74" s="2" t="s">
        <v>2165</v>
      </c>
      <c r="Q74" s="2" t="s">
        <v>342</v>
      </c>
      <c r="R74" s="2" t="s">
        <v>596</v>
      </c>
      <c r="S74" s="2" t="s">
        <v>35</v>
      </c>
      <c r="T74" s="149">
        <v>0</v>
      </c>
      <c r="U74" s="2" t="s">
        <v>3224</v>
      </c>
      <c r="V74" s="164">
        <v>0</v>
      </c>
      <c r="W74" s="164">
        <v>0.06</v>
      </c>
      <c r="X74" s="4" t="s">
        <v>602</v>
      </c>
      <c r="Y74" s="4" t="s">
        <v>530</v>
      </c>
      <c r="Z74" s="2" t="s">
        <v>1081</v>
      </c>
      <c r="AA74" s="2" t="s">
        <v>1085</v>
      </c>
      <c r="AD74" s="149">
        <v>68302.960000000006</v>
      </c>
      <c r="AE74" s="149">
        <v>1</v>
      </c>
      <c r="AF74" s="149">
        <v>0</v>
      </c>
      <c r="AG74" s="149">
        <v>0</v>
      </c>
      <c r="AJ74" s="2" t="s">
        <v>37</v>
      </c>
      <c r="AK74" s="164">
        <v>0</v>
      </c>
      <c r="AL74" s="164">
        <v>0</v>
      </c>
    </row>
    <row r="75" spans="1:38">
      <c r="A75" s="2" t="s">
        <v>256</v>
      </c>
      <c r="B75" s="2">
        <v>7206</v>
      </c>
      <c r="C75" s="2" t="s">
        <v>3230</v>
      </c>
      <c r="D75" s="2" t="s">
        <v>3231</v>
      </c>
      <c r="E75" s="4" t="s">
        <v>1552</v>
      </c>
      <c r="F75" s="2" t="s">
        <v>3232</v>
      </c>
      <c r="G75" s="2" t="s">
        <v>3233</v>
      </c>
      <c r="H75" s="2" t="s">
        <v>511</v>
      </c>
      <c r="I75" s="2" t="s">
        <v>342</v>
      </c>
      <c r="J75" s="2" t="s">
        <v>31</v>
      </c>
      <c r="K75" s="2" t="s">
        <v>31</v>
      </c>
      <c r="L75" s="4" t="s">
        <v>342</v>
      </c>
      <c r="M75" s="2" t="s">
        <v>342</v>
      </c>
      <c r="N75" s="2" t="s">
        <v>312</v>
      </c>
      <c r="O75" s="2" t="s">
        <v>3234</v>
      </c>
      <c r="P75" s="2" t="s">
        <v>2165</v>
      </c>
      <c r="Q75" s="2" t="s">
        <v>342</v>
      </c>
      <c r="R75" s="2" t="s">
        <v>596</v>
      </c>
      <c r="S75" s="2" t="s">
        <v>35</v>
      </c>
      <c r="T75" s="149">
        <v>0.01</v>
      </c>
      <c r="U75" s="2" t="s">
        <v>3235</v>
      </c>
      <c r="V75" s="164">
        <v>1E-4</v>
      </c>
      <c r="W75" s="164">
        <v>6.4500000000000002E-2</v>
      </c>
      <c r="X75" s="4" t="s">
        <v>602</v>
      </c>
      <c r="Y75" s="4" t="s">
        <v>530</v>
      </c>
      <c r="Z75" s="2" t="s">
        <v>1081</v>
      </c>
      <c r="AA75" s="2" t="s">
        <v>1085</v>
      </c>
      <c r="AB75" s="2" t="s">
        <v>3236</v>
      </c>
      <c r="AD75" s="149">
        <v>10392.48</v>
      </c>
      <c r="AE75" s="149">
        <v>1</v>
      </c>
      <c r="AF75" s="149">
        <v>0</v>
      </c>
      <c r="AG75" s="149">
        <v>0</v>
      </c>
      <c r="AJ75" s="2" t="s">
        <v>37</v>
      </c>
      <c r="AK75" s="164">
        <v>1.7253123542705101E-10</v>
      </c>
      <c r="AL75" s="164">
        <v>1.55184446705618E-12</v>
      </c>
    </row>
    <row r="76" spans="1:38">
      <c r="A76" s="2" t="s">
        <v>256</v>
      </c>
      <c r="B76" s="2">
        <v>7206</v>
      </c>
      <c r="C76" s="2" t="s">
        <v>3230</v>
      </c>
      <c r="D76" s="2" t="s">
        <v>3231</v>
      </c>
      <c r="E76" s="4" t="s">
        <v>1552</v>
      </c>
      <c r="F76" s="2" t="s">
        <v>3237</v>
      </c>
      <c r="G76" s="2" t="s">
        <v>3238</v>
      </c>
      <c r="H76" s="2" t="s">
        <v>511</v>
      </c>
      <c r="I76" s="2" t="s">
        <v>342</v>
      </c>
      <c r="J76" s="2" t="s">
        <v>31</v>
      </c>
      <c r="K76" s="2" t="s">
        <v>31</v>
      </c>
      <c r="L76" s="4" t="s">
        <v>342</v>
      </c>
      <c r="M76" s="2" t="s">
        <v>342</v>
      </c>
      <c r="N76" s="2" t="s">
        <v>312</v>
      </c>
      <c r="O76" s="2" t="s">
        <v>3234</v>
      </c>
      <c r="P76" s="2" t="s">
        <v>2165</v>
      </c>
      <c r="Q76" s="2" t="s">
        <v>342</v>
      </c>
      <c r="R76" s="2" t="s">
        <v>596</v>
      </c>
      <c r="S76" s="2" t="s">
        <v>35</v>
      </c>
      <c r="T76" s="149">
        <v>0.01</v>
      </c>
      <c r="U76" s="2" t="s">
        <v>3235</v>
      </c>
      <c r="V76" s="164">
        <v>1E-4</v>
      </c>
      <c r="W76" s="164">
        <v>5.7000000000000002E-2</v>
      </c>
      <c r="X76" s="4" t="s">
        <v>602</v>
      </c>
      <c r="Y76" s="4" t="s">
        <v>530</v>
      </c>
      <c r="Z76" s="2" t="s">
        <v>1081</v>
      </c>
      <c r="AA76" s="2" t="s">
        <v>1085</v>
      </c>
      <c r="AB76" s="2" t="s">
        <v>3236</v>
      </c>
      <c r="AD76" s="149">
        <v>7000</v>
      </c>
      <c r="AE76" s="149">
        <v>1</v>
      </c>
      <c r="AF76" s="149">
        <v>0</v>
      </c>
      <c r="AG76" s="149">
        <v>0</v>
      </c>
      <c r="AJ76" s="2" t="s">
        <v>37</v>
      </c>
      <c r="AK76" s="164">
        <v>1.1621082243981801E-10</v>
      </c>
      <c r="AL76" s="164">
        <v>1.0452665070698499E-12</v>
      </c>
    </row>
    <row r="77" spans="1:38">
      <c r="A77" s="2" t="s">
        <v>256</v>
      </c>
      <c r="B77" s="2">
        <v>7206</v>
      </c>
      <c r="C77" s="2" t="s">
        <v>3246</v>
      </c>
      <c r="D77" s="2" t="s">
        <v>3247</v>
      </c>
      <c r="E77" s="4" t="s">
        <v>34</v>
      </c>
      <c r="F77" s="2" t="s">
        <v>3248</v>
      </c>
      <c r="G77" s="2" t="s">
        <v>3249</v>
      </c>
      <c r="H77" s="2" t="s">
        <v>511</v>
      </c>
      <c r="I77" s="2" t="s">
        <v>342</v>
      </c>
      <c r="J77" s="2" t="s">
        <v>31</v>
      </c>
      <c r="K77" s="2" t="s">
        <v>31</v>
      </c>
      <c r="L77" s="4" t="s">
        <v>342</v>
      </c>
      <c r="M77" s="2" t="s">
        <v>635</v>
      </c>
      <c r="N77" s="2" t="s">
        <v>312</v>
      </c>
      <c r="O77" s="2" t="s">
        <v>3250</v>
      </c>
      <c r="P77" s="2" t="s">
        <v>2165</v>
      </c>
      <c r="Q77" s="2" t="s">
        <v>342</v>
      </c>
      <c r="R77" s="2" t="s">
        <v>596</v>
      </c>
      <c r="S77" s="2" t="s">
        <v>35</v>
      </c>
      <c r="T77" s="149">
        <v>0</v>
      </c>
      <c r="U77" s="2" t="s">
        <v>3251</v>
      </c>
      <c r="V77" s="164">
        <v>0</v>
      </c>
      <c r="W77" s="164">
        <v>8.8499999999999995E-2</v>
      </c>
      <c r="X77" s="4" t="s">
        <v>602</v>
      </c>
      <c r="Y77" s="4" t="s">
        <v>530</v>
      </c>
      <c r="Z77" s="2" t="s">
        <v>1081</v>
      </c>
      <c r="AA77" s="2" t="s">
        <v>1085</v>
      </c>
      <c r="AB77" s="2" t="s">
        <v>3113</v>
      </c>
      <c r="AD77" s="149">
        <v>26350</v>
      </c>
      <c r="AE77" s="149">
        <v>1</v>
      </c>
      <c r="AF77" s="149">
        <v>5.27</v>
      </c>
      <c r="AG77" s="149">
        <v>1.389</v>
      </c>
      <c r="AJ77" s="2" t="s">
        <v>37</v>
      </c>
      <c r="AK77" s="164">
        <v>2.3053653932420099E-3</v>
      </c>
      <c r="AL77" s="164">
        <v>2.0735772981571601E-5</v>
      </c>
    </row>
    <row r="78" spans="1:38">
      <c r="A78" s="2" t="s">
        <v>256</v>
      </c>
      <c r="B78" s="2">
        <v>7206</v>
      </c>
      <c r="C78" s="2" t="s">
        <v>3252</v>
      </c>
      <c r="D78" s="2" t="s">
        <v>3253</v>
      </c>
      <c r="E78" s="4" t="s">
        <v>1552</v>
      </c>
      <c r="F78" s="2" t="s">
        <v>3254</v>
      </c>
      <c r="G78" s="2" t="s">
        <v>3255</v>
      </c>
      <c r="H78" s="2" t="s">
        <v>511</v>
      </c>
      <c r="I78" s="2" t="s">
        <v>1154</v>
      </c>
      <c r="J78" s="2" t="s">
        <v>31</v>
      </c>
      <c r="K78" s="2" t="s">
        <v>31</v>
      </c>
      <c r="L78" s="4" t="s">
        <v>342</v>
      </c>
      <c r="M78" s="2" t="s">
        <v>650</v>
      </c>
      <c r="N78" s="2" t="s">
        <v>312</v>
      </c>
      <c r="O78" s="2" t="s">
        <v>3256</v>
      </c>
      <c r="P78" s="2" t="s">
        <v>2327</v>
      </c>
      <c r="Q78" s="2" t="s">
        <v>621</v>
      </c>
      <c r="R78" s="2" t="s">
        <v>596</v>
      </c>
      <c r="S78" s="2" t="s">
        <v>35</v>
      </c>
      <c r="T78" s="149">
        <v>1.66</v>
      </c>
      <c r="U78" s="2" t="s">
        <v>2203</v>
      </c>
      <c r="V78" s="164">
        <v>6.2640000000000001E-2</v>
      </c>
      <c r="W78" s="164">
        <v>4.2999999999999997E-2</v>
      </c>
      <c r="X78" s="4" t="s">
        <v>602</v>
      </c>
      <c r="Y78" s="4" t="s">
        <v>312</v>
      </c>
      <c r="Z78" s="2" t="s">
        <v>1083</v>
      </c>
      <c r="AA78" s="2" t="s">
        <v>1086</v>
      </c>
      <c r="AB78" s="2" t="s">
        <v>1558</v>
      </c>
      <c r="AD78" s="149">
        <v>35000</v>
      </c>
      <c r="AE78" s="149">
        <v>1</v>
      </c>
      <c r="AF78" s="149">
        <v>97.01</v>
      </c>
      <c r="AG78" s="149">
        <v>33.953000000000003</v>
      </c>
      <c r="AJ78" s="2" t="s">
        <v>37</v>
      </c>
      <c r="AK78" s="164">
        <v>5.6368059424433598E-2</v>
      </c>
      <c r="AL78" s="164">
        <v>5.0700651925422995E-4</v>
      </c>
    </row>
    <row r="79" spans="1:38">
      <c r="A79" s="2" t="s">
        <v>256</v>
      </c>
      <c r="B79" s="2">
        <v>7206</v>
      </c>
      <c r="C79" s="2" t="s">
        <v>3276</v>
      </c>
      <c r="D79" s="2" t="s">
        <v>3277</v>
      </c>
      <c r="E79" s="4" t="s">
        <v>1552</v>
      </c>
      <c r="F79" s="2" t="s">
        <v>3278</v>
      </c>
      <c r="G79" s="2" t="s">
        <v>3279</v>
      </c>
      <c r="H79" s="2" t="s">
        <v>511</v>
      </c>
      <c r="I79" s="2" t="s">
        <v>1154</v>
      </c>
      <c r="J79" s="2" t="s">
        <v>31</v>
      </c>
      <c r="K79" s="2" t="s">
        <v>31</v>
      </c>
      <c r="L79" s="4" t="s">
        <v>342</v>
      </c>
      <c r="M79" s="2" t="s">
        <v>639</v>
      </c>
      <c r="N79" s="2" t="s">
        <v>312</v>
      </c>
      <c r="O79" s="2" t="s">
        <v>3280</v>
      </c>
      <c r="P79" s="2" t="s">
        <v>2161</v>
      </c>
      <c r="Q79" s="2" t="s">
        <v>621</v>
      </c>
      <c r="R79" s="2" t="s">
        <v>596</v>
      </c>
      <c r="S79" s="2" t="s">
        <v>35</v>
      </c>
      <c r="T79" s="149">
        <v>2.33</v>
      </c>
      <c r="U79" s="2" t="s">
        <v>3281</v>
      </c>
      <c r="V79" s="164">
        <v>6.3109999999999999E-2</v>
      </c>
      <c r="W79" s="164">
        <v>2.86E-2</v>
      </c>
      <c r="X79" s="4" t="s">
        <v>602</v>
      </c>
      <c r="Y79" s="4" t="s">
        <v>312</v>
      </c>
      <c r="Z79" s="2" t="s">
        <v>1083</v>
      </c>
      <c r="AA79" s="2" t="s">
        <v>1086</v>
      </c>
      <c r="AB79" s="2" t="s">
        <v>1558</v>
      </c>
      <c r="AD79" s="149">
        <v>28571.439999999999</v>
      </c>
      <c r="AE79" s="149">
        <v>1</v>
      </c>
      <c r="AF79" s="149">
        <v>93.81</v>
      </c>
      <c r="AG79" s="149">
        <v>26.803000000000001</v>
      </c>
      <c r="AJ79" s="2" t="s">
        <v>37</v>
      </c>
      <c r="AK79" s="164">
        <v>4.4496904546017103E-2</v>
      </c>
      <c r="AL79" s="164">
        <v>4.0023057245225699E-4</v>
      </c>
    </row>
    <row r="80" spans="1:38">
      <c r="A80" s="2" t="s">
        <v>256</v>
      </c>
      <c r="B80" s="2">
        <v>7206</v>
      </c>
      <c r="C80" s="2" t="s">
        <v>3282</v>
      </c>
      <c r="D80" s="2" t="s">
        <v>3283</v>
      </c>
      <c r="E80" s="4" t="s">
        <v>1552</v>
      </c>
      <c r="F80" s="2" t="s">
        <v>3284</v>
      </c>
      <c r="G80" s="2" t="s">
        <v>3285</v>
      </c>
      <c r="H80" s="2" t="s">
        <v>511</v>
      </c>
      <c r="I80" s="2" t="s">
        <v>1154</v>
      </c>
      <c r="J80" s="2" t="s">
        <v>31</v>
      </c>
      <c r="K80" s="2" t="s">
        <v>31</v>
      </c>
      <c r="L80" s="4" t="s">
        <v>342</v>
      </c>
      <c r="M80" s="2" t="s">
        <v>639</v>
      </c>
      <c r="N80" s="2" t="s">
        <v>312</v>
      </c>
      <c r="O80" s="2" t="s">
        <v>3286</v>
      </c>
      <c r="P80" s="2" t="s">
        <v>2234</v>
      </c>
      <c r="Q80" s="2" t="s">
        <v>621</v>
      </c>
      <c r="R80" s="2" t="s">
        <v>596</v>
      </c>
      <c r="S80" s="2" t="s">
        <v>35</v>
      </c>
      <c r="T80" s="149">
        <v>2.37</v>
      </c>
      <c r="U80" s="2" t="s">
        <v>2180</v>
      </c>
      <c r="V80" s="164">
        <v>6.2659999999999993E-2</v>
      </c>
      <c r="W80" s="164">
        <v>4.4699999999999997E-2</v>
      </c>
      <c r="X80" s="4" t="s">
        <v>602</v>
      </c>
      <c r="Y80" s="4" t="s">
        <v>312</v>
      </c>
      <c r="Z80" s="2" t="s">
        <v>1083</v>
      </c>
      <c r="AA80" s="2" t="s">
        <v>1086</v>
      </c>
      <c r="AB80" s="2" t="s">
        <v>1558</v>
      </c>
      <c r="AD80" s="149">
        <v>29222.33</v>
      </c>
      <c r="AE80" s="149">
        <v>1</v>
      </c>
      <c r="AF80" s="149">
        <v>96.14</v>
      </c>
      <c r="AG80" s="149">
        <v>28.094000000000001</v>
      </c>
      <c r="AJ80" s="2" t="s">
        <v>37</v>
      </c>
      <c r="AK80" s="164">
        <v>4.6640961345650198E-2</v>
      </c>
      <c r="AL80" s="164">
        <v>4.1951544381673301E-4</v>
      </c>
    </row>
    <row r="81" spans="1:38">
      <c r="A81" s="2" t="s">
        <v>256</v>
      </c>
      <c r="B81" s="2">
        <v>7206</v>
      </c>
      <c r="C81" s="2" t="s">
        <v>2529</v>
      </c>
      <c r="D81" s="2" t="s">
        <v>2530</v>
      </c>
      <c r="E81" s="4" t="s">
        <v>1552</v>
      </c>
      <c r="F81" s="2" t="s">
        <v>3187</v>
      </c>
      <c r="G81" s="2" t="s">
        <v>3188</v>
      </c>
      <c r="H81" s="2" t="s">
        <v>511</v>
      </c>
      <c r="I81" s="2" t="s">
        <v>945</v>
      </c>
      <c r="J81" s="2" t="s">
        <v>31</v>
      </c>
      <c r="K81" s="2" t="s">
        <v>31</v>
      </c>
      <c r="L81" s="4" t="s">
        <v>342</v>
      </c>
      <c r="M81" s="2" t="s">
        <v>666</v>
      </c>
      <c r="N81" s="2" t="s">
        <v>312</v>
      </c>
      <c r="O81" s="2" t="s">
        <v>3294</v>
      </c>
      <c r="P81" s="2" t="s">
        <v>357</v>
      </c>
      <c r="Q81" s="2" t="s">
        <v>358</v>
      </c>
      <c r="R81" s="2" t="s">
        <v>596</v>
      </c>
      <c r="S81" s="2" t="s">
        <v>35</v>
      </c>
      <c r="T81" s="149">
        <v>9.0299999999999994</v>
      </c>
      <c r="U81" s="2" t="s">
        <v>3190</v>
      </c>
      <c r="V81" s="164">
        <v>3.4110000000000001E-2</v>
      </c>
      <c r="W81" s="164">
        <v>4.1000000000000002E-2</v>
      </c>
      <c r="X81" s="4" t="s">
        <v>602</v>
      </c>
      <c r="Y81" s="4" t="s">
        <v>312</v>
      </c>
      <c r="Z81" s="2" t="s">
        <v>1083</v>
      </c>
      <c r="AA81" s="2" t="s">
        <v>3191</v>
      </c>
      <c r="AB81" s="2" t="s">
        <v>1558</v>
      </c>
      <c r="AD81" s="149">
        <v>84443</v>
      </c>
      <c r="AE81" s="149">
        <v>1</v>
      </c>
      <c r="AF81" s="149">
        <v>129.74</v>
      </c>
      <c r="AG81" s="149">
        <v>109.556</v>
      </c>
      <c r="AJ81" s="2" t="s">
        <v>37</v>
      </c>
      <c r="AK81" s="164">
        <v>0.18188047611178601</v>
      </c>
      <c r="AL81" s="164">
        <v>1.6359368772905999E-3</v>
      </c>
    </row>
    <row r="82" spans="1:38">
      <c r="A82" s="2" t="s">
        <v>256</v>
      </c>
      <c r="B82" s="2">
        <v>7206</v>
      </c>
      <c r="C82" s="2" t="s">
        <v>3321</v>
      </c>
      <c r="D82" s="2" t="s">
        <v>3322</v>
      </c>
      <c r="E82" s="4" t="s">
        <v>1552</v>
      </c>
      <c r="F82" s="2" t="s">
        <v>3323</v>
      </c>
      <c r="G82" s="2" t="s">
        <v>3324</v>
      </c>
      <c r="H82" s="2" t="s">
        <v>511</v>
      </c>
      <c r="I82" s="2" t="s">
        <v>1154</v>
      </c>
      <c r="J82" s="2" t="s">
        <v>31</v>
      </c>
      <c r="K82" s="2" t="s">
        <v>31</v>
      </c>
      <c r="L82" s="4" t="s">
        <v>342</v>
      </c>
      <c r="M82" s="2" t="s">
        <v>634</v>
      </c>
      <c r="N82" s="2" t="s">
        <v>312</v>
      </c>
      <c r="O82" s="2" t="s">
        <v>3325</v>
      </c>
      <c r="P82" s="2" t="s">
        <v>157</v>
      </c>
      <c r="Q82" s="2" t="s">
        <v>604</v>
      </c>
      <c r="R82" s="2" t="s">
        <v>596</v>
      </c>
      <c r="S82" s="2" t="s">
        <v>35</v>
      </c>
      <c r="T82" s="149">
        <v>1.18</v>
      </c>
      <c r="U82" s="2" t="s">
        <v>3006</v>
      </c>
      <c r="V82" s="164">
        <v>5.0270000000000002E-2</v>
      </c>
      <c r="W82" s="164">
        <v>2.5000000000000001E-2</v>
      </c>
      <c r="X82" s="4" t="s">
        <v>602</v>
      </c>
      <c r="Y82" s="4" t="s">
        <v>312</v>
      </c>
      <c r="Z82" s="2" t="s">
        <v>1083</v>
      </c>
      <c r="AA82" s="2" t="s">
        <v>3191</v>
      </c>
      <c r="AB82" s="2" t="s">
        <v>1558</v>
      </c>
      <c r="AD82" s="149">
        <v>23984.880000000001</v>
      </c>
      <c r="AE82" s="149">
        <v>1</v>
      </c>
      <c r="AF82" s="149">
        <v>97.89</v>
      </c>
      <c r="AG82" s="149">
        <v>23.478999999999999</v>
      </c>
      <c r="AJ82" s="2" t="s">
        <v>37</v>
      </c>
      <c r="AK82" s="164">
        <v>3.8978436362970201E-2</v>
      </c>
      <c r="AL82" s="164">
        <v>3.50594317919623E-4</v>
      </c>
    </row>
    <row r="83" spans="1:38">
      <c r="A83" s="2" t="s">
        <v>256</v>
      </c>
      <c r="B83" s="2">
        <v>7206</v>
      </c>
      <c r="C83" s="2" t="s">
        <v>3321</v>
      </c>
      <c r="D83" s="2" t="s">
        <v>3322</v>
      </c>
      <c r="E83" s="4" t="s">
        <v>1552</v>
      </c>
      <c r="F83" s="2" t="s">
        <v>3326</v>
      </c>
      <c r="G83" s="2" t="s">
        <v>3327</v>
      </c>
      <c r="H83" s="2" t="s">
        <v>511</v>
      </c>
      <c r="I83" s="2" t="s">
        <v>1154</v>
      </c>
      <c r="J83" s="2" t="s">
        <v>31</v>
      </c>
      <c r="K83" s="2" t="s">
        <v>31</v>
      </c>
      <c r="L83" s="4" t="s">
        <v>342</v>
      </c>
      <c r="M83" s="2" t="s">
        <v>634</v>
      </c>
      <c r="N83" s="2" t="s">
        <v>312</v>
      </c>
      <c r="O83" s="2" t="s">
        <v>3325</v>
      </c>
      <c r="P83" s="2" t="s">
        <v>157</v>
      </c>
      <c r="Q83" s="2" t="s">
        <v>604</v>
      </c>
      <c r="R83" s="2" t="s">
        <v>596</v>
      </c>
      <c r="S83" s="2" t="s">
        <v>35</v>
      </c>
      <c r="T83" s="149">
        <v>4.41</v>
      </c>
      <c r="U83" s="2" t="s">
        <v>3328</v>
      </c>
      <c r="V83" s="164">
        <v>5.6919999999999998E-2</v>
      </c>
      <c r="W83" s="164">
        <v>3.7400000000000003E-2</v>
      </c>
      <c r="X83" s="4" t="s">
        <v>602</v>
      </c>
      <c r="Y83" s="4" t="s">
        <v>312</v>
      </c>
      <c r="Z83" s="2" t="s">
        <v>1083</v>
      </c>
      <c r="AA83" s="2" t="s">
        <v>3191</v>
      </c>
      <c r="AB83" s="2" t="s">
        <v>1558</v>
      </c>
      <c r="AD83" s="149">
        <v>47156.639999999999</v>
      </c>
      <c r="AE83" s="149">
        <v>1</v>
      </c>
      <c r="AF83" s="149">
        <v>93.08</v>
      </c>
      <c r="AG83" s="149">
        <v>43.893000000000001</v>
      </c>
      <c r="AJ83" s="2" t="s">
        <v>37</v>
      </c>
      <c r="AK83" s="164">
        <v>7.28698310454262E-2</v>
      </c>
      <c r="AL83" s="164">
        <v>6.5543287766565896E-4</v>
      </c>
    </row>
    <row r="84" spans="1:38">
      <c r="A84" s="2" t="s">
        <v>256</v>
      </c>
      <c r="B84" s="2">
        <v>7206</v>
      </c>
      <c r="C84" s="2" t="s">
        <v>3329</v>
      </c>
      <c r="D84" s="2" t="s">
        <v>3330</v>
      </c>
      <c r="E84" s="4" t="s">
        <v>1552</v>
      </c>
      <c r="F84" s="2" t="s">
        <v>3331</v>
      </c>
      <c r="G84" s="2" t="s">
        <v>3332</v>
      </c>
      <c r="H84" s="2" t="s">
        <v>511</v>
      </c>
      <c r="I84" s="2" t="s">
        <v>945</v>
      </c>
      <c r="J84" s="2" t="s">
        <v>31</v>
      </c>
      <c r="K84" s="2" t="s">
        <v>31</v>
      </c>
      <c r="L84" s="4" t="s">
        <v>342</v>
      </c>
      <c r="M84" s="2" t="s">
        <v>666</v>
      </c>
      <c r="N84" s="2" t="s">
        <v>312</v>
      </c>
      <c r="O84" s="2" t="s">
        <v>341</v>
      </c>
      <c r="P84" s="2" t="s">
        <v>157</v>
      </c>
      <c r="Q84" s="2" t="s">
        <v>604</v>
      </c>
      <c r="R84" s="2" t="s">
        <v>596</v>
      </c>
      <c r="S84" s="2" t="s">
        <v>35</v>
      </c>
      <c r="T84" s="149">
        <v>4.1100000000000003</v>
      </c>
      <c r="U84" s="2" t="s">
        <v>2524</v>
      </c>
      <c r="V84" s="164">
        <v>3.1910000000000001E-2</v>
      </c>
      <c r="W84" s="164">
        <v>1.55E-2</v>
      </c>
      <c r="X84" s="4" t="s">
        <v>602</v>
      </c>
      <c r="Y84" s="4" t="s">
        <v>312</v>
      </c>
      <c r="Z84" s="2" t="s">
        <v>1083</v>
      </c>
      <c r="AA84" s="2" t="s">
        <v>1086</v>
      </c>
      <c r="AB84" s="2" t="s">
        <v>1558</v>
      </c>
      <c r="AD84" s="149">
        <v>122644.05</v>
      </c>
      <c r="AE84" s="149">
        <v>1</v>
      </c>
      <c r="AF84" s="149">
        <v>100.61</v>
      </c>
      <c r="AG84" s="149">
        <v>123.392</v>
      </c>
      <c r="AJ84" s="2" t="s">
        <v>37</v>
      </c>
      <c r="AK84" s="164">
        <v>0.20485009385641401</v>
      </c>
      <c r="AL84" s="164">
        <v>1.8425387376387701E-3</v>
      </c>
    </row>
    <row r="85" spans="1:38">
      <c r="A85" s="2" t="s">
        <v>256</v>
      </c>
      <c r="B85" s="2">
        <v>7206</v>
      </c>
      <c r="C85" s="2" t="s">
        <v>3329</v>
      </c>
      <c r="D85" s="2" t="s">
        <v>3330</v>
      </c>
      <c r="E85" s="4" t="s">
        <v>1552</v>
      </c>
      <c r="F85" s="2" t="s">
        <v>3333</v>
      </c>
      <c r="G85" s="2" t="s">
        <v>3334</v>
      </c>
      <c r="H85" s="2" t="s">
        <v>511</v>
      </c>
      <c r="I85" s="2" t="s">
        <v>945</v>
      </c>
      <c r="J85" s="2" t="s">
        <v>31</v>
      </c>
      <c r="K85" s="2" t="s">
        <v>31</v>
      </c>
      <c r="L85" s="4" t="s">
        <v>342</v>
      </c>
      <c r="M85" s="2" t="s">
        <v>666</v>
      </c>
      <c r="N85" s="2" t="s">
        <v>312</v>
      </c>
      <c r="O85" s="2" t="s">
        <v>341</v>
      </c>
      <c r="P85" s="2" t="s">
        <v>157</v>
      </c>
      <c r="Q85" s="2" t="s">
        <v>604</v>
      </c>
      <c r="R85" s="2" t="s">
        <v>596</v>
      </c>
      <c r="S85" s="2" t="s">
        <v>35</v>
      </c>
      <c r="T85" s="149">
        <v>6.83</v>
      </c>
      <c r="U85" s="2" t="s">
        <v>3335</v>
      </c>
      <c r="V85" s="164">
        <v>3.4200000000000001E-2</v>
      </c>
      <c r="W85" s="164">
        <v>1.7500000000000002E-2</v>
      </c>
      <c r="X85" s="4" t="s">
        <v>602</v>
      </c>
      <c r="Y85" s="4" t="s">
        <v>312</v>
      </c>
      <c r="Z85" s="2" t="s">
        <v>1083</v>
      </c>
      <c r="AA85" s="2" t="s">
        <v>1086</v>
      </c>
      <c r="AB85" s="2" t="s">
        <v>1558</v>
      </c>
      <c r="AD85" s="149">
        <v>28500</v>
      </c>
      <c r="AE85" s="149">
        <v>1</v>
      </c>
      <c r="AF85" s="149">
        <v>96.05</v>
      </c>
      <c r="AG85" s="149">
        <v>27.373999999999999</v>
      </c>
      <c r="AJ85" s="2" t="s">
        <v>37</v>
      </c>
      <c r="AK85" s="164">
        <v>4.5445487231045398E-2</v>
      </c>
      <c r="AL85" s="164">
        <v>4.0876266687366801E-4</v>
      </c>
    </row>
    <row r="86" spans="1:38">
      <c r="A86" s="2" t="s">
        <v>256</v>
      </c>
      <c r="B86" s="2">
        <v>7206</v>
      </c>
      <c r="C86" s="2" t="s">
        <v>3336</v>
      </c>
      <c r="D86" s="2" t="s">
        <v>3337</v>
      </c>
      <c r="E86" s="4" t="s">
        <v>1552</v>
      </c>
      <c r="F86" s="2" t="s">
        <v>3338</v>
      </c>
      <c r="G86" s="2" t="s">
        <v>3339</v>
      </c>
      <c r="H86" s="2" t="s">
        <v>511</v>
      </c>
      <c r="I86" s="2" t="s">
        <v>945</v>
      </c>
      <c r="J86" s="2" t="s">
        <v>31</v>
      </c>
      <c r="K86" s="2" t="s">
        <v>31</v>
      </c>
      <c r="L86" s="4" t="s">
        <v>342</v>
      </c>
      <c r="M86" s="2" t="s">
        <v>628</v>
      </c>
      <c r="N86" s="2" t="s">
        <v>312</v>
      </c>
      <c r="O86" s="2" t="s">
        <v>3340</v>
      </c>
      <c r="P86" s="2" t="s">
        <v>357</v>
      </c>
      <c r="Q86" s="2" t="s">
        <v>621</v>
      </c>
      <c r="R86" s="2" t="s">
        <v>596</v>
      </c>
      <c r="S86" s="2" t="s">
        <v>35</v>
      </c>
      <c r="T86" s="149">
        <v>7.61</v>
      </c>
      <c r="U86" s="2" t="s">
        <v>3341</v>
      </c>
      <c r="V86" s="164">
        <v>3.209E-2</v>
      </c>
      <c r="W86" s="164">
        <v>8.3000000000000001E-3</v>
      </c>
      <c r="X86" s="4" t="s">
        <v>602</v>
      </c>
      <c r="Y86" s="4" t="s">
        <v>312</v>
      </c>
      <c r="Z86" s="2" t="s">
        <v>1083</v>
      </c>
      <c r="AA86" s="2" t="s">
        <v>1086</v>
      </c>
      <c r="AB86" s="2" t="s">
        <v>1558</v>
      </c>
      <c r="AD86" s="149">
        <v>73960.27</v>
      </c>
      <c r="AE86" s="149">
        <v>1</v>
      </c>
      <c r="AF86" s="149">
        <v>94.68</v>
      </c>
      <c r="AG86" s="149">
        <v>70.025999999999996</v>
      </c>
      <c r="AJ86" s="2" t="s">
        <v>37</v>
      </c>
      <c r="AK86" s="164">
        <v>0.116253295230969</v>
      </c>
      <c r="AL86" s="164">
        <v>1.0456485316104199E-3</v>
      </c>
    </row>
    <row r="87" spans="1:38">
      <c r="A87" s="2" t="s">
        <v>256</v>
      </c>
      <c r="B87" s="2">
        <v>7206</v>
      </c>
      <c r="C87" s="2" t="s">
        <v>3192</v>
      </c>
      <c r="D87" s="2" t="s">
        <v>3193</v>
      </c>
      <c r="E87" s="4" t="s">
        <v>1552</v>
      </c>
      <c r="F87" s="2" t="s">
        <v>3194</v>
      </c>
      <c r="G87" s="2" t="s">
        <v>3195</v>
      </c>
      <c r="H87" s="2" t="s">
        <v>511</v>
      </c>
      <c r="I87" s="2" t="s">
        <v>364</v>
      </c>
      <c r="J87" s="2" t="s">
        <v>31</v>
      </c>
      <c r="K87" s="2" t="s">
        <v>31</v>
      </c>
      <c r="L87" s="4" t="s">
        <v>342</v>
      </c>
      <c r="M87" s="2" t="s">
        <v>675</v>
      </c>
      <c r="N87" s="2" t="s">
        <v>312</v>
      </c>
      <c r="O87" s="2" t="s">
        <v>3196</v>
      </c>
      <c r="P87" s="2" t="s">
        <v>2814</v>
      </c>
      <c r="Q87" s="2" t="s">
        <v>621</v>
      </c>
      <c r="R87" s="2" t="s">
        <v>596</v>
      </c>
      <c r="S87" s="2" t="s">
        <v>159</v>
      </c>
      <c r="T87" s="149">
        <v>6.24</v>
      </c>
      <c r="U87" s="2" t="s">
        <v>2322</v>
      </c>
      <c r="V87" s="164">
        <v>8.7040000000000006E-2</v>
      </c>
      <c r="W87" s="164">
        <v>8.5000000000000006E-2</v>
      </c>
      <c r="X87" s="4" t="s">
        <v>602</v>
      </c>
      <c r="Y87" s="4" t="s">
        <v>312</v>
      </c>
      <c r="Z87" s="2" t="s">
        <v>342</v>
      </c>
      <c r="AA87" s="2" t="s">
        <v>1086</v>
      </c>
      <c r="AB87" s="2" t="s">
        <v>1558</v>
      </c>
      <c r="AD87" s="149">
        <v>7000</v>
      </c>
      <c r="AE87" s="149">
        <v>3.7589999999999999</v>
      </c>
      <c r="AF87" s="149">
        <v>96.798000000000002</v>
      </c>
      <c r="AG87" s="149">
        <v>25.471</v>
      </c>
      <c r="AJ87" s="2" t="s">
        <v>37</v>
      </c>
      <c r="AK87" s="164">
        <v>4.2284995093330502E-2</v>
      </c>
      <c r="AL87" s="164">
        <v>3.8033539557437202E-4</v>
      </c>
    </row>
    <row r="88" spans="1:38">
      <c r="A88" s="2" t="s">
        <v>256</v>
      </c>
      <c r="B88" s="2">
        <v>7207</v>
      </c>
      <c r="C88" s="2" t="s">
        <v>3182</v>
      </c>
      <c r="D88" s="2" t="s">
        <v>3183</v>
      </c>
      <c r="E88" s="4" t="s">
        <v>1552</v>
      </c>
      <c r="F88" s="2" t="s">
        <v>3184</v>
      </c>
      <c r="G88" s="2" t="s">
        <v>3185</v>
      </c>
      <c r="H88" s="2" t="s">
        <v>511</v>
      </c>
      <c r="I88" s="2" t="s">
        <v>945</v>
      </c>
      <c r="J88" s="2" t="s">
        <v>31</v>
      </c>
      <c r="K88" s="2" t="s">
        <v>31</v>
      </c>
      <c r="L88" s="4" t="s">
        <v>342</v>
      </c>
      <c r="M88" s="2" t="s">
        <v>666</v>
      </c>
      <c r="N88" s="2" t="s">
        <v>312</v>
      </c>
      <c r="O88" s="2" t="s">
        <v>3186</v>
      </c>
      <c r="P88" s="2" t="s">
        <v>2394</v>
      </c>
      <c r="Q88" s="2" t="s">
        <v>358</v>
      </c>
      <c r="R88" s="2" t="s">
        <v>596</v>
      </c>
      <c r="S88" s="2" t="s">
        <v>35</v>
      </c>
      <c r="T88" s="149">
        <v>3.01</v>
      </c>
      <c r="U88" s="2" t="s">
        <v>2376</v>
      </c>
      <c r="V88" s="164">
        <v>3.4360000000000002E-2</v>
      </c>
      <c r="W88" s="164">
        <v>3.6400000000000002E-2</v>
      </c>
      <c r="X88" s="4" t="s">
        <v>602</v>
      </c>
      <c r="Y88" s="4" t="s">
        <v>312</v>
      </c>
      <c r="Z88" s="2" t="s">
        <v>1083</v>
      </c>
      <c r="AA88" s="2" t="s">
        <v>1086</v>
      </c>
      <c r="AB88" s="2" t="s">
        <v>1558</v>
      </c>
      <c r="AD88" s="149">
        <v>60000</v>
      </c>
      <c r="AE88" s="149">
        <v>1</v>
      </c>
      <c r="AF88" s="149">
        <v>103.18</v>
      </c>
      <c r="AG88" s="149">
        <v>61.908000000000001</v>
      </c>
      <c r="AJ88" s="2" t="s">
        <v>37</v>
      </c>
      <c r="AK88" s="164">
        <v>5.4025833963929702E-2</v>
      </c>
      <c r="AL88" s="164">
        <v>6.3669333442911203E-4</v>
      </c>
    </row>
    <row r="89" spans="1:38">
      <c r="A89" s="2" t="s">
        <v>256</v>
      </c>
      <c r="B89" s="2">
        <v>7207</v>
      </c>
      <c r="C89" s="2" t="s">
        <v>3209</v>
      </c>
      <c r="D89" s="2" t="s">
        <v>3210</v>
      </c>
      <c r="E89" s="4" t="s">
        <v>505</v>
      </c>
      <c r="F89" s="2" t="s">
        <v>3211</v>
      </c>
      <c r="G89" s="2" t="s">
        <v>3212</v>
      </c>
      <c r="H89" s="2" t="s">
        <v>511</v>
      </c>
      <c r="I89" s="2" t="s">
        <v>1154</v>
      </c>
      <c r="J89" s="2" t="s">
        <v>31</v>
      </c>
      <c r="K89" s="2" t="s">
        <v>155</v>
      </c>
      <c r="L89" s="4" t="s">
        <v>342</v>
      </c>
      <c r="M89" s="2" t="s">
        <v>629</v>
      </c>
      <c r="N89" s="2" t="s">
        <v>312</v>
      </c>
      <c r="O89" s="2" t="s">
        <v>3213</v>
      </c>
      <c r="P89" s="2" t="s">
        <v>2394</v>
      </c>
      <c r="Q89" s="2" t="s">
        <v>358</v>
      </c>
      <c r="R89" s="2" t="s">
        <v>596</v>
      </c>
      <c r="S89" s="2" t="s">
        <v>35</v>
      </c>
      <c r="T89" s="149">
        <v>3.56</v>
      </c>
      <c r="U89" s="2" t="s">
        <v>3214</v>
      </c>
      <c r="V89" s="164">
        <v>6.4839999999999995E-2</v>
      </c>
      <c r="W89" s="164">
        <v>3.3500000000000002E-2</v>
      </c>
      <c r="X89" s="4" t="s">
        <v>602</v>
      </c>
      <c r="Y89" s="4" t="s">
        <v>312</v>
      </c>
      <c r="Z89" s="2" t="s">
        <v>1083</v>
      </c>
      <c r="AA89" s="2" t="s">
        <v>3191</v>
      </c>
      <c r="AB89" s="2" t="s">
        <v>1558</v>
      </c>
      <c r="AD89" s="149">
        <v>105000</v>
      </c>
      <c r="AE89" s="149">
        <v>1</v>
      </c>
      <c r="AF89" s="149">
        <v>89.96</v>
      </c>
      <c r="AG89" s="149">
        <v>94.457999999999998</v>
      </c>
      <c r="AJ89" s="2" t="s">
        <v>37</v>
      </c>
      <c r="AK89" s="164">
        <v>8.24315472081939E-2</v>
      </c>
      <c r="AL89" s="164">
        <v>9.7145407675106803E-4</v>
      </c>
    </row>
    <row r="90" spans="1:38">
      <c r="A90" s="2" t="s">
        <v>256</v>
      </c>
      <c r="B90" s="2">
        <v>7207</v>
      </c>
      <c r="C90" s="2" t="s">
        <v>3220</v>
      </c>
      <c r="D90" s="2" t="s">
        <v>3221</v>
      </c>
      <c r="E90" s="4" t="s">
        <v>1552</v>
      </c>
      <c r="F90" s="2" t="s">
        <v>3222</v>
      </c>
      <c r="G90" s="2" t="s">
        <v>3223</v>
      </c>
      <c r="H90" s="2" t="s">
        <v>511</v>
      </c>
      <c r="I90" s="2" t="s">
        <v>342</v>
      </c>
      <c r="J90" s="2" t="s">
        <v>31</v>
      </c>
      <c r="K90" s="2" t="s">
        <v>31</v>
      </c>
      <c r="L90" s="4" t="s">
        <v>342</v>
      </c>
      <c r="M90" s="2" t="s">
        <v>641</v>
      </c>
      <c r="N90" s="2" t="s">
        <v>312</v>
      </c>
      <c r="O90" s="2" t="s">
        <v>341</v>
      </c>
      <c r="P90" s="2" t="s">
        <v>2165</v>
      </c>
      <c r="Q90" s="2" t="s">
        <v>342</v>
      </c>
      <c r="R90" s="2" t="s">
        <v>596</v>
      </c>
      <c r="S90" s="2" t="s">
        <v>35</v>
      </c>
      <c r="T90" s="149">
        <v>0</v>
      </c>
      <c r="U90" s="2" t="s">
        <v>3224</v>
      </c>
      <c r="V90" s="164">
        <v>0</v>
      </c>
      <c r="W90" s="164">
        <v>0.06</v>
      </c>
      <c r="X90" s="4" t="s">
        <v>602</v>
      </c>
      <c r="Y90" s="4" t="s">
        <v>530</v>
      </c>
      <c r="Z90" s="2" t="s">
        <v>1081</v>
      </c>
      <c r="AA90" s="2" t="s">
        <v>1085</v>
      </c>
      <c r="AD90" s="149">
        <v>115385.59</v>
      </c>
      <c r="AE90" s="149">
        <v>1</v>
      </c>
      <c r="AF90" s="149">
        <v>0</v>
      </c>
      <c r="AG90" s="149">
        <v>0</v>
      </c>
      <c r="AJ90" s="2" t="s">
        <v>37</v>
      </c>
      <c r="AK90" s="164">
        <v>0</v>
      </c>
      <c r="AL90" s="164">
        <v>0</v>
      </c>
    </row>
    <row r="91" spans="1:38">
      <c r="A91" s="2" t="s">
        <v>256</v>
      </c>
      <c r="B91" s="2">
        <v>7207</v>
      </c>
      <c r="C91" s="2" t="s">
        <v>3230</v>
      </c>
      <c r="D91" s="2" t="s">
        <v>3231</v>
      </c>
      <c r="E91" s="4" t="s">
        <v>1552</v>
      </c>
      <c r="F91" s="2" t="s">
        <v>3232</v>
      </c>
      <c r="G91" s="2" t="s">
        <v>3233</v>
      </c>
      <c r="H91" s="2" t="s">
        <v>511</v>
      </c>
      <c r="I91" s="2" t="s">
        <v>342</v>
      </c>
      <c r="J91" s="2" t="s">
        <v>31</v>
      </c>
      <c r="K91" s="2" t="s">
        <v>31</v>
      </c>
      <c r="L91" s="4" t="s">
        <v>342</v>
      </c>
      <c r="M91" s="2" t="s">
        <v>342</v>
      </c>
      <c r="N91" s="2" t="s">
        <v>312</v>
      </c>
      <c r="O91" s="2" t="s">
        <v>3234</v>
      </c>
      <c r="P91" s="2" t="s">
        <v>2165</v>
      </c>
      <c r="Q91" s="2" t="s">
        <v>342</v>
      </c>
      <c r="R91" s="2" t="s">
        <v>596</v>
      </c>
      <c r="S91" s="2" t="s">
        <v>35</v>
      </c>
      <c r="T91" s="149">
        <v>0.01</v>
      </c>
      <c r="U91" s="2" t="s">
        <v>3235</v>
      </c>
      <c r="V91" s="164">
        <v>1E-4</v>
      </c>
      <c r="W91" s="164">
        <v>6.4500000000000002E-2</v>
      </c>
      <c r="X91" s="4" t="s">
        <v>602</v>
      </c>
      <c r="Y91" s="4" t="s">
        <v>530</v>
      </c>
      <c r="Z91" s="2" t="s">
        <v>1081</v>
      </c>
      <c r="AA91" s="2" t="s">
        <v>1085</v>
      </c>
      <c r="AB91" s="2" t="s">
        <v>3236</v>
      </c>
      <c r="AD91" s="149">
        <v>42515.040000000001</v>
      </c>
      <c r="AE91" s="149">
        <v>1</v>
      </c>
      <c r="AF91" s="149">
        <v>0</v>
      </c>
      <c r="AG91" s="149">
        <v>0</v>
      </c>
      <c r="AJ91" s="2" t="s">
        <v>37</v>
      </c>
      <c r="AK91" s="164">
        <v>3.7101997997186603E-10</v>
      </c>
      <c r="AL91" s="164">
        <v>4.37246278041402E-12</v>
      </c>
    </row>
    <row r="92" spans="1:38">
      <c r="A92" s="2" t="s">
        <v>256</v>
      </c>
      <c r="B92" s="2">
        <v>7207</v>
      </c>
      <c r="C92" s="2" t="s">
        <v>3230</v>
      </c>
      <c r="D92" s="2" t="s">
        <v>3231</v>
      </c>
      <c r="E92" s="4" t="s">
        <v>1552</v>
      </c>
      <c r="F92" s="2" t="s">
        <v>3237</v>
      </c>
      <c r="G92" s="2" t="s">
        <v>3238</v>
      </c>
      <c r="H92" s="2" t="s">
        <v>511</v>
      </c>
      <c r="I92" s="2" t="s">
        <v>342</v>
      </c>
      <c r="J92" s="2" t="s">
        <v>31</v>
      </c>
      <c r="K92" s="2" t="s">
        <v>31</v>
      </c>
      <c r="L92" s="4" t="s">
        <v>342</v>
      </c>
      <c r="M92" s="2" t="s">
        <v>342</v>
      </c>
      <c r="N92" s="2" t="s">
        <v>312</v>
      </c>
      <c r="O92" s="2" t="s">
        <v>3234</v>
      </c>
      <c r="P92" s="2" t="s">
        <v>2165</v>
      </c>
      <c r="Q92" s="2" t="s">
        <v>342</v>
      </c>
      <c r="R92" s="2" t="s">
        <v>596</v>
      </c>
      <c r="S92" s="2" t="s">
        <v>35</v>
      </c>
      <c r="T92" s="149">
        <v>0.01</v>
      </c>
      <c r="U92" s="2" t="s">
        <v>3235</v>
      </c>
      <c r="V92" s="164">
        <v>1E-4</v>
      </c>
      <c r="W92" s="164">
        <v>5.7000000000000002E-2</v>
      </c>
      <c r="X92" s="4" t="s">
        <v>602</v>
      </c>
      <c r="Y92" s="4" t="s">
        <v>530</v>
      </c>
      <c r="Z92" s="2" t="s">
        <v>1081</v>
      </c>
      <c r="AA92" s="2" t="s">
        <v>1085</v>
      </c>
      <c r="AB92" s="2" t="s">
        <v>3236</v>
      </c>
      <c r="AD92" s="149">
        <v>9000</v>
      </c>
      <c r="AE92" s="149">
        <v>1</v>
      </c>
      <c r="AF92" s="149">
        <v>0</v>
      </c>
      <c r="AG92" s="149">
        <v>0</v>
      </c>
      <c r="AJ92" s="2" t="s">
        <v>37</v>
      </c>
      <c r="AK92" s="164">
        <v>7.8541142610868896E-11</v>
      </c>
      <c r="AL92" s="164">
        <v>9.2560573913904697E-13</v>
      </c>
    </row>
    <row r="93" spans="1:38">
      <c r="A93" s="2" t="s">
        <v>256</v>
      </c>
      <c r="B93" s="2">
        <v>7207</v>
      </c>
      <c r="C93" s="2" t="s">
        <v>3246</v>
      </c>
      <c r="D93" s="2" t="s">
        <v>3247</v>
      </c>
      <c r="E93" s="4" t="s">
        <v>34</v>
      </c>
      <c r="F93" s="2" t="s">
        <v>3248</v>
      </c>
      <c r="G93" s="2" t="s">
        <v>3249</v>
      </c>
      <c r="H93" s="2" t="s">
        <v>511</v>
      </c>
      <c r="I93" s="2" t="s">
        <v>342</v>
      </c>
      <c r="J93" s="2" t="s">
        <v>31</v>
      </c>
      <c r="K93" s="2" t="s">
        <v>31</v>
      </c>
      <c r="L93" s="4" t="s">
        <v>342</v>
      </c>
      <c r="M93" s="2" t="s">
        <v>635</v>
      </c>
      <c r="N93" s="2" t="s">
        <v>312</v>
      </c>
      <c r="O93" s="2" t="s">
        <v>3250</v>
      </c>
      <c r="P93" s="2" t="s">
        <v>2165</v>
      </c>
      <c r="Q93" s="2" t="s">
        <v>342</v>
      </c>
      <c r="R93" s="2" t="s">
        <v>596</v>
      </c>
      <c r="S93" s="2" t="s">
        <v>35</v>
      </c>
      <c r="T93" s="149">
        <v>0</v>
      </c>
      <c r="U93" s="2" t="s">
        <v>3251</v>
      </c>
      <c r="V93" s="164">
        <v>0</v>
      </c>
      <c r="W93" s="164">
        <v>8.8499999999999995E-2</v>
      </c>
      <c r="X93" s="4" t="s">
        <v>602</v>
      </c>
      <c r="Y93" s="4" t="s">
        <v>530</v>
      </c>
      <c r="Z93" s="2" t="s">
        <v>1081</v>
      </c>
      <c r="AA93" s="2" t="s">
        <v>1085</v>
      </c>
      <c r="AB93" s="2" t="s">
        <v>3113</v>
      </c>
      <c r="AD93" s="149">
        <v>40300</v>
      </c>
      <c r="AE93" s="149">
        <v>1</v>
      </c>
      <c r="AF93" s="149">
        <v>5.27</v>
      </c>
      <c r="AG93" s="149">
        <v>2.1240000000000001</v>
      </c>
      <c r="AJ93" s="2" t="s">
        <v>37</v>
      </c>
      <c r="AK93" s="164">
        <v>1.85340515653766E-3</v>
      </c>
      <c r="AL93" s="164">
        <v>2.1842341387121099E-5</v>
      </c>
    </row>
    <row r="94" spans="1:38">
      <c r="A94" s="2" t="s">
        <v>256</v>
      </c>
      <c r="B94" s="2">
        <v>7207</v>
      </c>
      <c r="C94" s="2" t="s">
        <v>3252</v>
      </c>
      <c r="D94" s="2" t="s">
        <v>3253</v>
      </c>
      <c r="E94" s="4" t="s">
        <v>1552</v>
      </c>
      <c r="F94" s="2" t="s">
        <v>3254</v>
      </c>
      <c r="G94" s="2" t="s">
        <v>3255</v>
      </c>
      <c r="H94" s="2" t="s">
        <v>511</v>
      </c>
      <c r="I94" s="2" t="s">
        <v>1154</v>
      </c>
      <c r="J94" s="2" t="s">
        <v>31</v>
      </c>
      <c r="K94" s="2" t="s">
        <v>31</v>
      </c>
      <c r="L94" s="4" t="s">
        <v>342</v>
      </c>
      <c r="M94" s="2" t="s">
        <v>650</v>
      </c>
      <c r="N94" s="2" t="s">
        <v>312</v>
      </c>
      <c r="O94" s="2" t="s">
        <v>3256</v>
      </c>
      <c r="P94" s="2" t="s">
        <v>2327</v>
      </c>
      <c r="Q94" s="2" t="s">
        <v>621</v>
      </c>
      <c r="R94" s="2" t="s">
        <v>596</v>
      </c>
      <c r="S94" s="2" t="s">
        <v>35</v>
      </c>
      <c r="T94" s="149">
        <v>1.66</v>
      </c>
      <c r="U94" s="2" t="s">
        <v>2203</v>
      </c>
      <c r="V94" s="164">
        <v>6.2640000000000001E-2</v>
      </c>
      <c r="W94" s="164">
        <v>4.2999999999999997E-2</v>
      </c>
      <c r="X94" s="4" t="s">
        <v>602</v>
      </c>
      <c r="Y94" s="4" t="s">
        <v>312</v>
      </c>
      <c r="Z94" s="2" t="s">
        <v>1083</v>
      </c>
      <c r="AA94" s="2" t="s">
        <v>1086</v>
      </c>
      <c r="AB94" s="2" t="s">
        <v>1558</v>
      </c>
      <c r="AD94" s="149">
        <v>70000</v>
      </c>
      <c r="AE94" s="149">
        <v>1</v>
      </c>
      <c r="AF94" s="149">
        <v>97.01</v>
      </c>
      <c r="AG94" s="149">
        <v>67.906999999999996</v>
      </c>
      <c r="AJ94" s="2" t="s">
        <v>37</v>
      </c>
      <c r="AK94" s="164">
        <v>5.9261037458625203E-2</v>
      </c>
      <c r="AL94" s="164">
        <v>6.9839009919683598E-4</v>
      </c>
    </row>
    <row r="95" spans="1:38">
      <c r="A95" s="2" t="s">
        <v>256</v>
      </c>
      <c r="B95" s="2">
        <v>7207</v>
      </c>
      <c r="C95" s="2" t="s">
        <v>3276</v>
      </c>
      <c r="D95" s="2" t="s">
        <v>3277</v>
      </c>
      <c r="E95" s="4" t="s">
        <v>1552</v>
      </c>
      <c r="F95" s="2" t="s">
        <v>3278</v>
      </c>
      <c r="G95" s="2" t="s">
        <v>3279</v>
      </c>
      <c r="H95" s="2" t="s">
        <v>511</v>
      </c>
      <c r="I95" s="2" t="s">
        <v>1154</v>
      </c>
      <c r="J95" s="2" t="s">
        <v>31</v>
      </c>
      <c r="K95" s="2" t="s">
        <v>31</v>
      </c>
      <c r="L95" s="4" t="s">
        <v>342</v>
      </c>
      <c r="M95" s="2" t="s">
        <v>639</v>
      </c>
      <c r="N95" s="2" t="s">
        <v>312</v>
      </c>
      <c r="O95" s="2" t="s">
        <v>3280</v>
      </c>
      <c r="P95" s="2" t="s">
        <v>2161</v>
      </c>
      <c r="Q95" s="2" t="s">
        <v>621</v>
      </c>
      <c r="R95" s="2" t="s">
        <v>596</v>
      </c>
      <c r="S95" s="2" t="s">
        <v>35</v>
      </c>
      <c r="T95" s="149">
        <v>2.33</v>
      </c>
      <c r="U95" s="2" t="s">
        <v>3281</v>
      </c>
      <c r="V95" s="164">
        <v>6.3109999999999999E-2</v>
      </c>
      <c r="W95" s="164">
        <v>2.86E-2</v>
      </c>
      <c r="X95" s="4" t="s">
        <v>602</v>
      </c>
      <c r="Y95" s="4" t="s">
        <v>312</v>
      </c>
      <c r="Z95" s="2" t="s">
        <v>1083</v>
      </c>
      <c r="AA95" s="2" t="s">
        <v>1086</v>
      </c>
      <c r="AB95" s="2" t="s">
        <v>1558</v>
      </c>
      <c r="AD95" s="149">
        <v>42857.14</v>
      </c>
      <c r="AE95" s="149">
        <v>1</v>
      </c>
      <c r="AF95" s="149">
        <v>93.81</v>
      </c>
      <c r="AG95" s="149">
        <v>40.204000000000001</v>
      </c>
      <c r="AJ95" s="2" t="s">
        <v>37</v>
      </c>
      <c r="AK95" s="164">
        <v>3.5085448081568098E-2</v>
      </c>
      <c r="AL95" s="164">
        <v>4.1348127904712199E-4</v>
      </c>
    </row>
    <row r="96" spans="1:38">
      <c r="A96" s="2" t="s">
        <v>256</v>
      </c>
      <c r="B96" s="2">
        <v>7207</v>
      </c>
      <c r="C96" s="2" t="s">
        <v>3282</v>
      </c>
      <c r="D96" s="2" t="s">
        <v>3283</v>
      </c>
      <c r="E96" s="4" t="s">
        <v>1552</v>
      </c>
      <c r="F96" s="2" t="s">
        <v>3284</v>
      </c>
      <c r="G96" s="2" t="s">
        <v>3285</v>
      </c>
      <c r="H96" s="2" t="s">
        <v>511</v>
      </c>
      <c r="I96" s="2" t="s">
        <v>1154</v>
      </c>
      <c r="J96" s="2" t="s">
        <v>31</v>
      </c>
      <c r="K96" s="2" t="s">
        <v>31</v>
      </c>
      <c r="L96" s="4" t="s">
        <v>342</v>
      </c>
      <c r="M96" s="2" t="s">
        <v>639</v>
      </c>
      <c r="N96" s="2" t="s">
        <v>312</v>
      </c>
      <c r="O96" s="2" t="s">
        <v>3286</v>
      </c>
      <c r="P96" s="2" t="s">
        <v>2234</v>
      </c>
      <c r="Q96" s="2" t="s">
        <v>621</v>
      </c>
      <c r="R96" s="2" t="s">
        <v>596</v>
      </c>
      <c r="S96" s="2" t="s">
        <v>35</v>
      </c>
      <c r="T96" s="149">
        <v>2.37</v>
      </c>
      <c r="U96" s="2" t="s">
        <v>2180</v>
      </c>
      <c r="V96" s="164">
        <v>6.2659999999999993E-2</v>
      </c>
      <c r="W96" s="164">
        <v>4.4699999999999997E-2</v>
      </c>
      <c r="X96" s="4" t="s">
        <v>602</v>
      </c>
      <c r="Y96" s="4" t="s">
        <v>312</v>
      </c>
      <c r="Z96" s="2" t="s">
        <v>1083</v>
      </c>
      <c r="AA96" s="2" t="s">
        <v>1086</v>
      </c>
      <c r="AB96" s="2" t="s">
        <v>1558</v>
      </c>
      <c r="AD96" s="149">
        <v>58444.6</v>
      </c>
      <c r="AE96" s="149">
        <v>1</v>
      </c>
      <c r="AF96" s="149">
        <v>96.14</v>
      </c>
      <c r="AG96" s="149">
        <v>56.189</v>
      </c>
      <c r="AJ96" s="2" t="s">
        <v>37</v>
      </c>
      <c r="AK96" s="164">
        <v>4.90346651647399E-2</v>
      </c>
      <c r="AL96" s="164">
        <v>5.7787251349414304E-4</v>
      </c>
    </row>
    <row r="97" spans="1:38">
      <c r="A97" s="2" t="s">
        <v>256</v>
      </c>
      <c r="B97" s="2">
        <v>7207</v>
      </c>
      <c r="C97" s="2" t="s">
        <v>2529</v>
      </c>
      <c r="D97" s="2" t="s">
        <v>2530</v>
      </c>
      <c r="E97" s="4" t="s">
        <v>1552</v>
      </c>
      <c r="F97" s="2" t="s">
        <v>3187</v>
      </c>
      <c r="G97" s="2" t="s">
        <v>3188</v>
      </c>
      <c r="H97" s="2" t="s">
        <v>511</v>
      </c>
      <c r="I97" s="2" t="s">
        <v>945</v>
      </c>
      <c r="J97" s="2" t="s">
        <v>31</v>
      </c>
      <c r="K97" s="2" t="s">
        <v>31</v>
      </c>
      <c r="L97" s="4" t="s">
        <v>342</v>
      </c>
      <c r="M97" s="2" t="s">
        <v>666</v>
      </c>
      <c r="N97" s="2" t="s">
        <v>312</v>
      </c>
      <c r="O97" s="2" t="s">
        <v>3294</v>
      </c>
      <c r="P97" s="2" t="s">
        <v>357</v>
      </c>
      <c r="Q97" s="2" t="s">
        <v>358</v>
      </c>
      <c r="R97" s="2" t="s">
        <v>596</v>
      </c>
      <c r="S97" s="2" t="s">
        <v>35</v>
      </c>
      <c r="T97" s="149">
        <v>9.0299999999999994</v>
      </c>
      <c r="U97" s="2" t="s">
        <v>3190</v>
      </c>
      <c r="V97" s="164">
        <v>3.4110000000000001E-2</v>
      </c>
      <c r="W97" s="164">
        <v>4.1000000000000002E-2</v>
      </c>
      <c r="X97" s="4" t="s">
        <v>602</v>
      </c>
      <c r="Y97" s="4" t="s">
        <v>312</v>
      </c>
      <c r="Z97" s="2" t="s">
        <v>1083</v>
      </c>
      <c r="AA97" s="2" t="s">
        <v>3191</v>
      </c>
      <c r="AB97" s="2" t="s">
        <v>1558</v>
      </c>
      <c r="AD97" s="149">
        <v>197564.72</v>
      </c>
      <c r="AE97" s="149">
        <v>1</v>
      </c>
      <c r="AF97" s="149">
        <v>129.74</v>
      </c>
      <c r="AG97" s="149">
        <v>256.32</v>
      </c>
      <c r="AJ97" s="2" t="s">
        <v>37</v>
      </c>
      <c r="AK97" s="164">
        <v>0.22368558233232699</v>
      </c>
      <c r="AL97" s="164">
        <v>2.6361299554204598E-3</v>
      </c>
    </row>
    <row r="98" spans="1:38">
      <c r="A98" s="2" t="s">
        <v>256</v>
      </c>
      <c r="B98" s="2">
        <v>7207</v>
      </c>
      <c r="C98" s="2" t="s">
        <v>3321</v>
      </c>
      <c r="D98" s="2" t="s">
        <v>3322</v>
      </c>
      <c r="E98" s="4" t="s">
        <v>1552</v>
      </c>
      <c r="F98" s="2" t="s">
        <v>3323</v>
      </c>
      <c r="G98" s="2" t="s">
        <v>3324</v>
      </c>
      <c r="H98" s="2" t="s">
        <v>511</v>
      </c>
      <c r="I98" s="2" t="s">
        <v>1154</v>
      </c>
      <c r="J98" s="2" t="s">
        <v>31</v>
      </c>
      <c r="K98" s="2" t="s">
        <v>31</v>
      </c>
      <c r="L98" s="4" t="s">
        <v>342</v>
      </c>
      <c r="M98" s="2" t="s">
        <v>634</v>
      </c>
      <c r="N98" s="2" t="s">
        <v>312</v>
      </c>
      <c r="O98" s="2" t="s">
        <v>3325</v>
      </c>
      <c r="P98" s="2" t="s">
        <v>157</v>
      </c>
      <c r="Q98" s="2" t="s">
        <v>604</v>
      </c>
      <c r="R98" s="2" t="s">
        <v>596</v>
      </c>
      <c r="S98" s="2" t="s">
        <v>35</v>
      </c>
      <c r="T98" s="149">
        <v>1.18</v>
      </c>
      <c r="U98" s="2" t="s">
        <v>3006</v>
      </c>
      <c r="V98" s="164">
        <v>5.0270000000000002E-2</v>
      </c>
      <c r="W98" s="164">
        <v>2.5000000000000001E-2</v>
      </c>
      <c r="X98" s="4" t="s">
        <v>602</v>
      </c>
      <c r="Y98" s="4" t="s">
        <v>312</v>
      </c>
      <c r="Z98" s="2" t="s">
        <v>1083</v>
      </c>
      <c r="AA98" s="2" t="s">
        <v>3191</v>
      </c>
      <c r="AB98" s="2" t="s">
        <v>1558</v>
      </c>
      <c r="AD98" s="149">
        <v>47969.760000000002</v>
      </c>
      <c r="AE98" s="149">
        <v>1</v>
      </c>
      <c r="AF98" s="149">
        <v>97.89</v>
      </c>
      <c r="AG98" s="149">
        <v>46.957999999999998</v>
      </c>
      <c r="AJ98" s="2" t="s">
        <v>37</v>
      </c>
      <c r="AK98" s="164">
        <v>4.0978926735649797E-2</v>
      </c>
      <c r="AL98" s="164">
        <v>4.8293580293581098E-4</v>
      </c>
    </row>
    <row r="99" spans="1:38">
      <c r="A99" s="2" t="s">
        <v>256</v>
      </c>
      <c r="B99" s="2">
        <v>7207</v>
      </c>
      <c r="C99" s="2" t="s">
        <v>3321</v>
      </c>
      <c r="D99" s="2" t="s">
        <v>3322</v>
      </c>
      <c r="E99" s="4" t="s">
        <v>1552</v>
      </c>
      <c r="F99" s="2" t="s">
        <v>3326</v>
      </c>
      <c r="G99" s="2" t="s">
        <v>3327</v>
      </c>
      <c r="H99" s="2" t="s">
        <v>511</v>
      </c>
      <c r="I99" s="2" t="s">
        <v>1154</v>
      </c>
      <c r="J99" s="2" t="s">
        <v>31</v>
      </c>
      <c r="K99" s="2" t="s">
        <v>31</v>
      </c>
      <c r="L99" s="4" t="s">
        <v>342</v>
      </c>
      <c r="M99" s="2" t="s">
        <v>634</v>
      </c>
      <c r="N99" s="2" t="s">
        <v>312</v>
      </c>
      <c r="O99" s="2" t="s">
        <v>3325</v>
      </c>
      <c r="P99" s="2" t="s">
        <v>157</v>
      </c>
      <c r="Q99" s="2" t="s">
        <v>604</v>
      </c>
      <c r="R99" s="2" t="s">
        <v>596</v>
      </c>
      <c r="S99" s="2" t="s">
        <v>35</v>
      </c>
      <c r="T99" s="149">
        <v>4.41</v>
      </c>
      <c r="U99" s="2" t="s">
        <v>3328</v>
      </c>
      <c r="V99" s="164">
        <v>5.6919999999999998E-2</v>
      </c>
      <c r="W99" s="164">
        <v>3.7400000000000003E-2</v>
      </c>
      <c r="X99" s="4" t="s">
        <v>602</v>
      </c>
      <c r="Y99" s="4" t="s">
        <v>312</v>
      </c>
      <c r="Z99" s="2" t="s">
        <v>1083</v>
      </c>
      <c r="AA99" s="2" t="s">
        <v>3191</v>
      </c>
      <c r="AB99" s="2" t="s">
        <v>1558</v>
      </c>
      <c r="AD99" s="149">
        <v>94313.26</v>
      </c>
      <c r="AE99" s="149">
        <v>1</v>
      </c>
      <c r="AF99" s="149">
        <v>93.08</v>
      </c>
      <c r="AG99" s="149">
        <v>87.787000000000006</v>
      </c>
      <c r="AJ99" s="2" t="s">
        <v>37</v>
      </c>
      <c r="AK99" s="164">
        <v>7.6609713293955994E-2</v>
      </c>
      <c r="AL99" s="164">
        <v>9.0284388463772805E-4</v>
      </c>
    </row>
    <row r="100" spans="1:38">
      <c r="A100" s="2" t="s">
        <v>256</v>
      </c>
      <c r="B100" s="2">
        <v>7207</v>
      </c>
      <c r="C100" s="2" t="s">
        <v>3329</v>
      </c>
      <c r="D100" s="2" t="s">
        <v>3330</v>
      </c>
      <c r="E100" s="4" t="s">
        <v>1552</v>
      </c>
      <c r="F100" s="2" t="s">
        <v>3331</v>
      </c>
      <c r="G100" s="2" t="s">
        <v>3332</v>
      </c>
      <c r="H100" s="2" t="s">
        <v>511</v>
      </c>
      <c r="I100" s="2" t="s">
        <v>945</v>
      </c>
      <c r="J100" s="2" t="s">
        <v>31</v>
      </c>
      <c r="K100" s="2" t="s">
        <v>31</v>
      </c>
      <c r="L100" s="4" t="s">
        <v>342</v>
      </c>
      <c r="M100" s="2" t="s">
        <v>666</v>
      </c>
      <c r="N100" s="2" t="s">
        <v>312</v>
      </c>
      <c r="O100" s="2" t="s">
        <v>341</v>
      </c>
      <c r="P100" s="2" t="s">
        <v>157</v>
      </c>
      <c r="Q100" s="2" t="s">
        <v>604</v>
      </c>
      <c r="R100" s="2" t="s">
        <v>596</v>
      </c>
      <c r="S100" s="2" t="s">
        <v>35</v>
      </c>
      <c r="T100" s="149">
        <v>4.1100000000000003</v>
      </c>
      <c r="U100" s="2" t="s">
        <v>2524</v>
      </c>
      <c r="V100" s="164">
        <v>3.1910000000000001E-2</v>
      </c>
      <c r="W100" s="164">
        <v>1.55E-2</v>
      </c>
      <c r="X100" s="4" t="s">
        <v>602</v>
      </c>
      <c r="Y100" s="4" t="s">
        <v>312</v>
      </c>
      <c r="Z100" s="2" t="s">
        <v>1083</v>
      </c>
      <c r="AA100" s="2" t="s">
        <v>1086</v>
      </c>
      <c r="AB100" s="2" t="s">
        <v>1558</v>
      </c>
      <c r="AD100" s="149">
        <v>245287.15</v>
      </c>
      <c r="AE100" s="149">
        <v>1</v>
      </c>
      <c r="AF100" s="149">
        <v>100.61</v>
      </c>
      <c r="AG100" s="149">
        <v>246.78299999999999</v>
      </c>
      <c r="AJ100" s="2" t="s">
        <v>37</v>
      </c>
      <c r="AK100" s="164">
        <v>0.21536278155821201</v>
      </c>
      <c r="AL100" s="164">
        <v>2.5380459206566699E-3</v>
      </c>
    </row>
    <row r="101" spans="1:38">
      <c r="A101" s="2" t="s">
        <v>256</v>
      </c>
      <c r="B101" s="2">
        <v>7207</v>
      </c>
      <c r="C101" s="2" t="s">
        <v>3329</v>
      </c>
      <c r="D101" s="2" t="s">
        <v>3330</v>
      </c>
      <c r="E101" s="4" t="s">
        <v>1552</v>
      </c>
      <c r="F101" s="2" t="s">
        <v>3333</v>
      </c>
      <c r="G101" s="2" t="s">
        <v>3334</v>
      </c>
      <c r="H101" s="2" t="s">
        <v>511</v>
      </c>
      <c r="I101" s="2" t="s">
        <v>945</v>
      </c>
      <c r="J101" s="2" t="s">
        <v>31</v>
      </c>
      <c r="K101" s="2" t="s">
        <v>31</v>
      </c>
      <c r="L101" s="4" t="s">
        <v>342</v>
      </c>
      <c r="M101" s="2" t="s">
        <v>666</v>
      </c>
      <c r="N101" s="2" t="s">
        <v>312</v>
      </c>
      <c r="O101" s="2" t="s">
        <v>341</v>
      </c>
      <c r="P101" s="2" t="s">
        <v>157</v>
      </c>
      <c r="Q101" s="2" t="s">
        <v>604</v>
      </c>
      <c r="R101" s="2" t="s">
        <v>596</v>
      </c>
      <c r="S101" s="2" t="s">
        <v>35</v>
      </c>
      <c r="T101" s="149">
        <v>6.83</v>
      </c>
      <c r="U101" s="2" t="s">
        <v>3335</v>
      </c>
      <c r="V101" s="164">
        <v>3.4200000000000001E-2</v>
      </c>
      <c r="W101" s="164">
        <v>1.7500000000000002E-2</v>
      </c>
      <c r="X101" s="4" t="s">
        <v>602</v>
      </c>
      <c r="Y101" s="4" t="s">
        <v>312</v>
      </c>
      <c r="Z101" s="2" t="s">
        <v>1083</v>
      </c>
      <c r="AA101" s="2" t="s">
        <v>1086</v>
      </c>
      <c r="AB101" s="2" t="s">
        <v>1558</v>
      </c>
      <c r="AD101" s="149">
        <v>57000</v>
      </c>
      <c r="AE101" s="149">
        <v>1</v>
      </c>
      <c r="AF101" s="149">
        <v>96.05</v>
      </c>
      <c r="AG101" s="149">
        <v>54.747999999999998</v>
      </c>
      <c r="AJ101" s="2" t="s">
        <v>37</v>
      </c>
      <c r="AK101" s="164">
        <v>4.7777886069235102E-2</v>
      </c>
      <c r="AL101" s="164">
        <v>5.6306139788060098E-4</v>
      </c>
    </row>
    <row r="102" spans="1:38">
      <c r="A102" s="2" t="s">
        <v>256</v>
      </c>
      <c r="B102" s="2">
        <v>7207</v>
      </c>
      <c r="C102" s="2" t="s">
        <v>3336</v>
      </c>
      <c r="D102" s="2" t="s">
        <v>3337</v>
      </c>
      <c r="E102" s="4" t="s">
        <v>1552</v>
      </c>
      <c r="F102" s="2" t="s">
        <v>3338</v>
      </c>
      <c r="G102" s="2" t="s">
        <v>3339</v>
      </c>
      <c r="H102" s="2" t="s">
        <v>511</v>
      </c>
      <c r="I102" s="2" t="s">
        <v>945</v>
      </c>
      <c r="J102" s="2" t="s">
        <v>31</v>
      </c>
      <c r="K102" s="2" t="s">
        <v>31</v>
      </c>
      <c r="L102" s="4" t="s">
        <v>342</v>
      </c>
      <c r="M102" s="2" t="s">
        <v>628</v>
      </c>
      <c r="N102" s="2" t="s">
        <v>312</v>
      </c>
      <c r="O102" s="2" t="s">
        <v>3340</v>
      </c>
      <c r="P102" s="2" t="s">
        <v>357</v>
      </c>
      <c r="Q102" s="2" t="s">
        <v>621</v>
      </c>
      <c r="R102" s="2" t="s">
        <v>596</v>
      </c>
      <c r="S102" s="2" t="s">
        <v>35</v>
      </c>
      <c r="T102" s="149">
        <v>7.61</v>
      </c>
      <c r="U102" s="2" t="s">
        <v>3341</v>
      </c>
      <c r="V102" s="164">
        <v>3.209E-2</v>
      </c>
      <c r="W102" s="164">
        <v>8.3000000000000001E-3</v>
      </c>
      <c r="X102" s="4" t="s">
        <v>602</v>
      </c>
      <c r="Y102" s="4" t="s">
        <v>312</v>
      </c>
      <c r="Z102" s="2" t="s">
        <v>1083</v>
      </c>
      <c r="AA102" s="2" t="s">
        <v>1086</v>
      </c>
      <c r="AB102" s="2" t="s">
        <v>1558</v>
      </c>
      <c r="AD102" s="149">
        <v>110941.32</v>
      </c>
      <c r="AE102" s="149">
        <v>1</v>
      </c>
      <c r="AF102" s="149">
        <v>94.68</v>
      </c>
      <c r="AG102" s="149">
        <v>105.039</v>
      </c>
      <c r="AJ102" s="2" t="s">
        <v>37</v>
      </c>
      <c r="AK102" s="164">
        <v>9.1665578534070605E-2</v>
      </c>
      <c r="AL102" s="164">
        <v>1.08027694469644E-3</v>
      </c>
    </row>
    <row r="103" spans="1:38">
      <c r="A103" s="2" t="s">
        <v>256</v>
      </c>
      <c r="B103" s="2">
        <v>7207</v>
      </c>
      <c r="C103" s="2" t="s">
        <v>3192</v>
      </c>
      <c r="D103" s="2" t="s">
        <v>3193</v>
      </c>
      <c r="E103" s="4" t="s">
        <v>1552</v>
      </c>
      <c r="F103" s="2" t="s">
        <v>3194</v>
      </c>
      <c r="G103" s="2" t="s">
        <v>3195</v>
      </c>
      <c r="H103" s="2" t="s">
        <v>511</v>
      </c>
      <c r="I103" s="2" t="s">
        <v>364</v>
      </c>
      <c r="J103" s="2" t="s">
        <v>31</v>
      </c>
      <c r="K103" s="2" t="s">
        <v>31</v>
      </c>
      <c r="L103" s="4" t="s">
        <v>342</v>
      </c>
      <c r="M103" s="2" t="s">
        <v>675</v>
      </c>
      <c r="N103" s="2" t="s">
        <v>312</v>
      </c>
      <c r="O103" s="2" t="s">
        <v>3196</v>
      </c>
      <c r="P103" s="2" t="s">
        <v>2814</v>
      </c>
      <c r="Q103" s="2" t="s">
        <v>621</v>
      </c>
      <c r="R103" s="2" t="s">
        <v>596</v>
      </c>
      <c r="S103" s="2" t="s">
        <v>159</v>
      </c>
      <c r="T103" s="149">
        <v>6.24</v>
      </c>
      <c r="U103" s="2" t="s">
        <v>2322</v>
      </c>
      <c r="V103" s="164">
        <v>8.7040000000000006E-2</v>
      </c>
      <c r="W103" s="164">
        <v>8.5000000000000006E-2</v>
      </c>
      <c r="X103" s="4" t="s">
        <v>602</v>
      </c>
      <c r="Y103" s="4" t="s">
        <v>312</v>
      </c>
      <c r="Z103" s="2" t="s">
        <v>342</v>
      </c>
      <c r="AA103" s="2" t="s">
        <v>1086</v>
      </c>
      <c r="AB103" s="2" t="s">
        <v>1558</v>
      </c>
      <c r="AD103" s="149">
        <v>7000</v>
      </c>
      <c r="AE103" s="149">
        <v>3.7589999999999999</v>
      </c>
      <c r="AF103" s="149">
        <v>96.798000000000002</v>
      </c>
      <c r="AG103" s="149">
        <v>25.471</v>
      </c>
      <c r="AJ103" s="2" t="s">
        <v>37</v>
      </c>
      <c r="AK103" s="164">
        <v>2.22275939933941E-2</v>
      </c>
      <c r="AL103" s="164">
        <v>2.6195173489481499E-4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11" width="11.6640625" style="2" customWidth="1"/>
    <col min="12" max="12" width="11.6640625" style="4" customWidth="1"/>
    <col min="13" max="26" width="11.6640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516</v>
      </c>
      <c r="M1" s="19" t="s">
        <v>322</v>
      </c>
      <c r="N1" s="19" t="s">
        <v>298</v>
      </c>
      <c r="O1" s="19" t="s">
        <v>330</v>
      </c>
      <c r="P1" s="19" t="s">
        <v>11</v>
      </c>
      <c r="Q1" s="19" t="s">
        <v>323</v>
      </c>
      <c r="R1" s="19" t="s">
        <v>324</v>
      </c>
      <c r="S1" s="19" t="s">
        <v>307</v>
      </c>
      <c r="T1" s="19" t="s">
        <v>325</v>
      </c>
      <c r="U1" s="19" t="s">
        <v>17</v>
      </c>
      <c r="V1" s="19" t="s">
        <v>18</v>
      </c>
      <c r="W1" s="19" t="s">
        <v>19</v>
      </c>
      <c r="X1" s="19" t="s">
        <v>20</v>
      </c>
      <c r="Y1" s="19" t="s">
        <v>24</v>
      </c>
      <c r="Z1" s="19" t="s">
        <v>25</v>
      </c>
    </row>
    <row r="2" spans="1:26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18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18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P4" s="18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18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18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18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18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18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18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18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18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18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18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18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18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18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18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>
      <c r="A19" s="4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18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>
      <c r="E20" s="18"/>
      <c r="H20" s="4"/>
      <c r="I20" s="20"/>
      <c r="J20" s="18"/>
      <c r="K20" s="18"/>
      <c r="L20" s="20"/>
      <c r="M20" s="20"/>
      <c r="N20" s="20"/>
      <c r="R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4"/>
  <cols>
    <col min="1" max="15" width="11.6640625" style="2" customWidth="1"/>
    <col min="16" max="16" width="11.6640625" customWidth="1"/>
    <col min="17" max="26" width="11.6640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382</v>
      </c>
      <c r="D1" s="19" t="s">
        <v>383</v>
      </c>
      <c r="E1" s="19" t="s">
        <v>384</v>
      </c>
      <c r="F1" s="19" t="s">
        <v>385</v>
      </c>
      <c r="G1" s="19" t="s">
        <v>386</v>
      </c>
      <c r="H1" s="19" t="s">
        <v>387</v>
      </c>
      <c r="I1" s="19" t="s">
        <v>5</v>
      </c>
      <c r="J1" s="19" t="s">
        <v>1021</v>
      </c>
      <c r="K1" s="19" t="s">
        <v>6</v>
      </c>
      <c r="L1" s="19" t="s">
        <v>1316</v>
      </c>
      <c r="M1" s="19" t="s">
        <v>1317</v>
      </c>
      <c r="N1" s="19" t="s">
        <v>7</v>
      </c>
      <c r="O1" s="19" t="s">
        <v>298</v>
      </c>
      <c r="P1" s="29" t="s">
        <v>330</v>
      </c>
      <c r="Q1" s="19" t="s">
        <v>11</v>
      </c>
      <c r="R1" s="19" t="s">
        <v>323</v>
      </c>
      <c r="S1" s="19" t="s">
        <v>324</v>
      </c>
      <c r="T1" s="19" t="s">
        <v>307</v>
      </c>
      <c r="U1" s="19" t="s">
        <v>18</v>
      </c>
      <c r="V1" s="105" t="s">
        <v>3081</v>
      </c>
      <c r="W1" s="19" t="s">
        <v>20</v>
      </c>
      <c r="X1" s="19" t="s">
        <v>1319</v>
      </c>
      <c r="Y1" s="163" t="s">
        <v>24</v>
      </c>
      <c r="Z1" s="163" t="s">
        <v>25</v>
      </c>
      <c r="AA1" s="11"/>
    </row>
    <row r="2" spans="1:27">
      <c r="A2" s="20" t="s">
        <v>256</v>
      </c>
      <c r="B2" s="20">
        <v>556</v>
      </c>
      <c r="C2" s="20" t="s">
        <v>3082</v>
      </c>
      <c r="D2" s="20" t="s">
        <v>3083</v>
      </c>
      <c r="E2" s="20" t="s">
        <v>1552</v>
      </c>
      <c r="F2" s="20" t="s">
        <v>3084</v>
      </c>
      <c r="G2" s="20">
        <v>666105929</v>
      </c>
      <c r="H2" s="20" t="s">
        <v>34</v>
      </c>
      <c r="I2" s="2" t="s">
        <v>1213</v>
      </c>
      <c r="J2" s="9" t="s">
        <v>1039</v>
      </c>
      <c r="K2" s="18" t="s">
        <v>31</v>
      </c>
      <c r="L2" s="20" t="s">
        <v>31</v>
      </c>
      <c r="M2" s="20" t="s">
        <v>31</v>
      </c>
      <c r="N2" s="18" t="s">
        <v>31</v>
      </c>
      <c r="O2" s="20" t="s">
        <v>312</v>
      </c>
      <c r="P2" t="s">
        <v>3085</v>
      </c>
      <c r="Q2" s="18" t="s">
        <v>35</v>
      </c>
      <c r="R2" s="20" t="s">
        <v>1082</v>
      </c>
      <c r="S2" s="20"/>
      <c r="T2" s="20" t="s">
        <v>3086</v>
      </c>
      <c r="U2" s="152">
        <v>1</v>
      </c>
      <c r="V2" s="152">
        <v>2092.8519999999999</v>
      </c>
      <c r="W2" s="152">
        <v>2092.8519999999999</v>
      </c>
      <c r="X2" s="20"/>
      <c r="Y2" s="170">
        <v>0.106016303679941</v>
      </c>
      <c r="Z2" s="170">
        <v>6.56186445762334E-3</v>
      </c>
    </row>
    <row r="3" spans="1:27">
      <c r="A3" s="20" t="s">
        <v>256</v>
      </c>
      <c r="B3" s="20">
        <v>556</v>
      </c>
      <c r="C3" s="20" t="s">
        <v>3087</v>
      </c>
      <c r="D3" s="182" t="s">
        <v>3088</v>
      </c>
      <c r="E3" s="20" t="s">
        <v>504</v>
      </c>
      <c r="F3" s="20" t="s">
        <v>3089</v>
      </c>
      <c r="G3" s="20">
        <v>666107420</v>
      </c>
      <c r="H3" s="20" t="s">
        <v>34</v>
      </c>
      <c r="I3" s="2" t="s">
        <v>1213</v>
      </c>
      <c r="J3" s="27" t="s">
        <v>1034</v>
      </c>
      <c r="K3" s="18" t="s">
        <v>31</v>
      </c>
      <c r="L3" s="20" t="s">
        <v>31</v>
      </c>
      <c r="M3" s="20" t="s">
        <v>31</v>
      </c>
      <c r="N3" s="18" t="s">
        <v>155</v>
      </c>
      <c r="O3" s="20" t="s">
        <v>312</v>
      </c>
      <c r="P3" t="s">
        <v>3090</v>
      </c>
      <c r="Q3" s="18" t="s">
        <v>159</v>
      </c>
      <c r="R3" s="20" t="s">
        <v>1082</v>
      </c>
      <c r="S3" s="20"/>
      <c r="T3" s="27" t="s">
        <v>3091</v>
      </c>
      <c r="U3" s="152">
        <v>3.7589999999999999</v>
      </c>
      <c r="V3" s="152">
        <v>310.88</v>
      </c>
      <c r="W3" s="152">
        <v>1168.598</v>
      </c>
      <c r="X3" s="27"/>
      <c r="Y3" s="170">
        <v>5.9196938522183398E-2</v>
      </c>
      <c r="Z3" s="170">
        <v>3.6639863247969898E-3</v>
      </c>
    </row>
    <row r="4" spans="1:27">
      <c r="A4" s="20" t="s">
        <v>256</v>
      </c>
      <c r="B4" s="20">
        <v>556</v>
      </c>
      <c r="C4" s="20" t="s">
        <v>3092</v>
      </c>
      <c r="D4" s="2" t="s">
        <v>3093</v>
      </c>
      <c r="E4" s="20" t="s">
        <v>503</v>
      </c>
      <c r="F4" s="20" t="s">
        <v>3094</v>
      </c>
      <c r="G4" s="20">
        <v>666103635</v>
      </c>
      <c r="H4" s="20" t="s">
        <v>34</v>
      </c>
      <c r="I4" s="2" t="s">
        <v>1217</v>
      </c>
      <c r="J4" s="20" t="s">
        <v>1033</v>
      </c>
      <c r="K4" s="18" t="s">
        <v>31</v>
      </c>
      <c r="L4" s="20" t="s">
        <v>31</v>
      </c>
      <c r="M4" s="20" t="s">
        <v>31</v>
      </c>
      <c r="N4" s="18" t="s">
        <v>31</v>
      </c>
      <c r="O4" s="20" t="s">
        <v>312</v>
      </c>
      <c r="P4" t="s">
        <v>3095</v>
      </c>
      <c r="Q4" s="18" t="s">
        <v>35</v>
      </c>
      <c r="R4" s="20" t="s">
        <v>1082</v>
      </c>
      <c r="S4" s="20"/>
      <c r="T4" s="20" t="s">
        <v>3091</v>
      </c>
      <c r="U4" s="152">
        <v>1</v>
      </c>
      <c r="V4" s="152">
        <v>26.637</v>
      </c>
      <c r="W4" s="152">
        <v>26.637</v>
      </c>
      <c r="X4" s="27"/>
      <c r="Y4" s="170">
        <v>1.3493342378569501E-3</v>
      </c>
      <c r="Z4" s="170">
        <v>8.3516856082609104E-5</v>
      </c>
    </row>
    <row r="5" spans="1:27">
      <c r="A5" s="20" t="s">
        <v>256</v>
      </c>
      <c r="B5" s="20">
        <v>556</v>
      </c>
      <c r="C5" s="20" t="s">
        <v>3092</v>
      </c>
      <c r="D5" s="2" t="s">
        <v>3093</v>
      </c>
      <c r="E5" s="20" t="s">
        <v>503</v>
      </c>
      <c r="F5" s="20" t="s">
        <v>3096</v>
      </c>
      <c r="G5" s="20">
        <v>666103007</v>
      </c>
      <c r="H5" s="20" t="s">
        <v>34</v>
      </c>
      <c r="I5" s="2" t="s">
        <v>1217</v>
      </c>
      <c r="J5" s="20" t="s">
        <v>1033</v>
      </c>
      <c r="K5" s="18" t="s">
        <v>31</v>
      </c>
      <c r="L5" s="20" t="s">
        <v>31</v>
      </c>
      <c r="M5" s="20" t="s">
        <v>31</v>
      </c>
      <c r="N5" s="18" t="s">
        <v>31</v>
      </c>
      <c r="O5" s="20" t="s">
        <v>312</v>
      </c>
      <c r="P5" t="s">
        <v>3097</v>
      </c>
      <c r="Q5" s="18" t="s">
        <v>35</v>
      </c>
      <c r="R5" s="20" t="s">
        <v>1082</v>
      </c>
      <c r="S5" s="20"/>
      <c r="T5" s="20" t="s">
        <v>3091</v>
      </c>
      <c r="U5" s="152">
        <v>1</v>
      </c>
      <c r="V5" s="152">
        <v>10.616</v>
      </c>
      <c r="W5" s="152">
        <v>10.616</v>
      </c>
      <c r="X5" s="27"/>
      <c r="Y5" s="170">
        <v>5.3774990416618996E-4</v>
      </c>
      <c r="Z5" s="170">
        <v>3.3283955964842002E-5</v>
      </c>
    </row>
    <row r="6" spans="1:27">
      <c r="A6" s="20" t="s">
        <v>256</v>
      </c>
      <c r="B6" s="20">
        <v>556</v>
      </c>
      <c r="C6" s="20" t="s">
        <v>3098</v>
      </c>
      <c r="D6" s="2" t="s">
        <v>3099</v>
      </c>
      <c r="E6" s="20" t="s">
        <v>1552</v>
      </c>
      <c r="F6" s="20" t="s">
        <v>3100</v>
      </c>
      <c r="G6" s="20">
        <v>666106026</v>
      </c>
      <c r="H6" s="20" t="s">
        <v>34</v>
      </c>
      <c r="I6" s="2" t="s">
        <v>1217</v>
      </c>
      <c r="J6" s="27" t="s">
        <v>1034</v>
      </c>
      <c r="K6" s="18" t="s">
        <v>31</v>
      </c>
      <c r="L6" s="20" t="s">
        <v>31</v>
      </c>
      <c r="M6" s="20" t="s">
        <v>31</v>
      </c>
      <c r="N6" s="18" t="s">
        <v>31</v>
      </c>
      <c r="O6" s="20" t="s">
        <v>312</v>
      </c>
      <c r="P6" t="s">
        <v>3085</v>
      </c>
      <c r="Q6" s="18" t="s">
        <v>159</v>
      </c>
      <c r="R6" s="20" t="s">
        <v>1082</v>
      </c>
      <c r="S6" s="20"/>
      <c r="T6" s="20" t="s">
        <v>3101</v>
      </c>
      <c r="U6" s="152">
        <v>3.7589999999999999</v>
      </c>
      <c r="V6" s="152">
        <v>536.73900000000003</v>
      </c>
      <c r="W6" s="152">
        <v>2017.6020000000001</v>
      </c>
      <c r="X6" s="20"/>
      <c r="Y6" s="170">
        <v>0.102204409352516</v>
      </c>
      <c r="Z6" s="170">
        <v>6.3259277852897901E-3</v>
      </c>
    </row>
    <row r="7" spans="1:27">
      <c r="A7" s="20" t="s">
        <v>256</v>
      </c>
      <c r="B7" s="20">
        <v>556</v>
      </c>
      <c r="C7" s="20" t="s">
        <v>3098</v>
      </c>
      <c r="D7" s="2" t="s">
        <v>3099</v>
      </c>
      <c r="E7" s="20" t="s">
        <v>1552</v>
      </c>
      <c r="F7" s="20" t="s">
        <v>3102</v>
      </c>
      <c r="G7" s="20">
        <v>666107438</v>
      </c>
      <c r="H7" s="20" t="s">
        <v>34</v>
      </c>
      <c r="I7" s="2" t="s">
        <v>1217</v>
      </c>
      <c r="J7" s="20" t="s">
        <v>1034</v>
      </c>
      <c r="K7" s="18" t="s">
        <v>154</v>
      </c>
      <c r="L7" s="20" t="s">
        <v>155</v>
      </c>
      <c r="M7" s="20" t="s">
        <v>155</v>
      </c>
      <c r="N7" s="18" t="s">
        <v>155</v>
      </c>
      <c r="O7" s="20" t="s">
        <v>312</v>
      </c>
      <c r="P7" t="s">
        <v>3090</v>
      </c>
      <c r="Q7" s="18" t="s">
        <v>159</v>
      </c>
      <c r="R7" s="20" t="s">
        <v>1082</v>
      </c>
      <c r="S7" s="20"/>
      <c r="T7" s="20" t="s">
        <v>3103</v>
      </c>
      <c r="U7" s="152">
        <v>3.7589999999999999</v>
      </c>
      <c r="V7" s="152">
        <v>469.81</v>
      </c>
      <c r="W7" s="152">
        <v>1766.0170000000001</v>
      </c>
      <c r="X7" s="20"/>
      <c r="Y7" s="170">
        <v>8.9460051990355005E-2</v>
      </c>
      <c r="Z7" s="170">
        <v>5.5371175484937698E-3</v>
      </c>
    </row>
    <row r="8" spans="1:27">
      <c r="A8" s="20" t="s">
        <v>256</v>
      </c>
      <c r="B8" s="20">
        <v>556</v>
      </c>
      <c r="C8" s="20" t="s">
        <v>3104</v>
      </c>
      <c r="D8" s="2" t="s">
        <v>3105</v>
      </c>
      <c r="E8" s="20" t="s">
        <v>1552</v>
      </c>
      <c r="F8" s="20" t="s">
        <v>3106</v>
      </c>
      <c r="G8" s="20">
        <v>666103072</v>
      </c>
      <c r="H8" s="20" t="s">
        <v>34</v>
      </c>
      <c r="I8" s="2" t="s">
        <v>1213</v>
      </c>
      <c r="J8" s="20" t="s">
        <v>1033</v>
      </c>
      <c r="K8" s="18" t="s">
        <v>31</v>
      </c>
      <c r="L8" s="20" t="s">
        <v>31</v>
      </c>
      <c r="M8" s="20" t="s">
        <v>31</v>
      </c>
      <c r="N8" s="18" t="s">
        <v>31</v>
      </c>
      <c r="O8" s="20" t="s">
        <v>312</v>
      </c>
      <c r="P8" t="s">
        <v>3107</v>
      </c>
      <c r="Q8" s="18" t="s">
        <v>35</v>
      </c>
      <c r="R8" s="20" t="s">
        <v>1082</v>
      </c>
      <c r="S8" s="20"/>
      <c r="T8" s="20" t="s">
        <v>3108</v>
      </c>
      <c r="U8" s="152">
        <v>1</v>
      </c>
      <c r="V8" s="152">
        <v>388.464</v>
      </c>
      <c r="W8" s="152">
        <v>388.464</v>
      </c>
      <c r="X8" s="20"/>
      <c r="Y8" s="170">
        <v>1.9678186554544699E-2</v>
      </c>
      <c r="Z8" s="170">
        <v>1.2179786359329599E-3</v>
      </c>
    </row>
    <row r="9" spans="1:27">
      <c r="A9" s="20" t="s">
        <v>256</v>
      </c>
      <c r="B9" s="20">
        <v>556</v>
      </c>
      <c r="C9" s="20" t="s">
        <v>3109</v>
      </c>
      <c r="D9" s="2" t="s">
        <v>3110</v>
      </c>
      <c r="E9" s="20" t="s">
        <v>34</v>
      </c>
      <c r="F9" s="20" t="s">
        <v>3111</v>
      </c>
      <c r="G9" s="20">
        <v>666103494</v>
      </c>
      <c r="H9" s="20" t="s">
        <v>34</v>
      </c>
      <c r="I9" s="2" t="s">
        <v>1217</v>
      </c>
      <c r="J9" s="20" t="s">
        <v>1033</v>
      </c>
      <c r="K9" s="18" t="s">
        <v>31</v>
      </c>
      <c r="L9" s="20" t="s">
        <v>31</v>
      </c>
      <c r="M9" s="20" t="s">
        <v>31</v>
      </c>
      <c r="N9" s="18" t="s">
        <v>31</v>
      </c>
      <c r="O9" s="20" t="s">
        <v>312</v>
      </c>
      <c r="P9" t="s">
        <v>3112</v>
      </c>
      <c r="Q9" s="18" t="s">
        <v>35</v>
      </c>
      <c r="R9" s="20" t="s">
        <v>1082</v>
      </c>
      <c r="S9" s="20"/>
      <c r="T9" s="20" t="s">
        <v>3113</v>
      </c>
      <c r="U9" s="152">
        <v>1</v>
      </c>
      <c r="V9" s="152">
        <v>208.92699999999999</v>
      </c>
      <c r="W9" s="152">
        <v>208.92699999999999</v>
      </c>
      <c r="X9" s="20"/>
      <c r="Y9" s="170">
        <v>1.0583501138159399E-2</v>
      </c>
      <c r="Z9" s="170">
        <v>6.5506433958840201E-4</v>
      </c>
    </row>
    <row r="10" spans="1:27">
      <c r="A10" s="20" t="s">
        <v>256</v>
      </c>
      <c r="B10" s="20">
        <v>556</v>
      </c>
      <c r="C10" s="20" t="s">
        <v>3109</v>
      </c>
      <c r="D10" s="2" t="s">
        <v>3110</v>
      </c>
      <c r="E10" s="20" t="s">
        <v>34</v>
      </c>
      <c r="F10" s="20" t="s">
        <v>3114</v>
      </c>
      <c r="G10" s="20">
        <v>666103965</v>
      </c>
      <c r="H10" s="20" t="s">
        <v>34</v>
      </c>
      <c r="I10" s="2" t="s">
        <v>1217</v>
      </c>
      <c r="J10" s="20" t="s">
        <v>1033</v>
      </c>
      <c r="K10" s="18" t="s">
        <v>31</v>
      </c>
      <c r="L10" s="20" t="s">
        <v>31</v>
      </c>
      <c r="M10" s="20" t="s">
        <v>31</v>
      </c>
      <c r="N10" s="18" t="s">
        <v>31</v>
      </c>
      <c r="O10" s="20" t="s">
        <v>312</v>
      </c>
      <c r="P10" t="s">
        <v>3115</v>
      </c>
      <c r="Q10" s="18" t="s">
        <v>35</v>
      </c>
      <c r="R10" s="20" t="s">
        <v>1082</v>
      </c>
      <c r="S10" s="20"/>
      <c r="T10" s="20" t="s">
        <v>3116</v>
      </c>
      <c r="U10" s="152">
        <v>1</v>
      </c>
      <c r="V10" s="152">
        <v>180.376</v>
      </c>
      <c r="W10" s="152">
        <v>180.376</v>
      </c>
      <c r="X10" s="20"/>
      <c r="Y10" s="170">
        <v>9.1371830477975993E-3</v>
      </c>
      <c r="Z10" s="170">
        <v>5.6554468136475701E-4</v>
      </c>
    </row>
    <row r="11" spans="1:27">
      <c r="A11" s="20" t="s">
        <v>256</v>
      </c>
      <c r="B11" s="20">
        <v>556</v>
      </c>
      <c r="C11" s="20" t="s">
        <v>3117</v>
      </c>
      <c r="D11" s="2" t="s">
        <v>3118</v>
      </c>
      <c r="E11" s="20" t="s">
        <v>1552</v>
      </c>
      <c r="F11" s="20" t="s">
        <v>3119</v>
      </c>
      <c r="G11" s="20">
        <v>666107446</v>
      </c>
      <c r="H11" s="20" t="s">
        <v>34</v>
      </c>
      <c r="I11" s="2" t="s">
        <v>1213</v>
      </c>
      <c r="J11" s="20" t="s">
        <v>1034</v>
      </c>
      <c r="K11" s="18" t="s">
        <v>154</v>
      </c>
      <c r="L11" s="20" t="s">
        <v>155</v>
      </c>
      <c r="M11" s="20" t="s">
        <v>31</v>
      </c>
      <c r="N11" s="18" t="s">
        <v>155</v>
      </c>
      <c r="O11" s="20" t="s">
        <v>312</v>
      </c>
      <c r="P11" t="s">
        <v>3120</v>
      </c>
      <c r="Q11" s="18" t="s">
        <v>35</v>
      </c>
      <c r="R11" s="20" t="s">
        <v>1082</v>
      </c>
      <c r="S11" s="20"/>
      <c r="T11" s="20" t="s">
        <v>3091</v>
      </c>
      <c r="U11" s="152">
        <v>1</v>
      </c>
      <c r="V11" s="152">
        <v>3052.5839999999998</v>
      </c>
      <c r="W11" s="152">
        <v>3052.5839999999998</v>
      </c>
      <c r="X11" s="20"/>
      <c r="Y11" s="170">
        <v>0.15463286537908699</v>
      </c>
      <c r="Z11" s="170">
        <v>9.5709798218844098E-3</v>
      </c>
    </row>
    <row r="12" spans="1:27">
      <c r="A12" s="20" t="s">
        <v>256</v>
      </c>
      <c r="B12" s="20">
        <v>556</v>
      </c>
      <c r="C12" s="20" t="s">
        <v>3121</v>
      </c>
      <c r="D12" s="2" t="s">
        <v>3122</v>
      </c>
      <c r="E12" s="20" t="s">
        <v>504</v>
      </c>
      <c r="F12" s="20" t="s">
        <v>3123</v>
      </c>
      <c r="G12" s="20">
        <v>666103163</v>
      </c>
      <c r="H12" s="20" t="s">
        <v>34</v>
      </c>
      <c r="I12" s="2" t="s">
        <v>1213</v>
      </c>
      <c r="J12" s="20" t="s">
        <v>1039</v>
      </c>
      <c r="K12" s="18" t="s">
        <v>31</v>
      </c>
      <c r="L12" s="20" t="s">
        <v>31</v>
      </c>
      <c r="M12" s="20" t="s">
        <v>31</v>
      </c>
      <c r="N12" s="18" t="s">
        <v>31</v>
      </c>
      <c r="O12" s="20" t="s">
        <v>312</v>
      </c>
      <c r="P12" t="s">
        <v>3124</v>
      </c>
      <c r="Q12" s="18" t="s">
        <v>159</v>
      </c>
      <c r="R12" s="20" t="s">
        <v>1082</v>
      </c>
      <c r="S12" s="20"/>
      <c r="T12" s="20" t="s">
        <v>3091</v>
      </c>
      <c r="U12" s="152">
        <v>3.7589999999999999</v>
      </c>
      <c r="V12" s="152">
        <v>163.01900000000001</v>
      </c>
      <c r="W12" s="152">
        <v>612.78800000000001</v>
      </c>
      <c r="X12" s="20"/>
      <c r="Y12" s="170">
        <v>3.1041608178520998E-2</v>
      </c>
      <c r="Z12" s="170">
        <v>1.92131604615307E-3</v>
      </c>
    </row>
    <row r="13" spans="1:27">
      <c r="A13" s="20" t="s">
        <v>256</v>
      </c>
      <c r="B13" s="20">
        <v>556</v>
      </c>
      <c r="C13" s="20" t="s">
        <v>3125</v>
      </c>
      <c r="D13" s="2">
        <v>516455920</v>
      </c>
      <c r="E13" s="20" t="s">
        <v>1552</v>
      </c>
      <c r="F13" s="20" t="s">
        <v>3127</v>
      </c>
      <c r="G13" s="20">
        <v>666109921</v>
      </c>
      <c r="H13" s="20" t="s">
        <v>34</v>
      </c>
      <c r="I13" s="2" t="s">
        <v>1217</v>
      </c>
      <c r="J13" s="20" t="s">
        <v>1034</v>
      </c>
      <c r="K13" s="16" t="s">
        <v>31</v>
      </c>
      <c r="L13" s="16" t="s">
        <v>31</v>
      </c>
      <c r="M13" s="16" t="s">
        <v>31</v>
      </c>
      <c r="N13" s="16" t="s">
        <v>31</v>
      </c>
      <c r="O13" s="20" t="s">
        <v>312</v>
      </c>
      <c r="P13" t="s">
        <v>341</v>
      </c>
      <c r="Q13" s="18" t="s">
        <v>35</v>
      </c>
      <c r="R13" s="20" t="s">
        <v>1082</v>
      </c>
      <c r="S13" s="20"/>
      <c r="T13" s="20" t="s">
        <v>3128</v>
      </c>
      <c r="U13" s="152">
        <v>1</v>
      </c>
      <c r="V13" s="152">
        <v>525.78200000000004</v>
      </c>
      <c r="W13" s="152">
        <v>525.78200000000004</v>
      </c>
      <c r="X13" s="20"/>
      <c r="Y13" s="170">
        <v>2.6634212878969402E-2</v>
      </c>
      <c r="Z13" s="170">
        <v>1.6485209234884E-3</v>
      </c>
    </row>
    <row r="14" spans="1:27">
      <c r="A14" s="20" t="s">
        <v>256</v>
      </c>
      <c r="B14" s="20">
        <v>556</v>
      </c>
      <c r="C14" s="20" t="s">
        <v>3129</v>
      </c>
      <c r="D14" s="2" t="s">
        <v>3130</v>
      </c>
      <c r="E14" s="20" t="s">
        <v>1552</v>
      </c>
      <c r="F14" s="20" t="s">
        <v>3131</v>
      </c>
      <c r="G14" s="20">
        <v>666106133</v>
      </c>
      <c r="H14" s="20" t="s">
        <v>34</v>
      </c>
      <c r="I14" s="2" t="s">
        <v>1213</v>
      </c>
      <c r="J14" s="20" t="s">
        <v>1039</v>
      </c>
      <c r="K14" s="18" t="s">
        <v>31</v>
      </c>
      <c r="L14" s="20" t="s">
        <v>31</v>
      </c>
      <c r="M14" s="20" t="s">
        <v>31</v>
      </c>
      <c r="N14" s="18" t="s">
        <v>31</v>
      </c>
      <c r="O14" s="20" t="s">
        <v>312</v>
      </c>
      <c r="P14" t="s">
        <v>3132</v>
      </c>
      <c r="Q14" s="18" t="s">
        <v>159</v>
      </c>
      <c r="R14" s="20" t="s">
        <v>1082</v>
      </c>
      <c r="S14" s="20"/>
      <c r="T14" s="20" t="s">
        <v>3133</v>
      </c>
      <c r="U14" s="152">
        <v>3.7589999999999999</v>
      </c>
      <c r="V14" s="152">
        <v>342.13200000000001</v>
      </c>
      <c r="W14" s="152">
        <v>1286.075</v>
      </c>
      <c r="X14" s="20"/>
      <c r="Y14" s="170">
        <v>6.5147930508237806E-2</v>
      </c>
      <c r="Z14" s="170">
        <v>4.0323221509429496E-3</v>
      </c>
    </row>
    <row r="15" spans="1:27">
      <c r="A15" s="20" t="s">
        <v>256</v>
      </c>
      <c r="B15" s="20">
        <v>556</v>
      </c>
      <c r="C15" s="20" t="s">
        <v>3134</v>
      </c>
      <c r="D15" s="2" t="s">
        <v>3135</v>
      </c>
      <c r="E15" s="20" t="s">
        <v>504</v>
      </c>
      <c r="F15" s="20" t="s">
        <v>3136</v>
      </c>
      <c r="G15" s="20">
        <v>666109723</v>
      </c>
      <c r="H15" s="20" t="s">
        <v>34</v>
      </c>
      <c r="I15" s="2" t="s">
        <v>1216</v>
      </c>
      <c r="J15" s="20" t="s">
        <v>1037</v>
      </c>
      <c r="K15" s="18" t="s">
        <v>154</v>
      </c>
      <c r="L15" s="20" t="s">
        <v>155</v>
      </c>
      <c r="M15" s="20" t="s">
        <v>31</v>
      </c>
      <c r="N15" s="18" t="s">
        <v>486</v>
      </c>
      <c r="O15" s="20" t="s">
        <v>312</v>
      </c>
      <c r="P15" t="s">
        <v>3137</v>
      </c>
      <c r="Q15" s="18" t="s">
        <v>169</v>
      </c>
      <c r="R15" s="20" t="s">
        <v>1082</v>
      </c>
      <c r="S15" s="20"/>
      <c r="T15" s="20" t="s">
        <v>3138</v>
      </c>
      <c r="U15" s="152">
        <v>4.0199999999999996</v>
      </c>
      <c r="V15" s="152">
        <v>185.78100000000001</v>
      </c>
      <c r="W15" s="152">
        <v>746.87800000000004</v>
      </c>
      <c r="X15" s="20"/>
      <c r="Y15" s="170">
        <v>3.78341189942197E-2</v>
      </c>
      <c r="Z15" s="170">
        <v>2.3417375639048599E-3</v>
      </c>
    </row>
    <row r="16" spans="1:27">
      <c r="A16" s="20" t="s">
        <v>256</v>
      </c>
      <c r="B16" s="20">
        <v>556</v>
      </c>
      <c r="C16" s="20" t="s">
        <v>3139</v>
      </c>
      <c r="D16" s="2" t="s">
        <v>3140</v>
      </c>
      <c r="E16" s="20" t="s">
        <v>504</v>
      </c>
      <c r="F16" s="20" t="s">
        <v>3141</v>
      </c>
      <c r="G16" s="20">
        <v>666110408</v>
      </c>
      <c r="H16" s="20" t="s">
        <v>34</v>
      </c>
      <c r="I16" s="2" t="s">
        <v>1216</v>
      </c>
      <c r="J16" s="20" t="s">
        <v>1036</v>
      </c>
      <c r="K16" s="18" t="s">
        <v>154</v>
      </c>
      <c r="L16" s="20" t="s">
        <v>489</v>
      </c>
      <c r="M16" s="20" t="s">
        <v>155</v>
      </c>
      <c r="N16" s="18" t="s">
        <v>489</v>
      </c>
      <c r="O16" s="20" t="s">
        <v>312</v>
      </c>
      <c r="P16" t="s">
        <v>341</v>
      </c>
      <c r="Q16" s="18" t="s">
        <v>159</v>
      </c>
      <c r="R16" s="20" t="s">
        <v>1082</v>
      </c>
      <c r="S16" s="20"/>
      <c r="T16" s="20" t="s">
        <v>3091</v>
      </c>
      <c r="U16" s="152">
        <v>3.7589999999999999</v>
      </c>
      <c r="V16" s="152">
        <v>187.41900000000001</v>
      </c>
      <c r="W16" s="152">
        <v>704.50599999999997</v>
      </c>
      <c r="X16" s="20"/>
      <c r="Y16" s="170">
        <v>3.5687753731386898E-2</v>
      </c>
      <c r="Z16" s="170">
        <v>2.2088885827351301E-3</v>
      </c>
    </row>
    <row r="17" spans="1:26">
      <c r="A17" s="20" t="s">
        <v>256</v>
      </c>
      <c r="B17" s="20">
        <v>556</v>
      </c>
      <c r="C17" s="20" t="s">
        <v>3142</v>
      </c>
      <c r="D17" s="2" t="s">
        <v>3143</v>
      </c>
      <c r="E17" s="20" t="s">
        <v>504</v>
      </c>
      <c r="F17" s="20" t="s">
        <v>3144</v>
      </c>
      <c r="G17" s="20">
        <v>666110800</v>
      </c>
      <c r="H17" s="20" t="s">
        <v>34</v>
      </c>
      <c r="I17" s="2" t="s">
        <v>1213</v>
      </c>
      <c r="J17" s="20" t="s">
        <v>1043</v>
      </c>
      <c r="K17" s="18" t="s">
        <v>154</v>
      </c>
      <c r="L17" s="20" t="s">
        <v>155</v>
      </c>
      <c r="M17" s="20" t="s">
        <v>155</v>
      </c>
      <c r="N17" s="18" t="s">
        <v>155</v>
      </c>
      <c r="O17" s="20" t="s">
        <v>312</v>
      </c>
      <c r="P17" t="s">
        <v>3145</v>
      </c>
      <c r="Q17" s="18" t="s">
        <v>159</v>
      </c>
      <c r="R17" s="20" t="s">
        <v>1082</v>
      </c>
      <c r="S17" s="20"/>
      <c r="T17" s="20" t="s">
        <v>3146</v>
      </c>
      <c r="U17" s="152">
        <v>3.7589999999999999</v>
      </c>
      <c r="V17" s="152">
        <v>21.783999999999999</v>
      </c>
      <c r="W17" s="152">
        <v>81.885000000000005</v>
      </c>
      <c r="X17" s="20"/>
      <c r="Y17" s="170">
        <v>4.14800741765792E-3</v>
      </c>
      <c r="Z17" s="170">
        <v>2.5674034557986001E-4</v>
      </c>
    </row>
    <row r="18" spans="1:26">
      <c r="A18" s="20" t="s">
        <v>256</v>
      </c>
      <c r="B18" s="20">
        <v>556</v>
      </c>
      <c r="C18" s="20" t="s">
        <v>3147</v>
      </c>
      <c r="D18" s="182" t="s">
        <v>3088</v>
      </c>
      <c r="E18" s="20" t="s">
        <v>34</v>
      </c>
      <c r="F18" s="20" t="s">
        <v>3148</v>
      </c>
      <c r="G18" s="20">
        <v>66611034</v>
      </c>
      <c r="H18" s="20" t="s">
        <v>34</v>
      </c>
      <c r="I18" s="2" t="s">
        <v>1216</v>
      </c>
      <c r="J18" s="27" t="s">
        <v>1034</v>
      </c>
      <c r="K18" s="18" t="s">
        <v>154</v>
      </c>
      <c r="L18" s="20" t="s">
        <v>31</v>
      </c>
      <c r="M18" s="20" t="s">
        <v>31</v>
      </c>
      <c r="N18" s="18" t="s">
        <v>155</v>
      </c>
      <c r="O18" s="20" t="s">
        <v>312</v>
      </c>
      <c r="P18" t="s">
        <v>341</v>
      </c>
      <c r="Q18" s="18" t="s">
        <v>159</v>
      </c>
      <c r="R18" s="20" t="s">
        <v>1082</v>
      </c>
      <c r="S18" s="20"/>
      <c r="T18" s="20" t="s">
        <v>3091</v>
      </c>
      <c r="U18" s="152">
        <v>3.7589999999999999</v>
      </c>
      <c r="V18" s="152">
        <v>176.45099999999999</v>
      </c>
      <c r="W18" s="152">
        <v>663.27800000000002</v>
      </c>
      <c r="X18" s="20"/>
      <c r="Y18" s="170">
        <v>3.3599273457324198E-2</v>
      </c>
      <c r="Z18" s="170">
        <v>2.0796223849417102E-3</v>
      </c>
    </row>
    <row r="19" spans="1:26">
      <c r="A19" s="20" t="s">
        <v>256</v>
      </c>
      <c r="B19" s="20">
        <v>556</v>
      </c>
      <c r="C19" s="20" t="s">
        <v>3149</v>
      </c>
      <c r="D19" s="2" t="s">
        <v>3150</v>
      </c>
      <c r="E19" s="20" t="s">
        <v>505</v>
      </c>
      <c r="F19" s="20" t="s">
        <v>3151</v>
      </c>
      <c r="G19" s="20">
        <v>666109798</v>
      </c>
      <c r="H19" s="20" t="s">
        <v>34</v>
      </c>
      <c r="I19" s="2" t="s">
        <v>1216</v>
      </c>
      <c r="J19" s="20" t="s">
        <v>1039</v>
      </c>
      <c r="K19" s="18" t="s">
        <v>31</v>
      </c>
      <c r="L19" s="20" t="s">
        <v>31</v>
      </c>
      <c r="M19" s="20" t="s">
        <v>31</v>
      </c>
      <c r="N19" s="18" t="s">
        <v>489</v>
      </c>
      <c r="O19" s="20" t="s">
        <v>312</v>
      </c>
      <c r="P19" t="s">
        <v>3152</v>
      </c>
      <c r="Q19" s="18" t="s">
        <v>159</v>
      </c>
      <c r="R19" s="20" t="s">
        <v>1082</v>
      </c>
      <c r="S19" s="20"/>
      <c r="T19" s="20" t="s">
        <v>3153</v>
      </c>
      <c r="U19" s="152">
        <v>3.7589999999999999</v>
      </c>
      <c r="V19" s="152">
        <v>93.171999999999997</v>
      </c>
      <c r="W19" s="152">
        <v>350.233</v>
      </c>
      <c r="X19" s="20"/>
      <c r="Y19" s="170">
        <v>1.7741542901588001E-2</v>
      </c>
      <c r="Z19" s="170">
        <v>1.0981103448087599E-3</v>
      </c>
    </row>
    <row r="20" spans="1:26">
      <c r="A20" s="2" t="s">
        <v>256</v>
      </c>
      <c r="B20" s="2">
        <v>556</v>
      </c>
      <c r="C20" s="2" t="s">
        <v>3098</v>
      </c>
      <c r="D20" s="2" t="s">
        <v>3099</v>
      </c>
      <c r="E20" s="20" t="s">
        <v>1552</v>
      </c>
      <c r="F20" s="2" t="s">
        <v>3154</v>
      </c>
      <c r="G20" s="2">
        <v>666110671</v>
      </c>
      <c r="H20" s="20" t="s">
        <v>34</v>
      </c>
      <c r="I20" s="2" t="s">
        <v>1216</v>
      </c>
      <c r="J20" s="20" t="s">
        <v>1034</v>
      </c>
      <c r="K20" s="18" t="s">
        <v>154</v>
      </c>
      <c r="L20" s="20" t="s">
        <v>155</v>
      </c>
      <c r="M20" s="20" t="s">
        <v>155</v>
      </c>
      <c r="N20" s="18" t="s">
        <v>155</v>
      </c>
      <c r="O20" s="20" t="s">
        <v>312</v>
      </c>
      <c r="P20" t="s">
        <v>3155</v>
      </c>
      <c r="Q20" s="2" t="s">
        <v>159</v>
      </c>
      <c r="R20" s="20" t="s">
        <v>1082</v>
      </c>
      <c r="S20" s="20"/>
      <c r="T20" s="2" t="s">
        <v>1558</v>
      </c>
      <c r="U20" s="149">
        <v>3.7589999999999999</v>
      </c>
      <c r="V20" s="149">
        <v>162.44399999999999</v>
      </c>
      <c r="W20" s="149">
        <v>610.62699999999995</v>
      </c>
      <c r="Y20" s="164">
        <v>3.0932177632533302E-2</v>
      </c>
      <c r="Z20" s="164">
        <v>1.9145428576398801E-3</v>
      </c>
    </row>
    <row r="21" spans="1:26">
      <c r="A21" s="2" t="s">
        <v>256</v>
      </c>
      <c r="B21" s="2">
        <v>556</v>
      </c>
      <c r="C21" s="2" t="s">
        <v>3156</v>
      </c>
      <c r="D21" s="2" t="s">
        <v>3157</v>
      </c>
      <c r="E21" s="2" t="s">
        <v>34</v>
      </c>
      <c r="F21" s="2" t="s">
        <v>3158</v>
      </c>
      <c r="G21" s="2">
        <v>666109236</v>
      </c>
      <c r="H21" s="2" t="s">
        <v>34</v>
      </c>
      <c r="I21" s="2" t="s">
        <v>1216</v>
      </c>
      <c r="J21" s="2" t="s">
        <v>1034</v>
      </c>
      <c r="K21" s="2" t="s">
        <v>154</v>
      </c>
      <c r="L21" s="2" t="s">
        <v>155</v>
      </c>
      <c r="M21" s="2" t="s">
        <v>475</v>
      </c>
      <c r="N21" s="2" t="s">
        <v>155</v>
      </c>
      <c r="O21" s="2" t="s">
        <v>312</v>
      </c>
      <c r="P21" t="s">
        <v>3159</v>
      </c>
      <c r="Q21" s="2" t="s">
        <v>159</v>
      </c>
      <c r="R21" s="2" t="s">
        <v>1082</v>
      </c>
      <c r="T21" s="2" t="s">
        <v>3160</v>
      </c>
      <c r="U21" s="149">
        <v>3.7589999999999999</v>
      </c>
      <c r="V21" s="149">
        <v>365.44799999999998</v>
      </c>
      <c r="W21" s="149">
        <v>1373.7170000000001</v>
      </c>
      <c r="Y21" s="164">
        <v>6.9587553548636702E-2</v>
      </c>
      <c r="Z21" s="164">
        <v>4.3071120051713001E-3</v>
      </c>
    </row>
    <row r="22" spans="1:26">
      <c r="A22" s="2" t="s">
        <v>256</v>
      </c>
      <c r="B22" s="2">
        <v>556</v>
      </c>
      <c r="C22" s="2" t="s">
        <v>3161</v>
      </c>
      <c r="D22" s="2" t="s">
        <v>3162</v>
      </c>
      <c r="E22" s="2" t="s">
        <v>504</v>
      </c>
      <c r="F22" s="2" t="s">
        <v>3163</v>
      </c>
      <c r="G22" s="2">
        <v>666110754</v>
      </c>
      <c r="H22" s="2" t="s">
        <v>34</v>
      </c>
      <c r="I22" s="2" t="s">
        <v>1216</v>
      </c>
      <c r="J22" s="27" t="s">
        <v>1034</v>
      </c>
      <c r="K22" s="2" t="s">
        <v>154</v>
      </c>
      <c r="L22" s="2" t="s">
        <v>155</v>
      </c>
      <c r="M22" s="2" t="s">
        <v>155</v>
      </c>
      <c r="N22" s="2" t="s">
        <v>155</v>
      </c>
      <c r="O22" s="2" t="s">
        <v>312</v>
      </c>
      <c r="P22" t="s">
        <v>3164</v>
      </c>
      <c r="Q22" s="2" t="s">
        <v>159</v>
      </c>
      <c r="R22" s="2" t="s">
        <v>1082</v>
      </c>
      <c r="T22" s="2" t="s">
        <v>3165</v>
      </c>
      <c r="U22" s="149">
        <v>3.7589999999999999</v>
      </c>
      <c r="V22" s="149">
        <v>65.331999999999994</v>
      </c>
      <c r="W22" s="149">
        <v>245.583</v>
      </c>
      <c r="Y22" s="164">
        <v>1.2440363074974E-2</v>
      </c>
      <c r="Z22" s="164">
        <v>7.6999455242322996E-4</v>
      </c>
    </row>
    <row r="23" spans="1:26">
      <c r="A23" s="2" t="s">
        <v>256</v>
      </c>
      <c r="B23" s="2">
        <v>556</v>
      </c>
      <c r="C23" s="2" t="s">
        <v>3166</v>
      </c>
      <c r="D23" s="2" t="s">
        <v>3167</v>
      </c>
      <c r="E23" s="2" t="s">
        <v>505</v>
      </c>
      <c r="F23" s="2" t="s">
        <v>3168</v>
      </c>
      <c r="G23" s="2">
        <v>666109954</v>
      </c>
      <c r="H23" s="2" t="s">
        <v>34</v>
      </c>
      <c r="I23" s="2" t="s">
        <v>1216</v>
      </c>
      <c r="J23" s="2" t="s">
        <v>1033</v>
      </c>
      <c r="K23" s="2" t="s">
        <v>154</v>
      </c>
      <c r="L23" s="2" t="s">
        <v>155</v>
      </c>
      <c r="M23" s="2" t="s">
        <v>155</v>
      </c>
      <c r="N23" s="2" t="s">
        <v>155</v>
      </c>
      <c r="O23" s="2" t="s">
        <v>312</v>
      </c>
      <c r="P23" t="s">
        <v>341</v>
      </c>
      <c r="Q23" s="2" t="s">
        <v>159</v>
      </c>
      <c r="R23" s="2" t="s">
        <v>1082</v>
      </c>
      <c r="T23" s="2" t="s">
        <v>1558</v>
      </c>
      <c r="U23" s="149">
        <v>3.7589999999999999</v>
      </c>
      <c r="V23" s="149">
        <v>297.33100000000002</v>
      </c>
      <c r="W23" s="149">
        <v>1117.6679999999999</v>
      </c>
      <c r="Y23" s="164">
        <v>5.6617028397027397E-2</v>
      </c>
      <c r="Z23" s="164">
        <v>3.5043031443190899E-3</v>
      </c>
    </row>
    <row r="24" spans="1:26">
      <c r="A24" s="2" t="s">
        <v>256</v>
      </c>
      <c r="B24" s="2">
        <v>556</v>
      </c>
      <c r="C24" s="2" t="s">
        <v>3169</v>
      </c>
      <c r="D24" s="2" t="s">
        <v>3170</v>
      </c>
      <c r="E24" s="2" t="s">
        <v>504</v>
      </c>
      <c r="F24" s="2" t="s">
        <v>3171</v>
      </c>
      <c r="G24" s="2">
        <v>666110801</v>
      </c>
      <c r="H24" s="2" t="s">
        <v>34</v>
      </c>
      <c r="I24" s="2" t="s">
        <v>1216</v>
      </c>
      <c r="J24" s="2" t="s">
        <v>1034</v>
      </c>
      <c r="K24" s="2" t="s">
        <v>154</v>
      </c>
      <c r="L24" s="2" t="s">
        <v>155</v>
      </c>
      <c r="M24" s="2" t="s">
        <v>31</v>
      </c>
      <c r="N24" s="2" t="s">
        <v>155</v>
      </c>
      <c r="O24" s="2" t="s">
        <v>312</v>
      </c>
      <c r="P24" t="s">
        <v>3172</v>
      </c>
      <c r="Q24" s="2" t="s">
        <v>159</v>
      </c>
      <c r="R24" s="2" t="s">
        <v>1082</v>
      </c>
      <c r="T24" s="2" t="s">
        <v>3113</v>
      </c>
      <c r="U24" s="149">
        <v>3.7589999999999999</v>
      </c>
      <c r="V24" s="149">
        <v>135.44900000000001</v>
      </c>
      <c r="W24" s="149">
        <v>509.154</v>
      </c>
      <c r="Y24" s="164">
        <v>2.5791905472316599E-2</v>
      </c>
      <c r="Z24" s="164">
        <v>1.5963864230176599E-3</v>
      </c>
    </row>
    <row r="25" spans="1:26">
      <c r="A25" s="2" t="s">
        <v>256</v>
      </c>
      <c r="B25" s="2">
        <v>7205</v>
      </c>
      <c r="C25" s="2" t="s">
        <v>3082</v>
      </c>
      <c r="D25" s="2" t="s">
        <v>3083</v>
      </c>
      <c r="E25" s="2" t="s">
        <v>1552</v>
      </c>
      <c r="F25" s="2" t="s">
        <v>3084</v>
      </c>
      <c r="G25" s="2">
        <v>666105929</v>
      </c>
      <c r="H25" s="2" t="s">
        <v>34</v>
      </c>
      <c r="I25" s="2" t="s">
        <v>1213</v>
      </c>
      <c r="J25" s="9" t="s">
        <v>1039</v>
      </c>
      <c r="K25" s="2" t="s">
        <v>31</v>
      </c>
      <c r="L25" s="2" t="s">
        <v>31</v>
      </c>
      <c r="M25" s="2" t="s">
        <v>31</v>
      </c>
      <c r="N25" s="2" t="s">
        <v>31</v>
      </c>
      <c r="O25" s="2" t="s">
        <v>312</v>
      </c>
      <c r="P25" t="s">
        <v>3085</v>
      </c>
      <c r="Q25" s="2" t="s">
        <v>35</v>
      </c>
      <c r="R25" s="11" t="s">
        <v>1082</v>
      </c>
      <c r="T25" s="2" t="s">
        <v>3086</v>
      </c>
      <c r="U25" s="149">
        <v>1</v>
      </c>
      <c r="V25" s="149">
        <v>11859.491</v>
      </c>
      <c r="W25" s="149">
        <v>11859.491</v>
      </c>
      <c r="Y25" s="164">
        <v>9.8532775124745495E-2</v>
      </c>
      <c r="Z25" s="164">
        <v>6.4479219876621202E-3</v>
      </c>
    </row>
    <row r="26" spans="1:26">
      <c r="A26" s="2" t="s">
        <v>256</v>
      </c>
      <c r="B26" s="2">
        <v>7205</v>
      </c>
      <c r="C26" s="2" t="s">
        <v>3087</v>
      </c>
      <c r="D26" s="182" t="s">
        <v>3088</v>
      </c>
      <c r="E26" s="2" t="s">
        <v>504</v>
      </c>
      <c r="F26" s="2" t="s">
        <v>3089</v>
      </c>
      <c r="G26" s="2">
        <v>666107420</v>
      </c>
      <c r="H26" s="2" t="s">
        <v>34</v>
      </c>
      <c r="I26" s="2" t="s">
        <v>1213</v>
      </c>
      <c r="J26" s="27" t="s">
        <v>1034</v>
      </c>
      <c r="K26" s="2" t="s">
        <v>31</v>
      </c>
      <c r="L26" s="2" t="s">
        <v>31</v>
      </c>
      <c r="M26" s="2" t="s">
        <v>31</v>
      </c>
      <c r="N26" s="18" t="s">
        <v>155</v>
      </c>
      <c r="O26" s="2" t="s">
        <v>312</v>
      </c>
      <c r="P26" t="s">
        <v>3090</v>
      </c>
      <c r="Q26" s="2" t="s">
        <v>159</v>
      </c>
      <c r="R26" s="11" t="s">
        <v>1082</v>
      </c>
      <c r="T26" s="2" t="s">
        <v>3091</v>
      </c>
      <c r="U26" s="149">
        <v>3.7589999999999999</v>
      </c>
      <c r="V26" s="149">
        <v>1843.0740000000001</v>
      </c>
      <c r="W26" s="149">
        <v>6928.1149999999998</v>
      </c>
      <c r="Y26" s="164">
        <v>5.7561188864762899E-2</v>
      </c>
      <c r="Z26" s="164">
        <v>3.76676750296731E-3</v>
      </c>
    </row>
    <row r="27" spans="1:26">
      <c r="A27" s="2" t="s">
        <v>256</v>
      </c>
      <c r="B27" s="2">
        <v>7205</v>
      </c>
      <c r="C27" s="2" t="s">
        <v>3173</v>
      </c>
      <c r="D27" s="2" t="s">
        <v>3174</v>
      </c>
      <c r="E27" s="2" t="s">
        <v>1552</v>
      </c>
      <c r="F27" s="2" t="s">
        <v>3175</v>
      </c>
      <c r="G27" s="2">
        <v>666100219</v>
      </c>
      <c r="H27" s="2" t="s">
        <v>34</v>
      </c>
      <c r="I27" s="2" t="s">
        <v>1213</v>
      </c>
      <c r="J27" s="2" t="s">
        <v>758</v>
      </c>
      <c r="K27" s="2" t="s">
        <v>154</v>
      </c>
      <c r="L27" s="2" t="s">
        <v>31</v>
      </c>
      <c r="M27" s="2" t="s">
        <v>31</v>
      </c>
      <c r="N27" s="2" t="s">
        <v>31</v>
      </c>
      <c r="O27" s="2" t="s">
        <v>312</v>
      </c>
      <c r="P27" t="s">
        <v>3176</v>
      </c>
      <c r="Q27" s="2" t="s">
        <v>159</v>
      </c>
      <c r="R27" s="2" t="s">
        <v>1082</v>
      </c>
      <c r="T27" s="2" t="s">
        <v>3177</v>
      </c>
      <c r="U27" s="149">
        <v>3.7589999999999999</v>
      </c>
      <c r="V27" s="149">
        <v>0</v>
      </c>
      <c r="W27" s="149">
        <v>0</v>
      </c>
      <c r="Y27" s="164">
        <v>1.5615539937668401E-10</v>
      </c>
      <c r="Z27" s="164">
        <v>1.02187097832E-11</v>
      </c>
    </row>
    <row r="28" spans="1:26">
      <c r="A28" s="2" t="s">
        <v>256</v>
      </c>
      <c r="B28" s="2">
        <v>7205</v>
      </c>
      <c r="C28" s="2" t="s">
        <v>3092</v>
      </c>
      <c r="D28" s="2" t="s">
        <v>3093</v>
      </c>
      <c r="E28" s="2" t="s">
        <v>503</v>
      </c>
      <c r="F28" s="2" t="s">
        <v>3094</v>
      </c>
      <c r="G28" s="2">
        <v>666103635</v>
      </c>
      <c r="H28" s="2" t="s">
        <v>34</v>
      </c>
      <c r="I28" s="2" t="s">
        <v>1217</v>
      </c>
      <c r="J28" s="2" t="s">
        <v>1033</v>
      </c>
      <c r="K28" s="2" t="s">
        <v>31</v>
      </c>
      <c r="L28" s="2" t="s">
        <v>31</v>
      </c>
      <c r="M28" s="2" t="s">
        <v>31</v>
      </c>
      <c r="N28" s="2" t="s">
        <v>31</v>
      </c>
      <c r="O28" s="2" t="s">
        <v>312</v>
      </c>
      <c r="P28" t="s">
        <v>3095</v>
      </c>
      <c r="Q28" s="2" t="s">
        <v>35</v>
      </c>
      <c r="R28" s="2" t="s">
        <v>1082</v>
      </c>
      <c r="T28" s="2" t="s">
        <v>3091</v>
      </c>
      <c r="U28" s="149">
        <v>1</v>
      </c>
      <c r="V28" s="149">
        <v>137.28299999999999</v>
      </c>
      <c r="W28" s="149">
        <v>137.28299999999999</v>
      </c>
      <c r="Y28" s="164">
        <v>1.14059494550534E-3</v>
      </c>
      <c r="Z28" s="164">
        <v>7.4639806083094494E-5</v>
      </c>
    </row>
    <row r="29" spans="1:26">
      <c r="A29" s="2" t="s">
        <v>256</v>
      </c>
      <c r="B29" s="2">
        <v>7205</v>
      </c>
      <c r="C29" s="2" t="s">
        <v>3092</v>
      </c>
      <c r="D29" s="2" t="s">
        <v>3093</v>
      </c>
      <c r="E29" s="2" t="s">
        <v>503</v>
      </c>
      <c r="F29" s="2" t="s">
        <v>3096</v>
      </c>
      <c r="G29" s="2">
        <v>666103007</v>
      </c>
      <c r="H29" s="2" t="s">
        <v>34</v>
      </c>
      <c r="I29" s="2" t="s">
        <v>1217</v>
      </c>
      <c r="J29" s="2" t="s">
        <v>1033</v>
      </c>
      <c r="K29" s="2" t="s">
        <v>31</v>
      </c>
      <c r="L29" s="2" t="s">
        <v>31</v>
      </c>
      <c r="M29" s="2" t="s">
        <v>31</v>
      </c>
      <c r="N29" s="2" t="s">
        <v>31</v>
      </c>
      <c r="O29" s="2" t="s">
        <v>312</v>
      </c>
      <c r="P29" t="s">
        <v>3097</v>
      </c>
      <c r="Q29" s="2" t="s">
        <v>35</v>
      </c>
      <c r="R29" s="2" t="s">
        <v>1082</v>
      </c>
      <c r="T29" s="2" t="s">
        <v>3091</v>
      </c>
      <c r="U29" s="149">
        <v>1</v>
      </c>
      <c r="V29" s="149">
        <v>54.710999999999999</v>
      </c>
      <c r="W29" s="149">
        <v>54.710999999999999</v>
      </c>
      <c r="Y29" s="164">
        <v>4.5456102177864603E-4</v>
      </c>
      <c r="Z29" s="164">
        <v>2.97461834739759E-5</v>
      </c>
    </row>
    <row r="30" spans="1:26">
      <c r="A30" s="2" t="s">
        <v>256</v>
      </c>
      <c r="B30" s="2">
        <v>7205</v>
      </c>
      <c r="C30" s="2" t="s">
        <v>3098</v>
      </c>
      <c r="D30" s="2" t="s">
        <v>3099</v>
      </c>
      <c r="E30" s="2" t="s">
        <v>1552</v>
      </c>
      <c r="F30" s="2" t="s">
        <v>3100</v>
      </c>
      <c r="G30" s="2">
        <v>666106026</v>
      </c>
      <c r="H30" s="2" t="s">
        <v>34</v>
      </c>
      <c r="I30" s="2" t="s">
        <v>1217</v>
      </c>
      <c r="J30" s="27" t="s">
        <v>1034</v>
      </c>
      <c r="K30" s="2" t="s">
        <v>31</v>
      </c>
      <c r="L30" s="2" t="s">
        <v>31</v>
      </c>
      <c r="M30" s="2" t="s">
        <v>31</v>
      </c>
      <c r="N30" s="2" t="s">
        <v>31</v>
      </c>
      <c r="O30" s="2" t="s">
        <v>312</v>
      </c>
      <c r="P30" t="s">
        <v>3085</v>
      </c>
      <c r="Q30" s="2" t="s">
        <v>159</v>
      </c>
      <c r="R30" s="2" t="s">
        <v>1082</v>
      </c>
      <c r="T30" s="2" t="s">
        <v>3101</v>
      </c>
      <c r="U30" s="149">
        <v>3.7589999999999999</v>
      </c>
      <c r="V30" s="149">
        <v>3041.5210000000002</v>
      </c>
      <c r="W30" s="149">
        <v>11433.075999999999</v>
      </c>
      <c r="Y30" s="164">
        <v>9.4989971594992006E-2</v>
      </c>
      <c r="Z30" s="164">
        <v>6.2160831832790801E-3</v>
      </c>
    </row>
    <row r="31" spans="1:26">
      <c r="A31" s="2" t="s">
        <v>256</v>
      </c>
      <c r="B31" s="2">
        <v>7205</v>
      </c>
      <c r="C31" s="2" t="s">
        <v>3098</v>
      </c>
      <c r="D31" s="2" t="s">
        <v>3099</v>
      </c>
      <c r="E31" s="2" t="s">
        <v>1552</v>
      </c>
      <c r="F31" s="2" t="s">
        <v>3102</v>
      </c>
      <c r="G31" s="2">
        <v>666107438</v>
      </c>
      <c r="H31" s="2" t="s">
        <v>34</v>
      </c>
      <c r="I31" s="2" t="s">
        <v>1217</v>
      </c>
      <c r="J31" s="2" t="s">
        <v>1034</v>
      </c>
      <c r="K31" s="2" t="s">
        <v>154</v>
      </c>
      <c r="L31" s="2" t="s">
        <v>155</v>
      </c>
      <c r="M31" s="2" t="s">
        <v>155</v>
      </c>
      <c r="N31" s="2" t="s">
        <v>155</v>
      </c>
      <c r="O31" s="2" t="s">
        <v>312</v>
      </c>
      <c r="P31" t="s">
        <v>3090</v>
      </c>
      <c r="Q31" s="2" t="s">
        <v>159</v>
      </c>
      <c r="R31" s="2" t="s">
        <v>1082</v>
      </c>
      <c r="T31" s="2" t="s">
        <v>3103</v>
      </c>
      <c r="U31" s="149">
        <v>3.7589999999999999</v>
      </c>
      <c r="V31" s="149">
        <v>2796.49</v>
      </c>
      <c r="W31" s="149">
        <v>10512.005999999999</v>
      </c>
      <c r="Y31" s="164">
        <v>8.7337403318947002E-2</v>
      </c>
      <c r="Z31" s="164">
        <v>5.7153039939511997E-3</v>
      </c>
    </row>
    <row r="32" spans="1:26">
      <c r="A32" s="2" t="s">
        <v>256</v>
      </c>
      <c r="B32" s="2">
        <v>7205</v>
      </c>
      <c r="C32" s="2" t="s">
        <v>3104</v>
      </c>
      <c r="D32" s="2" t="s">
        <v>3105</v>
      </c>
      <c r="E32" s="2" t="s">
        <v>1552</v>
      </c>
      <c r="F32" s="2" t="s">
        <v>3106</v>
      </c>
      <c r="G32" s="2">
        <v>666103072</v>
      </c>
      <c r="H32" s="2" t="s">
        <v>34</v>
      </c>
      <c r="I32" s="2" t="s">
        <v>1213</v>
      </c>
      <c r="J32" s="2" t="s">
        <v>1033</v>
      </c>
      <c r="K32" s="2" t="s">
        <v>31</v>
      </c>
      <c r="L32" s="2" t="s">
        <v>31</v>
      </c>
      <c r="M32" s="2" t="s">
        <v>31</v>
      </c>
      <c r="N32" s="2" t="s">
        <v>31</v>
      </c>
      <c r="O32" s="2" t="s">
        <v>312</v>
      </c>
      <c r="P32" t="s">
        <v>3107</v>
      </c>
      <c r="Q32" s="2" t="s">
        <v>35</v>
      </c>
      <c r="R32" s="2" t="s">
        <v>1082</v>
      </c>
      <c r="T32" s="2" t="s">
        <v>3108</v>
      </c>
      <c r="U32" s="149">
        <v>1</v>
      </c>
      <c r="V32" s="149">
        <v>2201.2959999999998</v>
      </c>
      <c r="W32" s="149">
        <v>2201.2959999999998</v>
      </c>
      <c r="Y32" s="164">
        <v>1.8289132488739201E-2</v>
      </c>
      <c r="Z32" s="164">
        <v>1.19682917039643E-3</v>
      </c>
    </row>
    <row r="33" spans="1:26">
      <c r="A33" s="2" t="s">
        <v>256</v>
      </c>
      <c r="B33" s="2">
        <v>7205</v>
      </c>
      <c r="C33" s="2" t="s">
        <v>3178</v>
      </c>
      <c r="D33" s="2" t="s">
        <v>3179</v>
      </c>
      <c r="E33" s="2" t="s">
        <v>1552</v>
      </c>
      <c r="F33" s="2" t="s">
        <v>3180</v>
      </c>
      <c r="G33" s="2">
        <v>666100151</v>
      </c>
      <c r="H33" s="2" t="s">
        <v>34</v>
      </c>
      <c r="I33" s="2" t="s">
        <v>1213</v>
      </c>
      <c r="J33" s="2" t="s">
        <v>1039</v>
      </c>
      <c r="K33" s="2" t="s">
        <v>154</v>
      </c>
      <c r="L33" s="2" t="s">
        <v>155</v>
      </c>
      <c r="M33" s="2" t="s">
        <v>155</v>
      </c>
      <c r="N33" s="2" t="s">
        <v>155</v>
      </c>
      <c r="O33" s="2" t="s">
        <v>312</v>
      </c>
      <c r="P33" t="s">
        <v>3181</v>
      </c>
      <c r="Q33" s="2" t="s">
        <v>159</v>
      </c>
      <c r="R33" s="2" t="s">
        <v>1082</v>
      </c>
      <c r="T33" s="2" t="s">
        <v>3113</v>
      </c>
      <c r="U33" s="149">
        <v>3.7589999999999999</v>
      </c>
      <c r="V33" s="149">
        <v>23.065000000000001</v>
      </c>
      <c r="W33" s="149">
        <v>86.700999999999993</v>
      </c>
      <c r="Y33" s="164">
        <v>7.2034488288501405E-4</v>
      </c>
      <c r="Z33" s="164">
        <v>4.7138909902555898E-5</v>
      </c>
    </row>
    <row r="34" spans="1:26">
      <c r="A34" s="2" t="s">
        <v>256</v>
      </c>
      <c r="B34" s="2">
        <v>7205</v>
      </c>
      <c r="C34" s="2" t="s">
        <v>3109</v>
      </c>
      <c r="D34" s="2" t="s">
        <v>3110</v>
      </c>
      <c r="E34" s="2" t="s">
        <v>34</v>
      </c>
      <c r="F34" s="2" t="s">
        <v>3111</v>
      </c>
      <c r="G34" s="2">
        <v>666103494</v>
      </c>
      <c r="H34" s="2" t="s">
        <v>34</v>
      </c>
      <c r="I34" s="2" t="s">
        <v>1217</v>
      </c>
      <c r="J34" s="2" t="s">
        <v>1033</v>
      </c>
      <c r="K34" s="2" t="s">
        <v>31</v>
      </c>
      <c r="L34" s="2" t="s">
        <v>31</v>
      </c>
      <c r="M34" s="2" t="s">
        <v>31</v>
      </c>
      <c r="N34" s="2" t="s">
        <v>31</v>
      </c>
      <c r="O34" s="2" t="s">
        <v>312</v>
      </c>
      <c r="P34" t="s">
        <v>3112</v>
      </c>
      <c r="Q34" s="2" t="s">
        <v>35</v>
      </c>
      <c r="R34" s="2" t="s">
        <v>1082</v>
      </c>
      <c r="T34" s="2" t="s">
        <v>3113</v>
      </c>
      <c r="U34" s="149">
        <v>1</v>
      </c>
      <c r="V34" s="149">
        <v>1183.921</v>
      </c>
      <c r="W34" s="149">
        <v>1183.921</v>
      </c>
      <c r="Y34" s="164">
        <v>9.8364254078044094E-3</v>
      </c>
      <c r="Z34" s="164">
        <v>6.4368940778013303E-4</v>
      </c>
    </row>
    <row r="35" spans="1:26">
      <c r="A35" s="2" t="s">
        <v>256</v>
      </c>
      <c r="B35" s="2">
        <v>7205</v>
      </c>
      <c r="C35" s="2" t="s">
        <v>3109</v>
      </c>
      <c r="D35" s="2" t="s">
        <v>3110</v>
      </c>
      <c r="E35" s="2" t="s">
        <v>34</v>
      </c>
      <c r="F35" s="2" t="s">
        <v>3114</v>
      </c>
      <c r="G35" s="2">
        <v>666103965</v>
      </c>
      <c r="H35" s="2" t="s">
        <v>34</v>
      </c>
      <c r="I35" s="2" t="s">
        <v>1217</v>
      </c>
      <c r="J35" s="2" t="s">
        <v>1033</v>
      </c>
      <c r="K35" s="2" t="s">
        <v>31</v>
      </c>
      <c r="L35" s="2" t="s">
        <v>31</v>
      </c>
      <c r="M35" s="2" t="s">
        <v>31</v>
      </c>
      <c r="N35" s="2" t="s">
        <v>31</v>
      </c>
      <c r="O35" s="2" t="s">
        <v>312</v>
      </c>
      <c r="P35" t="s">
        <v>3115</v>
      </c>
      <c r="Q35" s="2" t="s">
        <v>35</v>
      </c>
      <c r="R35" s="2" t="s">
        <v>1082</v>
      </c>
      <c r="T35" s="2" t="s">
        <v>3116</v>
      </c>
      <c r="U35" s="149">
        <v>1</v>
      </c>
      <c r="V35" s="149">
        <v>1022.129</v>
      </c>
      <c r="W35" s="149">
        <v>1022.129</v>
      </c>
      <c r="Y35" s="164">
        <v>8.4922055651492408E-3</v>
      </c>
      <c r="Z35" s="164">
        <v>5.5572451824226297E-4</v>
      </c>
    </row>
    <row r="36" spans="1:26">
      <c r="A36" s="2" t="s">
        <v>256</v>
      </c>
      <c r="B36" s="2">
        <v>7205</v>
      </c>
      <c r="C36" s="2" t="s">
        <v>3117</v>
      </c>
      <c r="D36" s="2" t="s">
        <v>3118</v>
      </c>
      <c r="E36" s="2" t="s">
        <v>1552</v>
      </c>
      <c r="F36" s="2" t="s">
        <v>3119</v>
      </c>
      <c r="G36" s="2">
        <v>666107446</v>
      </c>
      <c r="H36" s="2" t="s">
        <v>34</v>
      </c>
      <c r="I36" s="2" t="s">
        <v>1213</v>
      </c>
      <c r="J36" s="2" t="s">
        <v>1034</v>
      </c>
      <c r="K36" s="2" t="s">
        <v>154</v>
      </c>
      <c r="L36" s="2" t="s">
        <v>155</v>
      </c>
      <c r="M36" s="2" t="s">
        <v>31</v>
      </c>
      <c r="N36" s="2" t="s">
        <v>155</v>
      </c>
      <c r="O36" s="2" t="s">
        <v>312</v>
      </c>
      <c r="P36" t="s">
        <v>3120</v>
      </c>
      <c r="Q36" s="2" t="s">
        <v>35</v>
      </c>
      <c r="R36" s="2" t="s">
        <v>1082</v>
      </c>
      <c r="T36" s="2" t="s">
        <v>3091</v>
      </c>
      <c r="U36" s="149">
        <v>1</v>
      </c>
      <c r="V36" s="149">
        <v>16687.457999999999</v>
      </c>
      <c r="W36" s="149">
        <v>16687.457999999999</v>
      </c>
      <c r="Y36" s="164">
        <v>0.138645203146186</v>
      </c>
      <c r="Z36" s="164">
        <v>9.0728537049563004E-3</v>
      </c>
    </row>
    <row r="37" spans="1:26">
      <c r="A37" s="2" t="s">
        <v>256</v>
      </c>
      <c r="B37" s="2">
        <v>7205</v>
      </c>
      <c r="C37" s="2" t="s">
        <v>3121</v>
      </c>
      <c r="D37" s="2" t="s">
        <v>3122</v>
      </c>
      <c r="E37" s="2" t="s">
        <v>504</v>
      </c>
      <c r="F37" s="2" t="s">
        <v>3123</v>
      </c>
      <c r="G37" s="2">
        <v>666103163</v>
      </c>
      <c r="H37" s="2" t="s">
        <v>34</v>
      </c>
      <c r="I37" s="2" t="s">
        <v>1213</v>
      </c>
      <c r="J37" s="2" t="s">
        <v>1039</v>
      </c>
      <c r="K37" s="2" t="s">
        <v>31</v>
      </c>
      <c r="L37" s="2" t="s">
        <v>31</v>
      </c>
      <c r="M37" s="2" t="s">
        <v>31</v>
      </c>
      <c r="N37" s="2" t="s">
        <v>31</v>
      </c>
      <c r="O37" s="2" t="s">
        <v>312</v>
      </c>
      <c r="P37" t="s">
        <v>3124</v>
      </c>
      <c r="Q37" s="2" t="s">
        <v>159</v>
      </c>
      <c r="R37" s="2" t="s">
        <v>1082</v>
      </c>
      <c r="T37" s="2" t="s">
        <v>3091</v>
      </c>
      <c r="U37" s="149">
        <v>3.7589999999999999</v>
      </c>
      <c r="V37" s="149">
        <v>923.77700000000004</v>
      </c>
      <c r="W37" s="149">
        <v>3472.4789999999998</v>
      </c>
      <c r="Y37" s="164">
        <v>2.8850559788412802E-2</v>
      </c>
      <c r="Z37" s="164">
        <v>1.8879622397781101E-3</v>
      </c>
    </row>
    <row r="38" spans="1:26">
      <c r="A38" s="2" t="s">
        <v>256</v>
      </c>
      <c r="B38" s="2">
        <v>7205</v>
      </c>
      <c r="C38" s="2" t="s">
        <v>3125</v>
      </c>
      <c r="D38" s="2">
        <v>516455920</v>
      </c>
      <c r="E38" s="2" t="s">
        <v>1552</v>
      </c>
      <c r="F38" s="2" t="s">
        <v>3127</v>
      </c>
      <c r="G38" s="2">
        <v>666109921</v>
      </c>
      <c r="H38" s="2" t="s">
        <v>34</v>
      </c>
      <c r="I38" s="2" t="s">
        <v>1217</v>
      </c>
      <c r="J38" s="2" t="s">
        <v>1034</v>
      </c>
      <c r="K38" s="16" t="s">
        <v>31</v>
      </c>
      <c r="L38" s="16" t="s">
        <v>31</v>
      </c>
      <c r="M38" s="16" t="s">
        <v>31</v>
      </c>
      <c r="N38" s="16" t="s">
        <v>31</v>
      </c>
      <c r="O38" s="2" t="s">
        <v>312</v>
      </c>
      <c r="P38" t="s">
        <v>341</v>
      </c>
      <c r="Q38" s="2" t="s">
        <v>35</v>
      </c>
      <c r="R38" s="2" t="s">
        <v>1082</v>
      </c>
      <c r="T38" s="2" t="s">
        <v>3128</v>
      </c>
      <c r="U38" s="149">
        <v>1</v>
      </c>
      <c r="V38" s="149">
        <v>4451.6210000000001</v>
      </c>
      <c r="W38" s="149">
        <v>4451.6210000000001</v>
      </c>
      <c r="Y38" s="164">
        <v>3.6985620274018999E-2</v>
      </c>
      <c r="Z38" s="164">
        <v>2.4203154117018E-3</v>
      </c>
    </row>
    <row r="39" spans="1:26">
      <c r="A39" s="2" t="s">
        <v>256</v>
      </c>
      <c r="B39" s="2">
        <v>7205</v>
      </c>
      <c r="C39" s="2" t="s">
        <v>3129</v>
      </c>
      <c r="D39" s="2" t="s">
        <v>3130</v>
      </c>
      <c r="E39" s="2" t="s">
        <v>1552</v>
      </c>
      <c r="F39" s="2" t="s">
        <v>3131</v>
      </c>
      <c r="G39" s="2">
        <v>666106133</v>
      </c>
      <c r="H39" s="2" t="s">
        <v>34</v>
      </c>
      <c r="I39" s="2" t="s">
        <v>1213</v>
      </c>
      <c r="J39" s="2" t="s">
        <v>1039</v>
      </c>
      <c r="K39" s="2" t="s">
        <v>31</v>
      </c>
      <c r="L39" s="2" t="s">
        <v>31</v>
      </c>
      <c r="M39" s="2" t="s">
        <v>31</v>
      </c>
      <c r="N39" s="2" t="s">
        <v>31</v>
      </c>
      <c r="O39" s="2" t="s">
        <v>312</v>
      </c>
      <c r="P39" t="s">
        <v>3132</v>
      </c>
      <c r="Q39" s="2" t="s">
        <v>159</v>
      </c>
      <c r="R39" s="2" t="s">
        <v>1082</v>
      </c>
      <c r="T39" s="2" t="s">
        <v>3133</v>
      </c>
      <c r="U39" s="149">
        <v>3.7589999999999999</v>
      </c>
      <c r="V39" s="149">
        <v>1938.75</v>
      </c>
      <c r="W39" s="149">
        <v>7287.76</v>
      </c>
      <c r="Y39" s="164">
        <v>6.0549246460247799E-2</v>
      </c>
      <c r="Z39" s="164">
        <v>3.9623040870728097E-3</v>
      </c>
    </row>
    <row r="40" spans="1:26">
      <c r="A40" s="2" t="s">
        <v>256</v>
      </c>
      <c r="B40" s="2">
        <v>7205</v>
      </c>
      <c r="C40" s="2" t="s">
        <v>3134</v>
      </c>
      <c r="D40" s="2" t="s">
        <v>3135</v>
      </c>
      <c r="E40" s="2" t="s">
        <v>504</v>
      </c>
      <c r="F40" s="2" t="s">
        <v>3136</v>
      </c>
      <c r="G40" s="2">
        <v>666109723</v>
      </c>
      <c r="H40" s="2" t="s">
        <v>34</v>
      </c>
      <c r="I40" s="2" t="s">
        <v>1216</v>
      </c>
      <c r="J40" s="2" t="s">
        <v>1037</v>
      </c>
      <c r="K40" s="2" t="s">
        <v>154</v>
      </c>
      <c r="L40" s="2" t="s">
        <v>155</v>
      </c>
      <c r="M40" s="2" t="s">
        <v>31</v>
      </c>
      <c r="N40" s="18" t="s">
        <v>486</v>
      </c>
      <c r="O40" s="2" t="s">
        <v>312</v>
      </c>
      <c r="P40" t="s">
        <v>3137</v>
      </c>
      <c r="Q40" s="2" t="s">
        <v>169</v>
      </c>
      <c r="R40" s="2" t="s">
        <v>1082</v>
      </c>
      <c r="T40" s="2" t="s">
        <v>3138</v>
      </c>
      <c r="U40" s="149">
        <v>4.0199999999999996</v>
      </c>
      <c r="V40" s="149">
        <v>1226.1559999999999</v>
      </c>
      <c r="W40" s="149">
        <v>4929.3919999999998</v>
      </c>
      <c r="Y40" s="164">
        <v>4.0955102062044502E-2</v>
      </c>
      <c r="Z40" s="164">
        <v>2.6800757692907302E-3</v>
      </c>
    </row>
    <row r="41" spans="1:26">
      <c r="A41" s="2" t="s">
        <v>256</v>
      </c>
      <c r="B41" s="2">
        <v>7205</v>
      </c>
      <c r="C41" s="2" t="s">
        <v>3139</v>
      </c>
      <c r="D41" s="2" t="s">
        <v>3140</v>
      </c>
      <c r="E41" s="2" t="s">
        <v>504</v>
      </c>
      <c r="F41" s="2" t="s">
        <v>3141</v>
      </c>
      <c r="G41" s="2">
        <v>666110408</v>
      </c>
      <c r="H41" s="2" t="s">
        <v>34</v>
      </c>
      <c r="I41" s="2" t="s">
        <v>1216</v>
      </c>
      <c r="J41" s="2" t="s">
        <v>1036</v>
      </c>
      <c r="K41" s="2" t="s">
        <v>154</v>
      </c>
      <c r="L41" s="2" t="s">
        <v>489</v>
      </c>
      <c r="M41" s="2" t="s">
        <v>155</v>
      </c>
      <c r="N41" s="2" t="s">
        <v>489</v>
      </c>
      <c r="O41" s="2" t="s">
        <v>312</v>
      </c>
      <c r="P41" t="s">
        <v>341</v>
      </c>
      <c r="Q41" s="2" t="s">
        <v>159</v>
      </c>
      <c r="R41" s="2" t="s">
        <v>1082</v>
      </c>
      <c r="T41" s="2" t="s">
        <v>3091</v>
      </c>
      <c r="U41" s="149">
        <v>3.7589999999999999</v>
      </c>
      <c r="V41" s="149">
        <v>1304.1189999999999</v>
      </c>
      <c r="W41" s="149">
        <v>4902.183</v>
      </c>
      <c r="Y41" s="164">
        <v>4.0729042158189697E-2</v>
      </c>
      <c r="Z41" s="164">
        <v>2.6652825532999199E-3</v>
      </c>
    </row>
    <row r="42" spans="1:26">
      <c r="A42" s="2" t="s">
        <v>256</v>
      </c>
      <c r="B42" s="2">
        <v>7205</v>
      </c>
      <c r="C42" s="2" t="s">
        <v>3142</v>
      </c>
      <c r="D42" s="2" t="s">
        <v>3143</v>
      </c>
      <c r="E42" s="2" t="s">
        <v>504</v>
      </c>
      <c r="F42" s="2" t="s">
        <v>3144</v>
      </c>
      <c r="G42" s="2">
        <v>666110800</v>
      </c>
      <c r="H42" s="2" t="s">
        <v>34</v>
      </c>
      <c r="I42" s="2" t="s">
        <v>1213</v>
      </c>
      <c r="J42" s="2" t="s">
        <v>1043</v>
      </c>
      <c r="K42" s="2" t="s">
        <v>154</v>
      </c>
      <c r="L42" s="2" t="s">
        <v>155</v>
      </c>
      <c r="M42" s="2" t="s">
        <v>155</v>
      </c>
      <c r="N42" s="2" t="s">
        <v>155</v>
      </c>
      <c r="O42" s="2" t="s">
        <v>312</v>
      </c>
      <c r="P42" t="s">
        <v>3145</v>
      </c>
      <c r="Q42" s="2" t="s">
        <v>159</v>
      </c>
      <c r="R42" s="2" t="s">
        <v>1082</v>
      </c>
      <c r="T42" s="2" t="s">
        <v>3146</v>
      </c>
      <c r="U42" s="149">
        <v>3.7589999999999999</v>
      </c>
      <c r="V42" s="149">
        <v>149.374</v>
      </c>
      <c r="W42" s="149">
        <v>561.49800000000005</v>
      </c>
      <c r="Y42" s="164">
        <v>4.6651238002411001E-3</v>
      </c>
      <c r="Z42" s="164">
        <v>3.0528272738343E-4</v>
      </c>
    </row>
    <row r="43" spans="1:26">
      <c r="A43" s="2" t="s">
        <v>256</v>
      </c>
      <c r="B43" s="2">
        <v>7205</v>
      </c>
      <c r="C43" s="2" t="s">
        <v>3147</v>
      </c>
      <c r="D43" s="182" t="s">
        <v>3088</v>
      </c>
      <c r="E43" s="2" t="s">
        <v>34</v>
      </c>
      <c r="F43" s="2" t="s">
        <v>3148</v>
      </c>
      <c r="G43" s="2">
        <v>66611034</v>
      </c>
      <c r="H43" s="2" t="s">
        <v>34</v>
      </c>
      <c r="I43" s="2" t="s">
        <v>1216</v>
      </c>
      <c r="J43" s="27" t="s">
        <v>1034</v>
      </c>
      <c r="K43" s="2" t="s">
        <v>154</v>
      </c>
      <c r="L43" s="2" t="s">
        <v>31</v>
      </c>
      <c r="M43" s="2" t="s">
        <v>31</v>
      </c>
      <c r="N43" s="18" t="s">
        <v>155</v>
      </c>
      <c r="O43" s="2" t="s">
        <v>312</v>
      </c>
      <c r="P43" t="s">
        <v>341</v>
      </c>
      <c r="Q43" s="2" t="s">
        <v>159</v>
      </c>
      <c r="R43" s="2" t="s">
        <v>1082</v>
      </c>
      <c r="T43" s="2" t="s">
        <v>3091</v>
      </c>
      <c r="U43" s="149">
        <v>3.7589999999999999</v>
      </c>
      <c r="V43" s="149">
        <v>1046.0999999999999</v>
      </c>
      <c r="W43" s="149">
        <v>3932.2919999999999</v>
      </c>
      <c r="Y43" s="164">
        <v>3.26708470653614E-2</v>
      </c>
      <c r="Z43" s="164">
        <v>2.1379594036764898E-3</v>
      </c>
    </row>
    <row r="44" spans="1:26">
      <c r="A44" s="2" t="s">
        <v>256</v>
      </c>
      <c r="B44" s="2">
        <v>7205</v>
      </c>
      <c r="C44" s="2" t="s">
        <v>3149</v>
      </c>
      <c r="D44" s="2" t="s">
        <v>3150</v>
      </c>
      <c r="E44" s="2" t="s">
        <v>505</v>
      </c>
      <c r="F44" s="2" t="s">
        <v>3151</v>
      </c>
      <c r="G44" s="2">
        <v>666109798</v>
      </c>
      <c r="H44" s="2" t="s">
        <v>34</v>
      </c>
      <c r="I44" s="2" t="s">
        <v>1216</v>
      </c>
      <c r="J44" s="2" t="s">
        <v>1039</v>
      </c>
      <c r="K44" s="2" t="s">
        <v>31</v>
      </c>
      <c r="L44" s="2" t="s">
        <v>31</v>
      </c>
      <c r="M44" s="2" t="s">
        <v>31</v>
      </c>
      <c r="N44" s="18" t="s">
        <v>489</v>
      </c>
      <c r="O44" s="2" t="s">
        <v>312</v>
      </c>
      <c r="P44" t="s">
        <v>341</v>
      </c>
      <c r="Q44" s="2" t="s">
        <v>159</v>
      </c>
      <c r="R44" s="2" t="s">
        <v>1082</v>
      </c>
      <c r="T44" s="2" t="s">
        <v>3153</v>
      </c>
      <c r="U44" s="149">
        <v>3.7589999999999999</v>
      </c>
      <c r="V44" s="149">
        <v>614.93399999999997</v>
      </c>
      <c r="W44" s="149">
        <v>2311.538</v>
      </c>
      <c r="Y44" s="164">
        <v>1.9205064623909699E-2</v>
      </c>
      <c r="Z44" s="164">
        <v>1.2567671853979899E-3</v>
      </c>
    </row>
    <row r="45" spans="1:26">
      <c r="A45" s="2" t="s">
        <v>256</v>
      </c>
      <c r="B45" s="2">
        <v>7205</v>
      </c>
      <c r="C45" s="2" t="s">
        <v>3098</v>
      </c>
      <c r="D45" s="2" t="s">
        <v>3099</v>
      </c>
      <c r="E45" s="2" t="s">
        <v>1552</v>
      </c>
      <c r="F45" s="2" t="s">
        <v>3154</v>
      </c>
      <c r="G45" s="2">
        <v>666110671</v>
      </c>
      <c r="H45" s="2" t="s">
        <v>34</v>
      </c>
      <c r="I45" s="2" t="s">
        <v>1216</v>
      </c>
      <c r="J45" s="2" t="s">
        <v>1034</v>
      </c>
      <c r="K45" s="2" t="s">
        <v>154</v>
      </c>
      <c r="L45" s="2" t="s">
        <v>155</v>
      </c>
      <c r="M45" s="2" t="s">
        <v>155</v>
      </c>
      <c r="N45" s="2" t="s">
        <v>155</v>
      </c>
      <c r="O45" s="2" t="s">
        <v>312</v>
      </c>
      <c r="P45" t="s">
        <v>3155</v>
      </c>
      <c r="Q45" s="2" t="s">
        <v>159</v>
      </c>
      <c r="R45" s="2" t="s">
        <v>1082</v>
      </c>
      <c r="T45" s="2" t="s">
        <v>1558</v>
      </c>
      <c r="U45" s="149">
        <v>3.7589999999999999</v>
      </c>
      <c r="V45" s="149">
        <v>1206.0239999999999</v>
      </c>
      <c r="W45" s="149">
        <v>4533.4459999999999</v>
      </c>
      <c r="Y45" s="164">
        <v>3.76654427797797E-2</v>
      </c>
      <c r="Z45" s="164">
        <v>2.4648025630791201E-3</v>
      </c>
    </row>
    <row r="46" spans="1:26">
      <c r="A46" s="2" t="s">
        <v>256</v>
      </c>
      <c r="B46" s="2">
        <v>7205</v>
      </c>
      <c r="C46" s="2" t="s">
        <v>3156</v>
      </c>
      <c r="D46" s="2" t="s">
        <v>3157</v>
      </c>
      <c r="E46" s="2" t="s">
        <v>34</v>
      </c>
      <c r="F46" s="2" t="s">
        <v>3158</v>
      </c>
      <c r="G46" s="2">
        <v>666109236</v>
      </c>
      <c r="H46" s="2" t="s">
        <v>34</v>
      </c>
      <c r="I46" s="2" t="s">
        <v>1216</v>
      </c>
      <c r="J46" s="2" t="s">
        <v>1034</v>
      </c>
      <c r="K46" s="2" t="s">
        <v>154</v>
      </c>
      <c r="L46" s="2" t="s">
        <v>155</v>
      </c>
      <c r="M46" s="2" t="s">
        <v>475</v>
      </c>
      <c r="N46" s="2" t="s">
        <v>155</v>
      </c>
      <c r="O46" s="2" t="s">
        <v>312</v>
      </c>
      <c r="P46" t="s">
        <v>3159</v>
      </c>
      <c r="Q46" s="2" t="s">
        <v>159</v>
      </c>
      <c r="R46" s="2" t="s">
        <v>1082</v>
      </c>
      <c r="T46" s="2" t="s">
        <v>3160</v>
      </c>
      <c r="U46" s="149">
        <v>3.7589999999999999</v>
      </c>
      <c r="V46" s="149">
        <v>2558.1329999999998</v>
      </c>
      <c r="W46" s="149">
        <v>9616.0210000000006</v>
      </c>
      <c r="Y46" s="164">
        <v>7.9893244811546096E-2</v>
      </c>
      <c r="Z46" s="164">
        <v>5.2281630070182402E-3</v>
      </c>
    </row>
    <row r="47" spans="1:26">
      <c r="A47" s="2" t="s">
        <v>256</v>
      </c>
      <c r="B47" s="2">
        <v>7205</v>
      </c>
      <c r="C47" s="2" t="s">
        <v>3161</v>
      </c>
      <c r="D47" s="2" t="s">
        <v>3162</v>
      </c>
      <c r="E47" s="2" t="s">
        <v>504</v>
      </c>
      <c r="F47" s="2" t="s">
        <v>3163</v>
      </c>
      <c r="G47" s="2">
        <v>666110754</v>
      </c>
      <c r="H47" s="2" t="s">
        <v>34</v>
      </c>
      <c r="I47" s="2" t="s">
        <v>1216</v>
      </c>
      <c r="J47" s="27" t="s">
        <v>1034</v>
      </c>
      <c r="K47" s="2" t="s">
        <v>154</v>
      </c>
      <c r="L47" s="2" t="s">
        <v>155</v>
      </c>
      <c r="M47" s="2" t="s">
        <v>155</v>
      </c>
      <c r="N47" s="2" t="s">
        <v>155</v>
      </c>
      <c r="O47" s="2" t="s">
        <v>312</v>
      </c>
      <c r="P47" t="s">
        <v>3164</v>
      </c>
      <c r="Q47" s="2" t="s">
        <v>159</v>
      </c>
      <c r="R47" s="2" t="s">
        <v>1082</v>
      </c>
      <c r="T47" s="2" t="s">
        <v>3165</v>
      </c>
      <c r="U47" s="149">
        <v>3.7589999999999999</v>
      </c>
      <c r="V47" s="149">
        <v>373.32400000000001</v>
      </c>
      <c r="W47" s="149">
        <v>1403.325</v>
      </c>
      <c r="Y47" s="164">
        <v>1.16593116064172E-2</v>
      </c>
      <c r="Z47" s="164">
        <v>7.6297791849304797E-4</v>
      </c>
    </row>
    <row r="48" spans="1:26">
      <c r="A48" s="2" t="s">
        <v>256</v>
      </c>
      <c r="B48" s="2">
        <v>7205</v>
      </c>
      <c r="C48" s="2" t="s">
        <v>3166</v>
      </c>
      <c r="D48" s="2" t="s">
        <v>3167</v>
      </c>
      <c r="E48" s="2" t="s">
        <v>505</v>
      </c>
      <c r="F48" s="2" t="s">
        <v>3168</v>
      </c>
      <c r="G48" s="2">
        <v>666109954</v>
      </c>
      <c r="H48" s="2" t="s">
        <v>34</v>
      </c>
      <c r="I48" s="2" t="s">
        <v>1216</v>
      </c>
      <c r="J48" s="2" t="s">
        <v>1033</v>
      </c>
      <c r="K48" s="2" t="s">
        <v>154</v>
      </c>
      <c r="L48" s="2" t="s">
        <v>155</v>
      </c>
      <c r="M48" s="2" t="s">
        <v>155</v>
      </c>
      <c r="N48" s="2" t="s">
        <v>155</v>
      </c>
      <c r="O48" s="2" t="s">
        <v>312</v>
      </c>
      <c r="P48" t="s">
        <v>341</v>
      </c>
      <c r="Q48" s="2" t="s">
        <v>159</v>
      </c>
      <c r="R48" s="2" t="s">
        <v>1082</v>
      </c>
      <c r="T48" s="2" t="s">
        <v>1558</v>
      </c>
      <c r="U48" s="149">
        <v>3.7589999999999999</v>
      </c>
      <c r="V48" s="149">
        <v>2081.3150000000001</v>
      </c>
      <c r="W48" s="149">
        <v>7823.6639999999998</v>
      </c>
      <c r="Y48" s="164">
        <v>6.5001725914068706E-2</v>
      </c>
      <c r="Z48" s="164">
        <v>4.2536715039912798E-3</v>
      </c>
    </row>
    <row r="49" spans="1:26">
      <c r="A49" s="2" t="s">
        <v>256</v>
      </c>
      <c r="B49" s="2">
        <v>7205</v>
      </c>
      <c r="C49" s="2" t="s">
        <v>3169</v>
      </c>
      <c r="D49" s="2" t="s">
        <v>3170</v>
      </c>
      <c r="E49" s="2" t="s">
        <v>504</v>
      </c>
      <c r="F49" s="2" t="s">
        <v>3171</v>
      </c>
      <c r="G49" s="2">
        <v>666110801</v>
      </c>
      <c r="H49" s="2" t="s">
        <v>34</v>
      </c>
      <c r="I49" s="2" t="s">
        <v>1216</v>
      </c>
      <c r="J49" s="2" t="s">
        <v>1034</v>
      </c>
      <c r="K49" s="2" t="s">
        <v>154</v>
      </c>
      <c r="L49" s="2" t="s">
        <v>155</v>
      </c>
      <c r="M49" s="2" t="s">
        <v>31</v>
      </c>
      <c r="N49" s="2" t="s">
        <v>155</v>
      </c>
      <c r="O49" s="2" t="s">
        <v>312</v>
      </c>
      <c r="P49" t="s">
        <v>3172</v>
      </c>
      <c r="Q49" s="2" t="s">
        <v>159</v>
      </c>
      <c r="R49" s="2" t="s">
        <v>1082</v>
      </c>
      <c r="T49" s="2" t="s">
        <v>3113</v>
      </c>
      <c r="U49" s="149">
        <v>3.7589999999999999</v>
      </c>
      <c r="V49" s="149">
        <v>805.92399999999998</v>
      </c>
      <c r="W49" s="149">
        <v>3029.4670000000001</v>
      </c>
      <c r="Y49" s="164">
        <v>2.5169862138111902E-2</v>
      </c>
      <c r="Z49" s="164">
        <v>1.6470997320565399E-3</v>
      </c>
    </row>
    <row r="50" spans="1:26">
      <c r="A50" s="2" t="s">
        <v>256</v>
      </c>
      <c r="B50" s="2">
        <v>7206</v>
      </c>
      <c r="C50" s="2" t="s">
        <v>3087</v>
      </c>
      <c r="D50" s="182" t="s">
        <v>3088</v>
      </c>
      <c r="E50" s="2" t="s">
        <v>504</v>
      </c>
      <c r="F50" s="2" t="s">
        <v>3089</v>
      </c>
      <c r="G50" s="2">
        <v>666107420</v>
      </c>
      <c r="H50" s="2" t="s">
        <v>34</v>
      </c>
      <c r="I50" s="2" t="s">
        <v>1213</v>
      </c>
      <c r="J50" s="27" t="s">
        <v>1034</v>
      </c>
      <c r="K50" s="2" t="s">
        <v>31</v>
      </c>
      <c r="L50" s="2" t="s">
        <v>31</v>
      </c>
      <c r="M50" s="2" t="s">
        <v>31</v>
      </c>
      <c r="N50" s="18" t="s">
        <v>155</v>
      </c>
      <c r="O50" s="2" t="s">
        <v>312</v>
      </c>
      <c r="P50" t="s">
        <v>3090</v>
      </c>
      <c r="Q50" s="2" t="s">
        <v>159</v>
      </c>
      <c r="R50" s="2" t="s">
        <v>1082</v>
      </c>
      <c r="T50" s="2" t="s">
        <v>3091</v>
      </c>
      <c r="U50" s="149">
        <v>3.7589999999999999</v>
      </c>
      <c r="V50" s="149">
        <v>22.206</v>
      </c>
      <c r="W50" s="149">
        <v>83.471000000000004</v>
      </c>
      <c r="Y50" s="164">
        <v>5.9014704296129601E-2</v>
      </c>
      <c r="Z50" s="164">
        <v>1.24642451505843E-3</v>
      </c>
    </row>
    <row r="51" spans="1:26">
      <c r="A51" s="2" t="s">
        <v>256</v>
      </c>
      <c r="B51" s="2">
        <v>7206</v>
      </c>
      <c r="C51" s="2" t="s">
        <v>3098</v>
      </c>
      <c r="D51" s="2" t="s">
        <v>3099</v>
      </c>
      <c r="E51" s="2" t="s">
        <v>1552</v>
      </c>
      <c r="F51" s="2" t="s">
        <v>3102</v>
      </c>
      <c r="G51" s="2">
        <v>666107438</v>
      </c>
      <c r="H51" s="2" t="s">
        <v>34</v>
      </c>
      <c r="I51" s="2" t="s">
        <v>1217</v>
      </c>
      <c r="J51" s="2" t="s">
        <v>1034</v>
      </c>
      <c r="K51" s="2" t="s">
        <v>154</v>
      </c>
      <c r="L51" s="2" t="s">
        <v>155</v>
      </c>
      <c r="M51" s="2" t="s">
        <v>155</v>
      </c>
      <c r="N51" s="2" t="s">
        <v>155</v>
      </c>
      <c r="O51" s="2" t="s">
        <v>312</v>
      </c>
      <c r="P51" t="s">
        <v>3090</v>
      </c>
      <c r="Q51" s="2" t="s">
        <v>159</v>
      </c>
      <c r="R51" s="2" t="s">
        <v>1082</v>
      </c>
      <c r="T51" s="2" t="s">
        <v>3103</v>
      </c>
      <c r="U51" s="149">
        <v>3.7589999999999999</v>
      </c>
      <c r="V51" s="149">
        <v>33.558</v>
      </c>
      <c r="W51" s="149">
        <v>126.143</v>
      </c>
      <c r="Y51" s="164">
        <v>8.9183778286273802E-2</v>
      </c>
      <c r="Z51" s="164">
        <v>1.8836127186837E-3</v>
      </c>
    </row>
    <row r="52" spans="1:26">
      <c r="A52" s="2" t="s">
        <v>256</v>
      </c>
      <c r="B52" s="2">
        <v>7206</v>
      </c>
      <c r="C52" s="2" t="s">
        <v>3117</v>
      </c>
      <c r="D52" s="2" t="s">
        <v>3118</v>
      </c>
      <c r="E52" s="2" t="s">
        <v>1552</v>
      </c>
      <c r="F52" s="2" t="s">
        <v>3119</v>
      </c>
      <c r="G52" s="2">
        <v>666107446</v>
      </c>
      <c r="H52" s="2" t="s">
        <v>34</v>
      </c>
      <c r="I52" s="2" t="s">
        <v>1213</v>
      </c>
      <c r="J52" s="2" t="s">
        <v>1034</v>
      </c>
      <c r="K52" s="2" t="s">
        <v>154</v>
      </c>
      <c r="L52" s="2" t="s">
        <v>155</v>
      </c>
      <c r="M52" s="2" t="s">
        <v>31</v>
      </c>
      <c r="N52" s="2" t="s">
        <v>155</v>
      </c>
      <c r="O52" s="2" t="s">
        <v>312</v>
      </c>
      <c r="P52" t="s">
        <v>3120</v>
      </c>
      <c r="Q52" s="2" t="s">
        <v>35</v>
      </c>
      <c r="R52" s="2" t="s">
        <v>1082</v>
      </c>
      <c r="T52" s="2" t="s">
        <v>3091</v>
      </c>
      <c r="U52" s="149">
        <v>1</v>
      </c>
      <c r="V52" s="149">
        <v>203.506</v>
      </c>
      <c r="W52" s="149">
        <v>203.506</v>
      </c>
      <c r="Y52" s="164">
        <v>0.143879714882513</v>
      </c>
      <c r="Z52" s="164">
        <v>3.0388223746626898E-3</v>
      </c>
    </row>
    <row r="53" spans="1:26">
      <c r="A53" s="2" t="s">
        <v>256</v>
      </c>
      <c r="B53" s="2">
        <v>7206</v>
      </c>
      <c r="C53" s="2" t="s">
        <v>3125</v>
      </c>
      <c r="D53" s="2">
        <v>516455920</v>
      </c>
      <c r="E53" s="2" t="s">
        <v>1552</v>
      </c>
      <c r="F53" s="2" t="s">
        <v>3127</v>
      </c>
      <c r="G53" s="2">
        <v>666109921</v>
      </c>
      <c r="H53" s="2" t="s">
        <v>34</v>
      </c>
      <c r="I53" s="2" t="s">
        <v>1217</v>
      </c>
      <c r="J53" s="2" t="s">
        <v>1034</v>
      </c>
      <c r="K53" s="16" t="s">
        <v>31</v>
      </c>
      <c r="L53" s="16" t="s">
        <v>31</v>
      </c>
      <c r="M53" s="16" t="s">
        <v>31</v>
      </c>
      <c r="N53" s="16" t="s">
        <v>31</v>
      </c>
      <c r="O53" s="2" t="s">
        <v>312</v>
      </c>
      <c r="P53" t="s">
        <v>341</v>
      </c>
      <c r="Q53" s="2" t="s">
        <v>35</v>
      </c>
      <c r="R53" s="2" t="s">
        <v>1082</v>
      </c>
      <c r="T53" s="2" t="s">
        <v>3128</v>
      </c>
      <c r="U53" s="149">
        <v>1</v>
      </c>
      <c r="V53" s="149">
        <v>105.15600000000001</v>
      </c>
      <c r="W53" s="149">
        <v>105.15600000000001</v>
      </c>
      <c r="Y53" s="164">
        <v>7.4345957155722495E-2</v>
      </c>
      <c r="Z53" s="164">
        <v>1.5702293979037E-3</v>
      </c>
    </row>
    <row r="54" spans="1:26">
      <c r="A54" s="2" t="s">
        <v>256</v>
      </c>
      <c r="B54" s="2">
        <v>7206</v>
      </c>
      <c r="C54" s="2" t="s">
        <v>3134</v>
      </c>
      <c r="D54" s="2" t="s">
        <v>3135</v>
      </c>
      <c r="E54" s="2" t="s">
        <v>504</v>
      </c>
      <c r="F54" s="2" t="s">
        <v>3136</v>
      </c>
      <c r="G54" s="2">
        <v>666109723</v>
      </c>
      <c r="H54" s="2" t="s">
        <v>34</v>
      </c>
      <c r="I54" s="2" t="s">
        <v>1216</v>
      </c>
      <c r="J54" s="2" t="s">
        <v>1037</v>
      </c>
      <c r="K54" s="2" t="s">
        <v>154</v>
      </c>
      <c r="L54" s="2" t="s">
        <v>155</v>
      </c>
      <c r="M54" s="2" t="s">
        <v>31</v>
      </c>
      <c r="N54" s="18" t="s">
        <v>486</v>
      </c>
      <c r="O54" s="2" t="s">
        <v>312</v>
      </c>
      <c r="P54" t="s">
        <v>3137</v>
      </c>
      <c r="Q54" s="2" t="s">
        <v>169</v>
      </c>
      <c r="R54" s="2" t="s">
        <v>1082</v>
      </c>
      <c r="T54" s="2" t="s">
        <v>3138</v>
      </c>
      <c r="U54" s="149">
        <v>4.0199999999999996</v>
      </c>
      <c r="V54" s="149">
        <v>29.725000000000001</v>
      </c>
      <c r="W54" s="149">
        <v>119.5</v>
      </c>
      <c r="Y54" s="164">
        <v>8.4487533597068204E-2</v>
      </c>
      <c r="Z54" s="164">
        <v>1.7844253283688001E-3</v>
      </c>
    </row>
    <row r="55" spans="1:26">
      <c r="A55" s="2" t="s">
        <v>256</v>
      </c>
      <c r="B55" s="2">
        <v>7206</v>
      </c>
      <c r="C55" s="2" t="s">
        <v>3139</v>
      </c>
      <c r="D55" s="2" t="s">
        <v>3140</v>
      </c>
      <c r="E55" s="2" t="s">
        <v>504</v>
      </c>
      <c r="F55" s="2" t="s">
        <v>3141</v>
      </c>
      <c r="G55" s="2">
        <v>666110408</v>
      </c>
      <c r="H55" s="2" t="s">
        <v>34</v>
      </c>
      <c r="I55" s="2" t="s">
        <v>1216</v>
      </c>
      <c r="J55" s="2" t="s">
        <v>1036</v>
      </c>
      <c r="K55" s="2" t="s">
        <v>154</v>
      </c>
      <c r="L55" s="2" t="s">
        <v>489</v>
      </c>
      <c r="M55" s="2" t="s">
        <v>155</v>
      </c>
      <c r="N55" s="2" t="s">
        <v>489</v>
      </c>
      <c r="O55" s="2" t="s">
        <v>312</v>
      </c>
      <c r="P55" t="s">
        <v>341</v>
      </c>
      <c r="Q55" s="2" t="s">
        <v>159</v>
      </c>
      <c r="R55" s="2" t="s">
        <v>1082</v>
      </c>
      <c r="T55" s="2" t="s">
        <v>3091</v>
      </c>
      <c r="U55" s="149">
        <v>3.7589999999999999</v>
      </c>
      <c r="V55" s="149">
        <v>23.427</v>
      </c>
      <c r="W55" s="149">
        <v>88.061000000000007</v>
      </c>
      <c r="Y55" s="164">
        <v>6.2260024690653802E-2</v>
      </c>
      <c r="Z55" s="164">
        <v>1.3149675493275899E-3</v>
      </c>
    </row>
    <row r="56" spans="1:26">
      <c r="A56" s="2" t="s">
        <v>256</v>
      </c>
      <c r="B56" s="2">
        <v>7206</v>
      </c>
      <c r="C56" s="2" t="s">
        <v>3142</v>
      </c>
      <c r="D56" s="2" t="s">
        <v>3143</v>
      </c>
      <c r="E56" s="2" t="s">
        <v>504</v>
      </c>
      <c r="F56" s="2" t="s">
        <v>3144</v>
      </c>
      <c r="G56" s="2">
        <v>666110800</v>
      </c>
      <c r="H56" s="2" t="s">
        <v>34</v>
      </c>
      <c r="I56" s="2" t="s">
        <v>1213</v>
      </c>
      <c r="J56" s="2" t="s">
        <v>1043</v>
      </c>
      <c r="K56" s="2" t="s">
        <v>154</v>
      </c>
      <c r="L56" s="2" t="s">
        <v>155</v>
      </c>
      <c r="M56" s="2" t="s">
        <v>155</v>
      </c>
      <c r="N56" s="2" t="s">
        <v>155</v>
      </c>
      <c r="O56" s="2" t="s">
        <v>312</v>
      </c>
      <c r="P56" t="s">
        <v>3145</v>
      </c>
      <c r="Q56" s="2" t="s">
        <v>159</v>
      </c>
      <c r="R56" s="2" t="s">
        <v>1082</v>
      </c>
      <c r="T56" s="2" t="s">
        <v>3146</v>
      </c>
      <c r="U56" s="149">
        <v>3.7589999999999999</v>
      </c>
      <c r="V56" s="149">
        <v>6.2240000000000002</v>
      </c>
      <c r="W56" s="149">
        <v>23.396000000000001</v>
      </c>
      <c r="Y56" s="164">
        <v>1.6540952102075401E-2</v>
      </c>
      <c r="Z56" s="164">
        <v>3.4935442697433302E-4</v>
      </c>
    </row>
    <row r="57" spans="1:26">
      <c r="A57" s="2" t="s">
        <v>256</v>
      </c>
      <c r="B57" s="2">
        <v>7206</v>
      </c>
      <c r="C57" s="2" t="s">
        <v>3147</v>
      </c>
      <c r="D57" s="182" t="s">
        <v>3088</v>
      </c>
      <c r="E57" s="2" t="s">
        <v>34</v>
      </c>
      <c r="F57" s="2" t="s">
        <v>3148</v>
      </c>
      <c r="G57" s="2">
        <v>66611034</v>
      </c>
      <c r="H57" s="2" t="s">
        <v>34</v>
      </c>
      <c r="I57" s="2" t="s">
        <v>1216</v>
      </c>
      <c r="J57" s="27" t="s">
        <v>1034</v>
      </c>
      <c r="K57" s="2" t="s">
        <v>154</v>
      </c>
      <c r="L57" s="2" t="s">
        <v>31</v>
      </c>
      <c r="M57" s="2" t="s">
        <v>31</v>
      </c>
      <c r="N57" s="18" t="s">
        <v>155</v>
      </c>
      <c r="O57" s="2" t="s">
        <v>312</v>
      </c>
      <c r="P57" t="s">
        <v>341</v>
      </c>
      <c r="Q57" s="2" t="s">
        <v>159</v>
      </c>
      <c r="R57" s="2" t="s">
        <v>1082</v>
      </c>
      <c r="T57" s="2" t="s">
        <v>3091</v>
      </c>
      <c r="U57" s="149">
        <v>3.7589999999999999</v>
      </c>
      <c r="V57" s="149">
        <v>12.603999999999999</v>
      </c>
      <c r="W57" s="149">
        <v>47.377000000000002</v>
      </c>
      <c r="Y57" s="164">
        <v>3.3495840108449797E-2</v>
      </c>
      <c r="Z57" s="164">
        <v>7.0745141844906901E-4</v>
      </c>
    </row>
    <row r="58" spans="1:26">
      <c r="A58" s="2" t="s">
        <v>256</v>
      </c>
      <c r="B58" s="2">
        <v>7206</v>
      </c>
      <c r="C58" s="2" t="s">
        <v>3149</v>
      </c>
      <c r="D58" s="2" t="s">
        <v>3150</v>
      </c>
      <c r="E58" s="2" t="s">
        <v>505</v>
      </c>
      <c r="F58" s="2" t="s">
        <v>3151</v>
      </c>
      <c r="G58" s="2">
        <v>666109798</v>
      </c>
      <c r="H58" s="2" t="s">
        <v>34</v>
      </c>
      <c r="I58" s="2" t="s">
        <v>1216</v>
      </c>
      <c r="J58" s="2" t="s">
        <v>1039</v>
      </c>
      <c r="K58" s="2" t="s">
        <v>31</v>
      </c>
      <c r="L58" s="2" t="s">
        <v>31</v>
      </c>
      <c r="M58" s="2" t="s">
        <v>31</v>
      </c>
      <c r="N58" s="18" t="s">
        <v>489</v>
      </c>
      <c r="O58" s="2" t="s">
        <v>312</v>
      </c>
      <c r="P58" t="s">
        <v>341</v>
      </c>
      <c r="Q58" s="2" t="s">
        <v>159</v>
      </c>
      <c r="R58" s="2" t="s">
        <v>1082</v>
      </c>
      <c r="T58" s="2" t="s">
        <v>3153</v>
      </c>
      <c r="U58" s="149">
        <v>3.7589999999999999</v>
      </c>
      <c r="V58" s="149">
        <v>14.907999999999999</v>
      </c>
      <c r="W58" s="149">
        <v>56.036999999999999</v>
      </c>
      <c r="Y58" s="164">
        <v>3.96187156410528E-2</v>
      </c>
      <c r="Z58" s="164">
        <v>8.3677007313880103E-4</v>
      </c>
    </row>
    <row r="59" spans="1:26">
      <c r="A59" s="2" t="s">
        <v>256</v>
      </c>
      <c r="B59" s="2">
        <v>7206</v>
      </c>
      <c r="C59" s="2" t="s">
        <v>3098</v>
      </c>
      <c r="D59" s="2" t="s">
        <v>3099</v>
      </c>
      <c r="E59" s="2" t="s">
        <v>1552</v>
      </c>
      <c r="F59" s="2" t="s">
        <v>3154</v>
      </c>
      <c r="G59" s="2">
        <v>666110671</v>
      </c>
      <c r="H59" s="2" t="s">
        <v>34</v>
      </c>
      <c r="I59" s="2" t="s">
        <v>1216</v>
      </c>
      <c r="J59" s="2" t="s">
        <v>1034</v>
      </c>
      <c r="K59" s="2" t="s">
        <v>154</v>
      </c>
      <c r="L59" s="2" t="s">
        <v>155</v>
      </c>
      <c r="M59" s="2" t="s">
        <v>155</v>
      </c>
      <c r="N59" s="2" t="s">
        <v>155</v>
      </c>
      <c r="O59" s="2" t="s">
        <v>312</v>
      </c>
      <c r="P59" t="s">
        <v>3155</v>
      </c>
      <c r="Q59" s="2" t="s">
        <v>159</v>
      </c>
      <c r="R59" s="2" t="s">
        <v>1082</v>
      </c>
      <c r="T59" s="2" t="s">
        <v>1558</v>
      </c>
      <c r="U59" s="149">
        <v>3.7589999999999999</v>
      </c>
      <c r="V59" s="149">
        <v>39.380000000000003</v>
      </c>
      <c r="W59" s="149">
        <v>148.03100000000001</v>
      </c>
      <c r="Y59" s="164">
        <v>0.104658753826704</v>
      </c>
      <c r="Z59" s="164">
        <v>2.21045310725423E-3</v>
      </c>
    </row>
    <row r="60" spans="1:26">
      <c r="A60" s="2" t="s">
        <v>256</v>
      </c>
      <c r="B60" s="2">
        <v>7206</v>
      </c>
      <c r="C60" s="2" t="s">
        <v>3156</v>
      </c>
      <c r="D60" s="2" t="s">
        <v>3157</v>
      </c>
      <c r="E60" s="2" t="s">
        <v>34</v>
      </c>
      <c r="F60" s="2" t="s">
        <v>3158</v>
      </c>
      <c r="G60" s="2">
        <v>666109236</v>
      </c>
      <c r="H60" s="2" t="s">
        <v>34</v>
      </c>
      <c r="I60" s="2" t="s">
        <v>1216</v>
      </c>
      <c r="J60" s="2" t="s">
        <v>1034</v>
      </c>
      <c r="K60" s="2" t="s">
        <v>154</v>
      </c>
      <c r="L60" s="2" t="s">
        <v>155</v>
      </c>
      <c r="M60" s="2" t="s">
        <v>475</v>
      </c>
      <c r="N60" s="2" t="s">
        <v>155</v>
      </c>
      <c r="O60" s="2" t="s">
        <v>312</v>
      </c>
      <c r="P60" t="s">
        <v>3159</v>
      </c>
      <c r="Q60" s="2" t="s">
        <v>159</v>
      </c>
      <c r="R60" s="2" t="s">
        <v>1082</v>
      </c>
      <c r="T60" s="2" t="s">
        <v>3160</v>
      </c>
      <c r="U60" s="149">
        <v>3.7589999999999999</v>
      </c>
      <c r="V60" s="149">
        <v>40.604999999999997</v>
      </c>
      <c r="W60" s="149">
        <v>152.63499999999999</v>
      </c>
      <c r="Y60" s="164">
        <v>0.107914072680088</v>
      </c>
      <c r="Z60" s="164">
        <v>2.2792073147281698E-3</v>
      </c>
    </row>
    <row r="61" spans="1:26">
      <c r="A61" s="2" t="s">
        <v>256</v>
      </c>
      <c r="B61" s="2">
        <v>7206</v>
      </c>
      <c r="C61" s="2" t="s">
        <v>3161</v>
      </c>
      <c r="D61" s="2" t="s">
        <v>3162</v>
      </c>
      <c r="E61" s="2" t="s">
        <v>504</v>
      </c>
      <c r="F61" s="2" t="s">
        <v>3163</v>
      </c>
      <c r="G61" s="2">
        <v>666110754</v>
      </c>
      <c r="H61" s="2" t="s">
        <v>34</v>
      </c>
      <c r="I61" s="2" t="s">
        <v>1216</v>
      </c>
      <c r="J61" s="27" t="s">
        <v>1034</v>
      </c>
      <c r="K61" s="2" t="s">
        <v>154</v>
      </c>
      <c r="L61" s="2" t="s">
        <v>155</v>
      </c>
      <c r="M61" s="2" t="s">
        <v>155</v>
      </c>
      <c r="N61" s="2" t="s">
        <v>155</v>
      </c>
      <c r="O61" s="2" t="s">
        <v>312</v>
      </c>
      <c r="P61" t="s">
        <v>3164</v>
      </c>
      <c r="Q61" s="2" t="s">
        <v>159</v>
      </c>
      <c r="R61" s="2" t="s">
        <v>1082</v>
      </c>
      <c r="T61" s="2" t="s">
        <v>3165</v>
      </c>
      <c r="U61" s="149">
        <v>3.7589999999999999</v>
      </c>
      <c r="V61" s="149">
        <v>9.3330000000000002</v>
      </c>
      <c r="W61" s="149">
        <v>35.084000000000003</v>
      </c>
      <c r="Y61" s="164">
        <v>2.4804496284683699E-2</v>
      </c>
      <c r="Z61" s="164">
        <v>5.2388523541129005E-4</v>
      </c>
    </row>
    <row r="62" spans="1:26">
      <c r="A62" s="2" t="s">
        <v>256</v>
      </c>
      <c r="B62" s="2">
        <v>7206</v>
      </c>
      <c r="C62" s="2" t="s">
        <v>3166</v>
      </c>
      <c r="D62" s="2" t="s">
        <v>3167</v>
      </c>
      <c r="E62" s="2" t="s">
        <v>505</v>
      </c>
      <c r="F62" s="2" t="s">
        <v>3168</v>
      </c>
      <c r="G62" s="2">
        <v>666109954</v>
      </c>
      <c r="H62" s="2" t="s">
        <v>34</v>
      </c>
      <c r="I62" s="2" t="s">
        <v>1216</v>
      </c>
      <c r="J62" s="2" t="s">
        <v>1033</v>
      </c>
      <c r="K62" s="2" t="s">
        <v>154</v>
      </c>
      <c r="L62" s="2" t="s">
        <v>155</v>
      </c>
      <c r="M62" s="2" t="s">
        <v>155</v>
      </c>
      <c r="N62" s="2" t="s">
        <v>155</v>
      </c>
      <c r="O62" s="2" t="s">
        <v>312</v>
      </c>
      <c r="P62" t="s">
        <v>341</v>
      </c>
      <c r="Q62" s="2" t="s">
        <v>159</v>
      </c>
      <c r="R62" s="2" t="s">
        <v>1082</v>
      </c>
      <c r="T62" s="2" t="s">
        <v>1558</v>
      </c>
      <c r="U62" s="149">
        <v>3.7589999999999999</v>
      </c>
      <c r="V62" s="149">
        <v>33.036999999999999</v>
      </c>
      <c r="W62" s="149">
        <v>124.18600000000001</v>
      </c>
      <c r="Y62" s="164">
        <v>8.7800448535288594E-2</v>
      </c>
      <c r="Z62" s="164">
        <v>1.85439599829846E-3</v>
      </c>
    </row>
    <row r="63" spans="1:26">
      <c r="A63" s="2" t="s">
        <v>256</v>
      </c>
      <c r="B63" s="2">
        <v>7206</v>
      </c>
      <c r="C63" s="2" t="s">
        <v>3169</v>
      </c>
      <c r="D63" s="2" t="s">
        <v>3170</v>
      </c>
      <c r="E63" s="2" t="s">
        <v>504</v>
      </c>
      <c r="F63" s="2" t="s">
        <v>3171</v>
      </c>
      <c r="G63" s="2">
        <v>666110801</v>
      </c>
      <c r="H63" s="2" t="s">
        <v>34</v>
      </c>
      <c r="I63" s="2" t="s">
        <v>1216</v>
      </c>
      <c r="J63" s="2" t="s">
        <v>1034</v>
      </c>
      <c r="K63" s="2" t="s">
        <v>154</v>
      </c>
      <c r="L63" s="2" t="s">
        <v>155</v>
      </c>
      <c r="M63" s="2" t="s">
        <v>31</v>
      </c>
      <c r="N63" s="2" t="s">
        <v>155</v>
      </c>
      <c r="O63" s="2" t="s">
        <v>312</v>
      </c>
      <c r="P63" t="s">
        <v>3172</v>
      </c>
      <c r="Q63" s="2" t="s">
        <v>159</v>
      </c>
      <c r="R63" s="2" t="s">
        <v>1082</v>
      </c>
      <c r="T63" s="2" t="s">
        <v>3113</v>
      </c>
      <c r="U63" s="149">
        <v>3.7589999999999999</v>
      </c>
      <c r="V63" s="149">
        <v>27.09</v>
      </c>
      <c r="W63" s="149">
        <v>101.831</v>
      </c>
      <c r="Y63" s="164">
        <v>7.1995007913296799E-2</v>
      </c>
      <c r="Z63" s="164">
        <v>1.5205759970374701E-3</v>
      </c>
    </row>
    <row r="64" spans="1:26">
      <c r="A64" s="2" t="s">
        <v>256</v>
      </c>
      <c r="B64" s="2">
        <v>7207</v>
      </c>
      <c r="C64" s="2" t="s">
        <v>3087</v>
      </c>
      <c r="D64" s="182" t="s">
        <v>3088</v>
      </c>
      <c r="E64" s="2" t="s">
        <v>504</v>
      </c>
      <c r="F64" s="2" t="s">
        <v>3089</v>
      </c>
      <c r="G64" s="2">
        <v>666107420</v>
      </c>
      <c r="H64" s="2" t="s">
        <v>34</v>
      </c>
      <c r="I64" s="2" t="s">
        <v>1213</v>
      </c>
      <c r="J64" s="27" t="s">
        <v>1034</v>
      </c>
      <c r="K64" s="2" t="s">
        <v>31</v>
      </c>
      <c r="L64" s="2" t="s">
        <v>31</v>
      </c>
      <c r="M64" s="2" t="s">
        <v>31</v>
      </c>
      <c r="N64" s="18" t="s">
        <v>155</v>
      </c>
      <c r="O64" s="2" t="s">
        <v>312</v>
      </c>
      <c r="P64" t="s">
        <v>3090</v>
      </c>
      <c r="Q64" s="2" t="s">
        <v>159</v>
      </c>
      <c r="R64" s="2" t="s">
        <v>1082</v>
      </c>
      <c r="T64" s="2" t="s">
        <v>3091</v>
      </c>
      <c r="U64" s="149">
        <v>3.7589999999999999</v>
      </c>
      <c r="V64" s="149">
        <v>44.411000000000001</v>
      </c>
      <c r="W64" s="149">
        <v>166.94300000000001</v>
      </c>
      <c r="Y64" s="164">
        <v>6.4461556438840398E-2</v>
      </c>
      <c r="Z64" s="164">
        <v>1.71692179026308E-3</v>
      </c>
    </row>
    <row r="65" spans="1:26">
      <c r="A65" s="2" t="s">
        <v>256</v>
      </c>
      <c r="B65" s="2">
        <v>7207</v>
      </c>
      <c r="C65" s="2" t="s">
        <v>3098</v>
      </c>
      <c r="D65" s="2" t="s">
        <v>3099</v>
      </c>
      <c r="E65" s="2" t="s">
        <v>1552</v>
      </c>
      <c r="F65" s="2" t="s">
        <v>3102</v>
      </c>
      <c r="G65" s="2">
        <v>666107438</v>
      </c>
      <c r="H65" s="2" t="s">
        <v>34</v>
      </c>
      <c r="I65" s="2" t="s">
        <v>1217</v>
      </c>
      <c r="J65" s="2" t="s">
        <v>1034</v>
      </c>
      <c r="K65" s="2" t="s">
        <v>154</v>
      </c>
      <c r="L65" s="2" t="s">
        <v>155</v>
      </c>
      <c r="M65" s="2" t="s">
        <v>155</v>
      </c>
      <c r="N65" s="2" t="s">
        <v>155</v>
      </c>
      <c r="O65" s="2" t="s">
        <v>312</v>
      </c>
      <c r="P65" t="s">
        <v>3090</v>
      </c>
      <c r="Q65" s="2" t="s">
        <v>159</v>
      </c>
      <c r="R65" s="2" t="s">
        <v>1082</v>
      </c>
      <c r="T65" s="2" t="s">
        <v>3103</v>
      </c>
      <c r="U65" s="149">
        <v>3.7589999999999999</v>
      </c>
      <c r="V65" s="149">
        <v>55.93</v>
      </c>
      <c r="W65" s="149">
        <v>210.24</v>
      </c>
      <c r="Y65" s="164">
        <v>8.1180070159940207E-2</v>
      </c>
      <c r="Z65" s="164">
        <v>2.1622163517712599E-3</v>
      </c>
    </row>
    <row r="66" spans="1:26">
      <c r="A66" s="2" t="s">
        <v>256</v>
      </c>
      <c r="B66" s="2">
        <v>7207</v>
      </c>
      <c r="C66" s="2" t="s">
        <v>3117</v>
      </c>
      <c r="D66" s="2" t="s">
        <v>3118</v>
      </c>
      <c r="E66" s="2" t="s">
        <v>1552</v>
      </c>
      <c r="F66" s="2" t="s">
        <v>3119</v>
      </c>
      <c r="G66" s="2">
        <v>666107446</v>
      </c>
      <c r="H66" s="2" t="s">
        <v>34</v>
      </c>
      <c r="I66" s="2" t="s">
        <v>1213</v>
      </c>
      <c r="J66" s="2" t="s">
        <v>1034</v>
      </c>
      <c r="K66" s="2" t="s">
        <v>154</v>
      </c>
      <c r="L66" s="2" t="s">
        <v>155</v>
      </c>
      <c r="M66" s="2" t="s">
        <v>31</v>
      </c>
      <c r="N66" s="2" t="s">
        <v>155</v>
      </c>
      <c r="O66" s="2" t="s">
        <v>312</v>
      </c>
      <c r="P66" t="s">
        <v>3120</v>
      </c>
      <c r="Q66" s="2" t="s">
        <v>35</v>
      </c>
      <c r="R66" s="2" t="s">
        <v>1082</v>
      </c>
      <c r="T66" s="2" t="s">
        <v>3091</v>
      </c>
      <c r="U66" s="149">
        <v>1</v>
      </c>
      <c r="V66" s="149">
        <v>407.01100000000002</v>
      </c>
      <c r="W66" s="149">
        <v>407.01100000000002</v>
      </c>
      <c r="Y66" s="164">
        <v>0.157159312614087</v>
      </c>
      <c r="Z66" s="164">
        <v>4.18590960685075E-3</v>
      </c>
    </row>
    <row r="67" spans="1:26">
      <c r="A67" s="2" t="s">
        <v>256</v>
      </c>
      <c r="B67" s="2">
        <v>7207</v>
      </c>
      <c r="C67" s="2" t="s">
        <v>3125</v>
      </c>
      <c r="D67" s="2">
        <v>516455920</v>
      </c>
      <c r="E67" s="2" t="s">
        <v>1552</v>
      </c>
      <c r="F67" s="2" t="s">
        <v>3127</v>
      </c>
      <c r="G67" s="2">
        <v>666109921</v>
      </c>
      <c r="H67" s="2" t="s">
        <v>34</v>
      </c>
      <c r="I67" s="2" t="s">
        <v>1217</v>
      </c>
      <c r="J67" s="2" t="s">
        <v>1034</v>
      </c>
      <c r="K67" s="16" t="s">
        <v>31</v>
      </c>
      <c r="L67" s="16" t="s">
        <v>31</v>
      </c>
      <c r="M67" s="16" t="s">
        <v>31</v>
      </c>
      <c r="N67" s="16" t="s">
        <v>31</v>
      </c>
      <c r="O67" s="2" t="s">
        <v>312</v>
      </c>
      <c r="P67" t="s">
        <v>341</v>
      </c>
      <c r="Q67" s="2" t="s">
        <v>35</v>
      </c>
      <c r="R67" s="2" t="s">
        <v>1082</v>
      </c>
      <c r="T67" s="2" t="s">
        <v>3128</v>
      </c>
      <c r="U67" s="149">
        <v>1</v>
      </c>
      <c r="V67" s="149">
        <v>175.261</v>
      </c>
      <c r="W67" s="149">
        <v>175.261</v>
      </c>
      <c r="Y67" s="164">
        <v>6.7673430512563498E-2</v>
      </c>
      <c r="Z67" s="164">
        <v>1.80246946998733E-3</v>
      </c>
    </row>
    <row r="68" spans="1:26">
      <c r="A68" s="2" t="s">
        <v>256</v>
      </c>
      <c r="B68" s="2">
        <v>7207</v>
      </c>
      <c r="C68" s="2" t="s">
        <v>3134</v>
      </c>
      <c r="D68" s="2" t="s">
        <v>3135</v>
      </c>
      <c r="E68" s="2" t="s">
        <v>504</v>
      </c>
      <c r="F68" s="2" t="s">
        <v>3136</v>
      </c>
      <c r="G68" s="2">
        <v>666109723</v>
      </c>
      <c r="H68" s="2" t="s">
        <v>34</v>
      </c>
      <c r="I68" s="2" t="s">
        <v>1216</v>
      </c>
      <c r="J68" s="2" t="s">
        <v>1037</v>
      </c>
      <c r="K68" s="2" t="s">
        <v>154</v>
      </c>
      <c r="L68" s="2" t="s">
        <v>155</v>
      </c>
      <c r="M68" s="2" t="s">
        <v>31</v>
      </c>
      <c r="N68" s="18" t="s">
        <v>486</v>
      </c>
      <c r="O68" s="2" t="s">
        <v>312</v>
      </c>
      <c r="P68" t="s">
        <v>3137</v>
      </c>
      <c r="Q68" s="2" t="s">
        <v>169</v>
      </c>
      <c r="R68" s="2" t="s">
        <v>1082</v>
      </c>
      <c r="T68" s="2" t="s">
        <v>3138</v>
      </c>
      <c r="U68" s="149">
        <v>4.0199999999999996</v>
      </c>
      <c r="V68" s="149">
        <v>44.587000000000003</v>
      </c>
      <c r="W68" s="149">
        <v>179.251</v>
      </c>
      <c r="Y68" s="164">
        <v>6.92140795286042E-2</v>
      </c>
      <c r="Z68" s="164">
        <v>1.84350437533122E-3</v>
      </c>
    </row>
    <row r="69" spans="1:26">
      <c r="A69" s="2" t="s">
        <v>256</v>
      </c>
      <c r="B69" s="2">
        <v>7207</v>
      </c>
      <c r="C69" s="2" t="s">
        <v>3139</v>
      </c>
      <c r="D69" s="2" t="s">
        <v>3140</v>
      </c>
      <c r="E69" s="2" t="s">
        <v>504</v>
      </c>
      <c r="F69" s="2" t="s">
        <v>3141</v>
      </c>
      <c r="G69" s="2">
        <v>666110408</v>
      </c>
      <c r="H69" s="2" t="s">
        <v>34</v>
      </c>
      <c r="I69" s="2" t="s">
        <v>1216</v>
      </c>
      <c r="J69" s="2" t="s">
        <v>1036</v>
      </c>
      <c r="K69" s="2" t="s">
        <v>154</v>
      </c>
      <c r="L69" s="2" t="s">
        <v>489</v>
      </c>
      <c r="M69" s="2" t="s">
        <v>155</v>
      </c>
      <c r="N69" s="2" t="s">
        <v>489</v>
      </c>
      <c r="O69" s="2" t="s">
        <v>312</v>
      </c>
      <c r="P69" t="s">
        <v>341</v>
      </c>
      <c r="Q69" s="2" t="s">
        <v>159</v>
      </c>
      <c r="R69" s="2" t="s">
        <v>1082</v>
      </c>
      <c r="T69" s="2" t="s">
        <v>3091</v>
      </c>
      <c r="U69" s="149">
        <v>3.7589999999999999</v>
      </c>
      <c r="V69" s="149">
        <v>46.854999999999997</v>
      </c>
      <c r="W69" s="149">
        <v>176.12700000000001</v>
      </c>
      <c r="Y69" s="164">
        <v>6.8007811980361405E-2</v>
      </c>
      <c r="Z69" s="164">
        <v>1.81137565935101E-3</v>
      </c>
    </row>
    <row r="70" spans="1:26">
      <c r="A70" s="2" t="s">
        <v>256</v>
      </c>
      <c r="B70" s="2">
        <v>7207</v>
      </c>
      <c r="C70" s="2" t="s">
        <v>3142</v>
      </c>
      <c r="D70" s="2" t="s">
        <v>3143</v>
      </c>
      <c r="E70" s="2" t="s">
        <v>504</v>
      </c>
      <c r="F70" s="2" t="s">
        <v>3144</v>
      </c>
      <c r="G70" s="2">
        <v>666110800</v>
      </c>
      <c r="H70" s="2" t="s">
        <v>34</v>
      </c>
      <c r="I70" s="2" t="s">
        <v>1213</v>
      </c>
      <c r="J70" s="2" t="s">
        <v>1043</v>
      </c>
      <c r="K70" s="2" t="s">
        <v>154</v>
      </c>
      <c r="L70" s="2" t="s">
        <v>155</v>
      </c>
      <c r="M70" s="2" t="s">
        <v>155</v>
      </c>
      <c r="N70" s="2" t="s">
        <v>155</v>
      </c>
      <c r="O70" s="2" t="s">
        <v>312</v>
      </c>
      <c r="P70" t="s">
        <v>3145</v>
      </c>
      <c r="Q70" s="2" t="s">
        <v>159</v>
      </c>
      <c r="R70" s="2" t="s">
        <v>1082</v>
      </c>
      <c r="T70" s="2" t="s">
        <v>3146</v>
      </c>
      <c r="U70" s="149">
        <v>3.7589999999999999</v>
      </c>
      <c r="V70" s="149">
        <v>9.3360000000000003</v>
      </c>
      <c r="W70" s="149">
        <v>35.094000000000001</v>
      </c>
      <c r="Y70" s="164">
        <v>1.35507183785468E-2</v>
      </c>
      <c r="Z70" s="164">
        <v>3.6092091074343101E-4</v>
      </c>
    </row>
    <row r="71" spans="1:26">
      <c r="A71" s="2" t="s">
        <v>256</v>
      </c>
      <c r="B71" s="2">
        <v>7207</v>
      </c>
      <c r="C71" s="2" t="s">
        <v>3147</v>
      </c>
      <c r="D71" s="182" t="s">
        <v>3088</v>
      </c>
      <c r="E71" s="2" t="s">
        <v>34</v>
      </c>
      <c r="F71" s="2" t="s">
        <v>3148</v>
      </c>
      <c r="G71" s="2">
        <v>66611034</v>
      </c>
      <c r="H71" s="2" t="s">
        <v>34</v>
      </c>
      <c r="I71" s="2" t="s">
        <v>1216</v>
      </c>
      <c r="J71" s="27" t="s">
        <v>1034</v>
      </c>
      <c r="K71" s="2" t="s">
        <v>154</v>
      </c>
      <c r="L71" s="2" t="s">
        <v>31</v>
      </c>
      <c r="M71" s="2" t="s">
        <v>31</v>
      </c>
      <c r="N71" s="18" t="s">
        <v>155</v>
      </c>
      <c r="O71" s="2" t="s">
        <v>312</v>
      </c>
      <c r="P71" t="s">
        <v>341</v>
      </c>
      <c r="Q71" s="2" t="s">
        <v>159</v>
      </c>
      <c r="R71" s="2" t="s">
        <v>1082</v>
      </c>
      <c r="T71" s="2" t="s">
        <v>3091</v>
      </c>
      <c r="U71" s="149">
        <v>3.7589999999999999</v>
      </c>
      <c r="V71" s="149">
        <v>25.207000000000001</v>
      </c>
      <c r="W71" s="149">
        <v>94.754000000000005</v>
      </c>
      <c r="Y71" s="164">
        <v>3.65873897593827E-2</v>
      </c>
      <c r="Z71" s="164">
        <v>9.7449844833226104E-4</v>
      </c>
    </row>
    <row r="72" spans="1:26">
      <c r="A72" s="2" t="s">
        <v>256</v>
      </c>
      <c r="B72" s="2">
        <v>7207</v>
      </c>
      <c r="C72" s="2" t="s">
        <v>3149</v>
      </c>
      <c r="D72" s="2" t="s">
        <v>3150</v>
      </c>
      <c r="E72" s="2" t="s">
        <v>505</v>
      </c>
      <c r="F72" s="2" t="s">
        <v>3151</v>
      </c>
      <c r="G72" s="2">
        <v>666109798</v>
      </c>
      <c r="H72" s="2" t="s">
        <v>34</v>
      </c>
      <c r="I72" s="2" t="s">
        <v>1216</v>
      </c>
      <c r="J72" s="2" t="s">
        <v>1039</v>
      </c>
      <c r="K72" s="2" t="s">
        <v>31</v>
      </c>
      <c r="L72" s="2" t="s">
        <v>31</v>
      </c>
      <c r="M72" s="2" t="s">
        <v>31</v>
      </c>
      <c r="N72" s="18" t="s">
        <v>489</v>
      </c>
      <c r="O72" s="2" t="s">
        <v>312</v>
      </c>
      <c r="P72" t="s">
        <v>341</v>
      </c>
      <c r="Q72" s="2" t="s">
        <v>159</v>
      </c>
      <c r="R72" s="2" t="s">
        <v>1082</v>
      </c>
      <c r="T72" s="2" t="s">
        <v>3153</v>
      </c>
      <c r="U72" s="149">
        <v>3.7589999999999999</v>
      </c>
      <c r="V72" s="149">
        <v>22.361000000000001</v>
      </c>
      <c r="W72" s="149">
        <v>84.055999999999997</v>
      </c>
      <c r="Y72" s="164">
        <v>3.2456539070944597E-2</v>
      </c>
      <c r="Z72" s="164">
        <v>8.6447399420615397E-4</v>
      </c>
    </row>
    <row r="73" spans="1:26">
      <c r="A73" s="2" t="s">
        <v>256</v>
      </c>
      <c r="B73" s="2">
        <v>7207</v>
      </c>
      <c r="C73" s="2" t="s">
        <v>3098</v>
      </c>
      <c r="D73" s="2" t="s">
        <v>3099</v>
      </c>
      <c r="E73" s="2" t="s">
        <v>1552</v>
      </c>
      <c r="F73" s="2" t="s">
        <v>3154</v>
      </c>
      <c r="G73" s="2">
        <v>666110671</v>
      </c>
      <c r="H73" s="2" t="s">
        <v>34</v>
      </c>
      <c r="I73" s="2" t="s">
        <v>1216</v>
      </c>
      <c r="J73" s="2" t="s">
        <v>1034</v>
      </c>
      <c r="K73" s="2" t="s">
        <v>154</v>
      </c>
      <c r="L73" s="2" t="s">
        <v>155</v>
      </c>
      <c r="M73" s="2" t="s">
        <v>155</v>
      </c>
      <c r="N73" s="2" t="s">
        <v>155</v>
      </c>
      <c r="O73" s="2" t="s">
        <v>312</v>
      </c>
      <c r="P73" t="s">
        <v>3155</v>
      </c>
      <c r="Q73" s="2" t="s">
        <v>159</v>
      </c>
      <c r="R73" s="2" t="s">
        <v>1082</v>
      </c>
      <c r="T73" s="2" t="s">
        <v>1558</v>
      </c>
      <c r="U73" s="149">
        <v>3.7589999999999999</v>
      </c>
      <c r="V73" s="149">
        <v>68.915999999999997</v>
      </c>
      <c r="W73" s="149">
        <v>259.05399999999997</v>
      </c>
      <c r="Y73" s="164">
        <v>0.10002858595566801</v>
      </c>
      <c r="Z73" s="164">
        <v>2.6642431297704398E-3</v>
      </c>
    </row>
    <row r="74" spans="1:26">
      <c r="A74" s="2" t="s">
        <v>256</v>
      </c>
      <c r="B74" s="2">
        <v>7207</v>
      </c>
      <c r="C74" s="2" t="s">
        <v>3156</v>
      </c>
      <c r="D74" s="2" t="s">
        <v>3157</v>
      </c>
      <c r="E74" s="2" t="s">
        <v>34</v>
      </c>
      <c r="F74" s="2" t="s">
        <v>3158</v>
      </c>
      <c r="G74" s="2">
        <v>666109236</v>
      </c>
      <c r="H74" s="2" t="s">
        <v>34</v>
      </c>
      <c r="I74" s="2" t="s">
        <v>1216</v>
      </c>
      <c r="J74" s="2" t="s">
        <v>1034</v>
      </c>
      <c r="K74" s="2" t="s">
        <v>154</v>
      </c>
      <c r="L74" s="2" t="s">
        <v>155</v>
      </c>
      <c r="M74" s="2" t="s">
        <v>475</v>
      </c>
      <c r="N74" s="2" t="s">
        <v>155</v>
      </c>
      <c r="O74" s="2" t="s">
        <v>312</v>
      </c>
      <c r="P74" t="s">
        <v>3159</v>
      </c>
      <c r="Q74" s="2" t="s">
        <v>159</v>
      </c>
      <c r="R74" s="2" t="s">
        <v>1082</v>
      </c>
      <c r="T74" s="2" t="s">
        <v>3160</v>
      </c>
      <c r="U74" s="149">
        <v>3.7589999999999999</v>
      </c>
      <c r="V74" s="149">
        <v>81.210999999999999</v>
      </c>
      <c r="W74" s="149">
        <v>305.27</v>
      </c>
      <c r="Y74" s="164">
        <v>0.11787416660950401</v>
      </c>
      <c r="Z74" s="164">
        <v>3.13955691332047E-3</v>
      </c>
    </row>
    <row r="75" spans="1:26">
      <c r="A75" s="2" t="s">
        <v>256</v>
      </c>
      <c r="B75" s="2">
        <v>7207</v>
      </c>
      <c r="C75" s="2" t="s">
        <v>3161</v>
      </c>
      <c r="D75" s="2" t="s">
        <v>3162</v>
      </c>
      <c r="E75" s="2" t="s">
        <v>504</v>
      </c>
      <c r="F75" s="2" t="s">
        <v>3163</v>
      </c>
      <c r="G75" s="2">
        <v>666110754</v>
      </c>
      <c r="H75" s="2" t="s">
        <v>34</v>
      </c>
      <c r="I75" s="2" t="s">
        <v>1216</v>
      </c>
      <c r="J75" s="27" t="s">
        <v>1034</v>
      </c>
      <c r="K75" s="2" t="s">
        <v>154</v>
      </c>
      <c r="L75" s="2" t="s">
        <v>155</v>
      </c>
      <c r="M75" s="2" t="s">
        <v>155</v>
      </c>
      <c r="N75" s="2" t="s">
        <v>155</v>
      </c>
      <c r="O75" s="2" t="s">
        <v>312</v>
      </c>
      <c r="P75" t="s">
        <v>3164</v>
      </c>
      <c r="Q75" s="2" t="s">
        <v>159</v>
      </c>
      <c r="R75" s="2" t="s">
        <v>1082</v>
      </c>
      <c r="T75" s="2" t="s">
        <v>3165</v>
      </c>
      <c r="U75" s="149">
        <v>3.7589999999999999</v>
      </c>
      <c r="V75" s="149">
        <v>18.667000000000002</v>
      </c>
      <c r="W75" s="149">
        <v>70.168000000000006</v>
      </c>
      <c r="Y75" s="164">
        <v>2.7093865101294901E-2</v>
      </c>
      <c r="Z75" s="164">
        <v>7.2164015181664005E-4</v>
      </c>
    </row>
    <row r="76" spans="1:26">
      <c r="A76" s="2" t="s">
        <v>256</v>
      </c>
      <c r="B76" s="2">
        <v>7207</v>
      </c>
      <c r="C76" s="2" t="s">
        <v>3166</v>
      </c>
      <c r="D76" s="2" t="s">
        <v>3167</v>
      </c>
      <c r="E76" s="2" t="s">
        <v>505</v>
      </c>
      <c r="F76" s="2" t="s">
        <v>3168</v>
      </c>
      <c r="G76" s="2">
        <v>666109954</v>
      </c>
      <c r="H76" s="2" t="s">
        <v>34</v>
      </c>
      <c r="I76" s="2" t="s">
        <v>1216</v>
      </c>
      <c r="J76" s="2" t="s">
        <v>1033</v>
      </c>
      <c r="K76" s="2" t="s">
        <v>154</v>
      </c>
      <c r="L76" s="2" t="s">
        <v>155</v>
      </c>
      <c r="M76" s="2" t="s">
        <v>155</v>
      </c>
      <c r="N76" s="2" t="s">
        <v>155</v>
      </c>
      <c r="O76" s="2" t="s">
        <v>312</v>
      </c>
      <c r="P76" t="s">
        <v>341</v>
      </c>
      <c r="Q76" s="2" t="s">
        <v>159</v>
      </c>
      <c r="R76" s="2" t="s">
        <v>1082</v>
      </c>
      <c r="T76" s="2" t="s">
        <v>1558</v>
      </c>
      <c r="U76" s="149">
        <v>3.7589999999999999</v>
      </c>
      <c r="V76" s="149">
        <v>66.072999999999993</v>
      </c>
      <c r="W76" s="149">
        <v>248.36799999999999</v>
      </c>
      <c r="Y76" s="164">
        <v>9.5902560393358996E-2</v>
      </c>
      <c r="Z76" s="164">
        <v>2.5543471919980999E-3</v>
      </c>
    </row>
    <row r="77" spans="1:26">
      <c r="A77" s="2" t="s">
        <v>256</v>
      </c>
      <c r="B77" s="2">
        <v>7207</v>
      </c>
      <c r="C77" s="2" t="s">
        <v>3169</v>
      </c>
      <c r="D77" s="2" t="s">
        <v>3170</v>
      </c>
      <c r="E77" s="2" t="s">
        <v>504</v>
      </c>
      <c r="F77" s="2" t="s">
        <v>3171</v>
      </c>
      <c r="G77" s="2">
        <v>666110801</v>
      </c>
      <c r="H77" s="2" t="s">
        <v>34</v>
      </c>
      <c r="I77" s="2" t="s">
        <v>1216</v>
      </c>
      <c r="J77" s="2" t="s">
        <v>1034</v>
      </c>
      <c r="K77" s="2" t="s">
        <v>154</v>
      </c>
      <c r="L77" s="2" t="s">
        <v>155</v>
      </c>
      <c r="M77" s="2" t="s">
        <v>31</v>
      </c>
      <c r="N77" s="2" t="s">
        <v>155</v>
      </c>
      <c r="O77" s="2" t="s">
        <v>312</v>
      </c>
      <c r="P77" t="s">
        <v>3172</v>
      </c>
      <c r="Q77" s="2" t="s">
        <v>159</v>
      </c>
      <c r="R77" s="2" t="s">
        <v>1082</v>
      </c>
      <c r="T77" s="2" t="s">
        <v>3113</v>
      </c>
      <c r="U77" s="149">
        <v>3.7589999999999999</v>
      </c>
      <c r="V77" s="149">
        <v>47.406999999999996</v>
      </c>
      <c r="W77" s="149">
        <v>178.20400000000001</v>
      </c>
      <c r="Y77" s="164">
        <v>6.8809913496902894E-2</v>
      </c>
      <c r="Z77" s="164">
        <v>1.832739486845E-3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71 J43 J57 J64 J26 J50 J75 J22 J30 J47 J61 J3:J20" xr:uid="{00000000-0002-0000-1300-000000000000}">
      <formula1>Fund_Strategy</formula1>
    </dataValidation>
    <dataValidation type="list" allowBlank="1" showInputMessage="1" showErrorMessage="1" sqref="K2:K12 K14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K67:N67 K38:N38 K53:N53 L2:M20 N13 K13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68 N40 N54 N71:N72 N26 N43:N44 N50 N57:N58 N64 N2:N12 N14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10" width="11.6640625" style="2" customWidth="1"/>
    <col min="11" max="11" width="11.6640625" style="4" customWidth="1"/>
    <col min="12" max="29" width="11.6640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6</v>
      </c>
      <c r="J1" s="19" t="s">
        <v>7</v>
      </c>
      <c r="K1" s="19" t="s">
        <v>516</v>
      </c>
      <c r="L1" s="19" t="s">
        <v>1305</v>
      </c>
      <c r="M1" s="19" t="s">
        <v>322</v>
      </c>
      <c r="N1" s="19" t="s">
        <v>1306</v>
      </c>
      <c r="O1" s="19" t="s">
        <v>298</v>
      </c>
      <c r="P1" s="19" t="s">
        <v>330</v>
      </c>
      <c r="Q1" s="19" t="s">
        <v>11</v>
      </c>
      <c r="R1" s="19" t="s">
        <v>323</v>
      </c>
      <c r="S1" s="19" t="s">
        <v>324</v>
      </c>
      <c r="T1" s="19" t="s">
        <v>307</v>
      </c>
      <c r="U1" s="19" t="s">
        <v>1307</v>
      </c>
      <c r="V1" s="19" t="s">
        <v>1308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29" width="11.6640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322</v>
      </c>
      <c r="M1" s="19" t="s">
        <v>365</v>
      </c>
      <c r="N1" s="19" t="s">
        <v>1306</v>
      </c>
      <c r="O1" s="19" t="s">
        <v>298</v>
      </c>
      <c r="P1" s="19" t="s">
        <v>330</v>
      </c>
      <c r="Q1" s="19" t="s">
        <v>11</v>
      </c>
      <c r="R1" s="19" t="s">
        <v>323</v>
      </c>
      <c r="S1" s="19" t="s">
        <v>324</v>
      </c>
      <c r="T1" s="19" t="s">
        <v>307</v>
      </c>
      <c r="U1" s="19" t="s">
        <v>1307</v>
      </c>
      <c r="V1" s="19" t="s">
        <v>1308</v>
      </c>
      <c r="W1" s="19" t="s">
        <v>17</v>
      </c>
      <c r="X1" s="19" t="s">
        <v>19</v>
      </c>
      <c r="Y1" s="19" t="s">
        <v>18</v>
      </c>
      <c r="Z1" s="19" t="s">
        <v>1559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/>
  </sheetViews>
  <sheetFormatPr defaultColWidth="9" defaultRowHeight="14.4"/>
  <cols>
    <col min="1" max="2" width="11.6640625" style="11" customWidth="1"/>
    <col min="3" max="3" width="30.44140625" style="11" bestFit="1" customWidth="1"/>
    <col min="4" max="33" width="11.6640625" style="11" customWidth="1"/>
    <col min="34" max="34" width="11.6640625" style="143" customWidth="1"/>
    <col min="35" max="39" width="11.6640625" style="11" customWidth="1"/>
    <col min="40" max="41" width="11.6640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1321</v>
      </c>
      <c r="E1" s="19" t="s">
        <v>1322</v>
      </c>
      <c r="F1" s="19" t="s">
        <v>18</v>
      </c>
      <c r="G1" s="19" t="s">
        <v>1323</v>
      </c>
      <c r="H1" s="19" t="s">
        <v>1324</v>
      </c>
      <c r="I1" s="19" t="s">
        <v>1325</v>
      </c>
      <c r="J1" s="19" t="s">
        <v>1326</v>
      </c>
      <c r="K1" s="19" t="s">
        <v>1327</v>
      </c>
      <c r="L1" s="19" t="s">
        <v>1328</v>
      </c>
      <c r="M1" s="19" t="s">
        <v>18</v>
      </c>
      <c r="N1" s="19" t="s">
        <v>1329</v>
      </c>
      <c r="O1" s="19" t="s">
        <v>1330</v>
      </c>
      <c r="P1" s="19" t="s">
        <v>1477</v>
      </c>
      <c r="Q1" s="19" t="s">
        <v>1478</v>
      </c>
      <c r="R1" s="19" t="s">
        <v>1479</v>
      </c>
      <c r="S1" s="19" t="s">
        <v>6</v>
      </c>
      <c r="T1" s="19" t="s">
        <v>7</v>
      </c>
      <c r="U1" s="19" t="s">
        <v>1334</v>
      </c>
      <c r="V1" s="19" t="s">
        <v>1117</v>
      </c>
      <c r="W1" s="19" t="s">
        <v>1124</v>
      </c>
      <c r="X1" s="19" t="s">
        <v>514</v>
      </c>
      <c r="Y1" s="19" t="s">
        <v>298</v>
      </c>
      <c r="Z1" s="19" t="s">
        <v>1335</v>
      </c>
      <c r="AA1" s="19" t="s">
        <v>1336</v>
      </c>
      <c r="AB1" s="19" t="s">
        <v>1088</v>
      </c>
      <c r="AC1" s="19" t="s">
        <v>1096</v>
      </c>
      <c r="AD1" s="19" t="s">
        <v>1337</v>
      </c>
      <c r="AE1" s="19" t="s">
        <v>1114</v>
      </c>
      <c r="AF1" s="19" t="s">
        <v>1099</v>
      </c>
      <c r="AG1" s="19" t="s">
        <v>1110</v>
      </c>
      <c r="AH1" s="159" t="s">
        <v>1338</v>
      </c>
      <c r="AI1" s="19" t="s">
        <v>1339</v>
      </c>
      <c r="AJ1" s="19" t="s">
        <v>1340</v>
      </c>
      <c r="AK1" s="19" t="s">
        <v>1139</v>
      </c>
      <c r="AL1" s="19" t="s">
        <v>1341</v>
      </c>
      <c r="AM1" s="19" t="s">
        <v>1342</v>
      </c>
      <c r="AN1" s="163" t="s">
        <v>24</v>
      </c>
      <c r="AO1" s="163" t="s">
        <v>25</v>
      </c>
    </row>
    <row r="2" spans="1:41">
      <c r="A2" s="12" t="s">
        <v>26</v>
      </c>
      <c r="B2" s="12" t="s">
        <v>1480</v>
      </c>
      <c r="C2" s="12" t="s">
        <v>1237</v>
      </c>
      <c r="D2" s="1" t="s">
        <v>1481</v>
      </c>
      <c r="E2" s="12" t="s">
        <v>159</v>
      </c>
      <c r="F2" s="157">
        <v>3.76</v>
      </c>
      <c r="G2" s="157">
        <v>66852.27</v>
      </c>
      <c r="H2" s="148">
        <v>4188.8999999999996</v>
      </c>
      <c r="I2" s="158">
        <v>0.42857099999999998</v>
      </c>
      <c r="J2" s="148">
        <v>1.1400000000000001E-4</v>
      </c>
      <c r="K2" s="11" t="s">
        <v>1481</v>
      </c>
      <c r="L2" s="12" t="s">
        <v>159</v>
      </c>
      <c r="M2" s="158">
        <v>3.76</v>
      </c>
      <c r="N2" s="158">
        <v>-66852.27</v>
      </c>
      <c r="O2" s="158">
        <v>-305.10000000000002</v>
      </c>
      <c r="P2" s="158">
        <v>-7.9999999999999996E-6</v>
      </c>
      <c r="Q2" s="158">
        <v>0.42816799999999999</v>
      </c>
      <c r="R2" s="157">
        <v>14.6</v>
      </c>
      <c r="S2" s="11" t="s">
        <v>154</v>
      </c>
      <c r="T2" s="18" t="s">
        <v>155</v>
      </c>
      <c r="U2" s="12" t="s">
        <v>937</v>
      </c>
      <c r="V2" s="12" t="s">
        <v>1118</v>
      </c>
      <c r="W2" s="11" t="s">
        <v>1131</v>
      </c>
      <c r="X2" s="12" t="s">
        <v>1482</v>
      </c>
      <c r="Y2" s="12" t="s">
        <v>312</v>
      </c>
      <c r="Z2" s="1" t="s">
        <v>1483</v>
      </c>
      <c r="AA2" s="24" t="s">
        <v>1484</v>
      </c>
      <c r="AB2" s="12" t="s">
        <v>1092</v>
      </c>
      <c r="AC2" s="12" t="s">
        <v>1098</v>
      </c>
      <c r="AD2" s="12" t="s">
        <v>530</v>
      </c>
      <c r="AE2" s="12" t="s">
        <v>1115</v>
      </c>
      <c r="AF2" s="12" t="s">
        <v>1106</v>
      </c>
      <c r="AG2" s="12" t="s">
        <v>1089</v>
      </c>
      <c r="AH2" s="174">
        <v>5.33E-2</v>
      </c>
      <c r="AI2" s="157">
        <v>22284.09</v>
      </c>
      <c r="AJ2" s="11" t="s">
        <v>1485</v>
      </c>
      <c r="AK2" s="12" t="s">
        <v>312</v>
      </c>
      <c r="AL2" s="11" t="s">
        <v>1485</v>
      </c>
      <c r="AM2" s="11" t="s">
        <v>1486</v>
      </c>
      <c r="AN2" s="170">
        <v>0.42865500000000001</v>
      </c>
      <c r="AO2" s="170">
        <v>0</v>
      </c>
    </row>
    <row r="3" spans="1:41">
      <c r="A3" s="12" t="s">
        <v>26</v>
      </c>
      <c r="B3" s="12" t="s">
        <v>1480</v>
      </c>
      <c r="C3" s="12" t="s">
        <v>1237</v>
      </c>
      <c r="D3" s="1" t="s">
        <v>1487</v>
      </c>
      <c r="E3" s="12" t="s">
        <v>159</v>
      </c>
      <c r="F3" s="157">
        <v>3.76</v>
      </c>
      <c r="G3" s="157">
        <v>89136.36</v>
      </c>
      <c r="H3" s="148">
        <v>5585.2</v>
      </c>
      <c r="I3" s="158">
        <v>0.57142899999999996</v>
      </c>
      <c r="J3" s="148">
        <v>1.5200000000000001E-4</v>
      </c>
      <c r="K3" s="11" t="s">
        <v>1487</v>
      </c>
      <c r="L3" s="12" t="s">
        <v>159</v>
      </c>
      <c r="M3" s="158">
        <v>3.76</v>
      </c>
      <c r="N3" s="158">
        <v>-89136.36</v>
      </c>
      <c r="O3" s="158">
        <v>-407.47</v>
      </c>
      <c r="P3" s="158">
        <v>-1.1E-5</v>
      </c>
      <c r="Q3" s="158">
        <v>0.57183200000000001</v>
      </c>
      <c r="R3" s="157">
        <v>19.46</v>
      </c>
      <c r="S3" s="11" t="s">
        <v>154</v>
      </c>
      <c r="T3" s="18" t="s">
        <v>155</v>
      </c>
      <c r="U3" s="12" t="s">
        <v>937</v>
      </c>
      <c r="V3" s="12" t="s">
        <v>1118</v>
      </c>
      <c r="W3" s="11" t="s">
        <v>1131</v>
      </c>
      <c r="X3" s="12" t="s">
        <v>1482</v>
      </c>
      <c r="Y3" s="12" t="s">
        <v>312</v>
      </c>
      <c r="Z3" s="1" t="s">
        <v>1483</v>
      </c>
      <c r="AA3" s="24" t="s">
        <v>1488</v>
      </c>
      <c r="AB3" s="12" t="s">
        <v>1095</v>
      </c>
      <c r="AC3" s="12" t="s">
        <v>1098</v>
      </c>
      <c r="AD3" s="12" t="s">
        <v>530</v>
      </c>
      <c r="AE3" s="12" t="s">
        <v>1115</v>
      </c>
      <c r="AF3" s="12" t="s">
        <v>1106</v>
      </c>
      <c r="AG3" s="12" t="s">
        <v>1089</v>
      </c>
      <c r="AH3" s="161">
        <v>5.33E-2</v>
      </c>
      <c r="AI3" s="157">
        <v>22284.09</v>
      </c>
      <c r="AJ3" s="12" t="s">
        <v>1485</v>
      </c>
      <c r="AK3" s="12" t="s">
        <v>312</v>
      </c>
      <c r="AL3" s="11" t="s">
        <v>1485</v>
      </c>
      <c r="AM3" s="11" t="s">
        <v>1486</v>
      </c>
      <c r="AN3" s="170">
        <v>0.57134499999999999</v>
      </c>
      <c r="AO3" s="170">
        <v>9.9999999999999995E-7</v>
      </c>
    </row>
    <row r="4" spans="1:41">
      <c r="A4" s="12" t="s">
        <v>256</v>
      </c>
      <c r="B4" s="12" t="s">
        <v>1489</v>
      </c>
      <c r="C4" s="12" t="s">
        <v>1237</v>
      </c>
      <c r="D4" s="1" t="s">
        <v>1490</v>
      </c>
      <c r="E4" s="12" t="s">
        <v>159</v>
      </c>
      <c r="F4" s="157">
        <v>3.76</v>
      </c>
      <c r="G4" s="157">
        <v>290115.56</v>
      </c>
      <c r="H4" s="148">
        <v>43284.639999999999</v>
      </c>
      <c r="I4" s="158">
        <v>0.688886</v>
      </c>
      <c r="J4" s="148">
        <v>6.4599999999999998E-4</v>
      </c>
      <c r="K4" s="11" t="s">
        <v>1490</v>
      </c>
      <c r="L4" s="12" t="s">
        <v>159</v>
      </c>
      <c r="M4" s="158">
        <v>3.76</v>
      </c>
      <c r="N4" s="158">
        <v>-290115.56</v>
      </c>
      <c r="O4" s="158">
        <v>-8048.53</v>
      </c>
      <c r="P4" s="158">
        <v>-1.2E-4</v>
      </c>
      <c r="Q4" s="158">
        <v>0.84958199999999995</v>
      </c>
      <c r="R4" s="157">
        <v>132.44999999999999</v>
      </c>
      <c r="S4" s="11" t="s">
        <v>154</v>
      </c>
      <c r="T4" s="18" t="s">
        <v>155</v>
      </c>
      <c r="U4" s="12" t="s">
        <v>937</v>
      </c>
      <c r="V4" s="12" t="s">
        <v>1118</v>
      </c>
      <c r="W4" s="11" t="s">
        <v>1131</v>
      </c>
      <c r="X4" s="12" t="s">
        <v>1491</v>
      </c>
      <c r="Y4" s="12" t="s">
        <v>312</v>
      </c>
      <c r="Z4" s="1" t="s">
        <v>1492</v>
      </c>
      <c r="AA4" s="24" t="s">
        <v>1493</v>
      </c>
      <c r="AB4" s="12" t="s">
        <v>1095</v>
      </c>
      <c r="AC4" s="12" t="s">
        <v>1098</v>
      </c>
      <c r="AD4" s="12" t="s">
        <v>530</v>
      </c>
      <c r="AE4" s="12" t="s">
        <v>1115</v>
      </c>
      <c r="AF4" s="12" t="s">
        <v>1106</v>
      </c>
      <c r="AG4" s="12" t="s">
        <v>1089</v>
      </c>
      <c r="AH4" s="161">
        <v>5.33E-2</v>
      </c>
      <c r="AI4" s="157">
        <v>10361.27</v>
      </c>
      <c r="AJ4" s="12" t="s">
        <v>1485</v>
      </c>
      <c r="AK4" s="12" t="s">
        <v>312</v>
      </c>
      <c r="AL4" s="11" t="s">
        <v>1485</v>
      </c>
      <c r="AM4" s="11" t="s">
        <v>1486</v>
      </c>
      <c r="AN4" s="170">
        <v>0.66036799999999996</v>
      </c>
      <c r="AO4" s="170">
        <v>1.9999999999999999E-6</v>
      </c>
    </row>
    <row r="5" spans="1:41">
      <c r="A5" s="12" t="s">
        <v>256</v>
      </c>
      <c r="B5" s="12" t="s">
        <v>1489</v>
      </c>
      <c r="C5" s="12" t="s">
        <v>1237</v>
      </c>
      <c r="D5" s="1" t="s">
        <v>1494</v>
      </c>
      <c r="E5" s="12" t="s">
        <v>159</v>
      </c>
      <c r="F5" s="157">
        <v>3.76</v>
      </c>
      <c r="G5" s="157">
        <v>155988.63</v>
      </c>
      <c r="H5" s="148">
        <v>9774.1</v>
      </c>
      <c r="I5" s="158">
        <v>0.155557</v>
      </c>
      <c r="J5" s="148">
        <v>1.46E-4</v>
      </c>
      <c r="K5" s="11" t="s">
        <v>1494</v>
      </c>
      <c r="L5" s="12" t="s">
        <v>159</v>
      </c>
      <c r="M5" s="158">
        <v>3.76</v>
      </c>
      <c r="N5" s="158">
        <v>-155988.63</v>
      </c>
      <c r="O5" s="158">
        <v>-711.91</v>
      </c>
      <c r="P5" s="158">
        <v>-1.1E-5</v>
      </c>
      <c r="Q5" s="158">
        <v>7.5147000000000005E-2</v>
      </c>
      <c r="R5" s="157">
        <v>34.06</v>
      </c>
      <c r="S5" s="11" t="s">
        <v>154</v>
      </c>
      <c r="T5" s="18" t="s">
        <v>155</v>
      </c>
      <c r="U5" s="12" t="s">
        <v>937</v>
      </c>
      <c r="V5" s="12" t="s">
        <v>1118</v>
      </c>
      <c r="W5" s="11" t="s">
        <v>1131</v>
      </c>
      <c r="X5" s="12" t="s">
        <v>1482</v>
      </c>
      <c r="Y5" s="12" t="s">
        <v>312</v>
      </c>
      <c r="Z5" s="1" t="s">
        <v>1483</v>
      </c>
      <c r="AA5" s="24" t="s">
        <v>1484</v>
      </c>
      <c r="AB5" s="12" t="s">
        <v>1092</v>
      </c>
      <c r="AC5" s="12" t="s">
        <v>1098</v>
      </c>
      <c r="AD5" s="12" t="s">
        <v>530</v>
      </c>
      <c r="AE5" s="12" t="s">
        <v>1115</v>
      </c>
      <c r="AF5" s="12" t="s">
        <v>1106</v>
      </c>
      <c r="AG5" s="12" t="s">
        <v>1089</v>
      </c>
      <c r="AH5" s="161">
        <v>5.33E-2</v>
      </c>
      <c r="AI5" s="157">
        <v>22284.09</v>
      </c>
      <c r="AJ5" s="12" t="s">
        <v>1485</v>
      </c>
      <c r="AK5" s="12" t="s">
        <v>312</v>
      </c>
      <c r="AL5" s="11" t="s">
        <v>1485</v>
      </c>
      <c r="AM5" s="11" t="s">
        <v>1486</v>
      </c>
      <c r="AN5" s="170">
        <v>0.16981599999999999</v>
      </c>
      <c r="AO5" s="170">
        <v>9.9999999999999995E-7</v>
      </c>
    </row>
    <row r="6" spans="1:41">
      <c r="A6" s="12" t="s">
        <v>256</v>
      </c>
      <c r="B6" s="12" t="s">
        <v>1489</v>
      </c>
      <c r="C6" s="12" t="s">
        <v>1237</v>
      </c>
      <c r="D6" s="1" t="s">
        <v>1495</v>
      </c>
      <c r="E6" s="12" t="s">
        <v>159</v>
      </c>
      <c r="F6" s="157">
        <v>3.76</v>
      </c>
      <c r="G6" s="157">
        <v>155988.63</v>
      </c>
      <c r="H6" s="148">
        <v>9774.1</v>
      </c>
      <c r="I6" s="158">
        <v>0.155557</v>
      </c>
      <c r="J6" s="148">
        <v>1.46E-4</v>
      </c>
      <c r="K6" s="11" t="s">
        <v>1495</v>
      </c>
      <c r="L6" s="12" t="s">
        <v>159</v>
      </c>
      <c r="M6" s="158">
        <v>3.76</v>
      </c>
      <c r="N6" s="158">
        <v>-155988.63</v>
      </c>
      <c r="O6" s="158">
        <v>-713.08</v>
      </c>
      <c r="P6" s="158">
        <v>-1.1E-5</v>
      </c>
      <c r="Q6" s="158">
        <v>7.5271000000000005E-2</v>
      </c>
      <c r="R6" s="157">
        <v>34.06</v>
      </c>
      <c r="S6" s="11" t="s">
        <v>154</v>
      </c>
      <c r="T6" s="18" t="s">
        <v>155</v>
      </c>
      <c r="U6" s="12" t="s">
        <v>937</v>
      </c>
      <c r="V6" s="12" t="s">
        <v>1118</v>
      </c>
      <c r="W6" s="11" t="s">
        <v>1131</v>
      </c>
      <c r="X6" s="12" t="s">
        <v>1482</v>
      </c>
      <c r="Y6" s="12" t="s">
        <v>312</v>
      </c>
      <c r="Z6" s="1" t="s">
        <v>1483</v>
      </c>
      <c r="AA6" s="24" t="s">
        <v>1488</v>
      </c>
      <c r="AB6" s="12" t="s">
        <v>1095</v>
      </c>
      <c r="AC6" s="12" t="s">
        <v>1098</v>
      </c>
      <c r="AD6" s="12" t="s">
        <v>530</v>
      </c>
      <c r="AE6" s="12" t="s">
        <v>1115</v>
      </c>
      <c r="AF6" s="12" t="s">
        <v>1106</v>
      </c>
      <c r="AG6" s="12" t="s">
        <v>1089</v>
      </c>
      <c r="AH6" s="161">
        <v>5.33E-2</v>
      </c>
      <c r="AI6" s="157">
        <v>22284.09</v>
      </c>
      <c r="AJ6" s="12" t="s">
        <v>1485</v>
      </c>
      <c r="AK6" s="12" t="s">
        <v>312</v>
      </c>
      <c r="AL6" s="11" t="s">
        <v>1485</v>
      </c>
      <c r="AM6" s="11" t="s">
        <v>1486</v>
      </c>
      <c r="AN6" s="170">
        <v>0.16981599999999999</v>
      </c>
      <c r="AO6" s="170">
        <v>9.9999999999999995E-7</v>
      </c>
    </row>
    <row r="7" spans="1:41">
      <c r="A7" s="12" t="s">
        <v>256</v>
      </c>
      <c r="B7" s="12" t="s">
        <v>1496</v>
      </c>
      <c r="C7" s="12" t="s">
        <v>1237</v>
      </c>
      <c r="D7" s="1" t="s">
        <v>1497</v>
      </c>
      <c r="E7" s="12" t="s">
        <v>159</v>
      </c>
      <c r="F7" s="157">
        <v>3.76</v>
      </c>
      <c r="G7" s="157">
        <v>290115.56</v>
      </c>
      <c r="H7" s="148">
        <v>43284.639999999999</v>
      </c>
      <c r="I7" s="158">
        <v>0.72092699999999998</v>
      </c>
      <c r="J7" s="148">
        <v>4.4499999999999997E-4</v>
      </c>
      <c r="K7" s="11" t="s">
        <v>1497</v>
      </c>
      <c r="L7" s="12" t="s">
        <v>159</v>
      </c>
      <c r="M7" s="158">
        <v>3.76</v>
      </c>
      <c r="N7" s="158">
        <v>-290115.56</v>
      </c>
      <c r="O7" s="158">
        <v>-8048.53</v>
      </c>
      <c r="P7" s="158">
        <v>-8.2999999999999998E-5</v>
      </c>
      <c r="Q7" s="158">
        <v>0.86823899999999998</v>
      </c>
      <c r="R7" s="157">
        <v>132.44999999999999</v>
      </c>
      <c r="S7" s="11" t="s">
        <v>154</v>
      </c>
      <c r="T7" s="18" t="s">
        <v>155</v>
      </c>
      <c r="U7" s="12" t="s">
        <v>937</v>
      </c>
      <c r="V7" s="12" t="s">
        <v>1118</v>
      </c>
      <c r="W7" s="11" t="s">
        <v>1131</v>
      </c>
      <c r="X7" s="12" t="s">
        <v>1491</v>
      </c>
      <c r="Y7" s="12" t="s">
        <v>312</v>
      </c>
      <c r="Z7" s="1" t="s">
        <v>1492</v>
      </c>
      <c r="AA7" s="24" t="s">
        <v>1493</v>
      </c>
      <c r="AB7" s="12" t="s">
        <v>1095</v>
      </c>
      <c r="AC7" s="12" t="s">
        <v>1098</v>
      </c>
      <c r="AD7" s="12" t="s">
        <v>530</v>
      </c>
      <c r="AE7" s="12" t="s">
        <v>1115</v>
      </c>
      <c r="AF7" s="12" t="s">
        <v>1106</v>
      </c>
      <c r="AG7" s="12" t="s">
        <v>1089</v>
      </c>
      <c r="AH7" s="161">
        <v>5.33E-2</v>
      </c>
      <c r="AI7" s="157">
        <v>10361.27</v>
      </c>
      <c r="AJ7" s="12" t="s">
        <v>1485</v>
      </c>
      <c r="AK7" s="12" t="s">
        <v>312</v>
      </c>
      <c r="AL7" s="11" t="s">
        <v>1485</v>
      </c>
      <c r="AM7" s="11" t="s">
        <v>1486</v>
      </c>
      <c r="AN7" s="170">
        <v>0.69403700000000002</v>
      </c>
      <c r="AO7" s="170">
        <v>9.9999999999999995E-7</v>
      </c>
    </row>
    <row r="8" spans="1:41">
      <c r="A8" s="12" t="s">
        <v>256</v>
      </c>
      <c r="B8" s="12" t="s">
        <v>1496</v>
      </c>
      <c r="C8" s="12" t="s">
        <v>1237</v>
      </c>
      <c r="D8" s="1" t="s">
        <v>1498</v>
      </c>
      <c r="E8" s="12" t="s">
        <v>159</v>
      </c>
      <c r="F8" s="157">
        <v>3.76</v>
      </c>
      <c r="G8" s="157">
        <v>133704.54</v>
      </c>
      <c r="H8" s="148">
        <v>8377.7999999999993</v>
      </c>
      <c r="I8" s="158">
        <v>0.13953599999999999</v>
      </c>
      <c r="J8" s="148">
        <v>8.6000000000000003E-5</v>
      </c>
      <c r="K8" s="11" t="s">
        <v>1498</v>
      </c>
      <c r="L8" s="12" t="s">
        <v>159</v>
      </c>
      <c r="M8" s="158">
        <v>3.76</v>
      </c>
      <c r="N8" s="158">
        <v>-133704.54</v>
      </c>
      <c r="O8" s="158">
        <v>-610.21</v>
      </c>
      <c r="P8" s="158">
        <v>-6.0000000000000002E-6</v>
      </c>
      <c r="Q8" s="158">
        <v>6.5826999999999997E-2</v>
      </c>
      <c r="R8" s="157">
        <v>29.2</v>
      </c>
      <c r="S8" s="11" t="s">
        <v>154</v>
      </c>
      <c r="T8" s="18" t="s">
        <v>155</v>
      </c>
      <c r="U8" s="12" t="s">
        <v>937</v>
      </c>
      <c r="V8" s="12" t="s">
        <v>1118</v>
      </c>
      <c r="W8" s="11" t="s">
        <v>1131</v>
      </c>
      <c r="X8" s="12" t="s">
        <v>1482</v>
      </c>
      <c r="Y8" s="12" t="s">
        <v>312</v>
      </c>
      <c r="Z8" s="1" t="s">
        <v>1483</v>
      </c>
      <c r="AA8" s="24" t="s">
        <v>1484</v>
      </c>
      <c r="AB8" s="12" t="s">
        <v>1092</v>
      </c>
      <c r="AC8" s="12" t="s">
        <v>1098</v>
      </c>
      <c r="AD8" s="12" t="s">
        <v>530</v>
      </c>
      <c r="AE8" s="12" t="s">
        <v>1115</v>
      </c>
      <c r="AF8" s="12" t="s">
        <v>1106</v>
      </c>
      <c r="AG8" s="12" t="s">
        <v>1089</v>
      </c>
      <c r="AH8" s="161">
        <v>5.33E-2</v>
      </c>
      <c r="AI8" s="157">
        <v>22284.09</v>
      </c>
      <c r="AJ8" s="12" t="s">
        <v>1485</v>
      </c>
      <c r="AK8" s="12" t="s">
        <v>312</v>
      </c>
      <c r="AL8" s="11" t="s">
        <v>1485</v>
      </c>
      <c r="AM8" s="11" t="s">
        <v>1486</v>
      </c>
      <c r="AN8" s="170">
        <v>0.15300800000000001</v>
      </c>
      <c r="AO8" s="170">
        <v>0</v>
      </c>
    </row>
    <row r="9" spans="1:41">
      <c r="A9" s="12" t="s">
        <v>256</v>
      </c>
      <c r="B9" s="12" t="s">
        <v>1496</v>
      </c>
      <c r="C9" s="12" t="s">
        <v>1237</v>
      </c>
      <c r="D9" s="1" t="s">
        <v>1499</v>
      </c>
      <c r="E9" s="12" t="s">
        <v>159</v>
      </c>
      <c r="F9" s="157">
        <v>3.76</v>
      </c>
      <c r="G9" s="157">
        <v>133704.54</v>
      </c>
      <c r="H9" s="148">
        <v>8377.7999999999993</v>
      </c>
      <c r="I9" s="158">
        <v>0.13953599999999999</v>
      </c>
      <c r="J9" s="148">
        <v>8.6000000000000003E-5</v>
      </c>
      <c r="K9" s="11" t="s">
        <v>1499</v>
      </c>
      <c r="L9" s="12" t="s">
        <v>159</v>
      </c>
      <c r="M9" s="158">
        <v>3.76</v>
      </c>
      <c r="N9" s="158">
        <v>-133704.54</v>
      </c>
      <c r="O9" s="158">
        <v>-611.21</v>
      </c>
      <c r="P9" s="158">
        <v>-6.0000000000000002E-6</v>
      </c>
      <c r="Q9" s="158">
        <v>6.5934999999999994E-2</v>
      </c>
      <c r="R9" s="157">
        <v>29.19</v>
      </c>
      <c r="S9" s="11" t="s">
        <v>154</v>
      </c>
      <c r="T9" s="18" t="s">
        <v>155</v>
      </c>
      <c r="U9" s="12" t="s">
        <v>937</v>
      </c>
      <c r="V9" s="12" t="s">
        <v>1118</v>
      </c>
      <c r="W9" s="11" t="s">
        <v>1131</v>
      </c>
      <c r="X9" s="12" t="s">
        <v>1482</v>
      </c>
      <c r="Y9" s="12" t="s">
        <v>312</v>
      </c>
      <c r="Z9" s="1" t="s">
        <v>1483</v>
      </c>
      <c r="AA9" s="24" t="s">
        <v>1488</v>
      </c>
      <c r="AB9" s="12" t="s">
        <v>1095</v>
      </c>
      <c r="AC9" s="12" t="s">
        <v>1098</v>
      </c>
      <c r="AD9" s="12" t="s">
        <v>530</v>
      </c>
      <c r="AE9" s="12" t="s">
        <v>1115</v>
      </c>
      <c r="AF9" s="12" t="s">
        <v>1106</v>
      </c>
      <c r="AG9" s="12" t="s">
        <v>1089</v>
      </c>
      <c r="AH9" s="161">
        <v>5.33E-2</v>
      </c>
      <c r="AI9" s="157">
        <v>22284.09</v>
      </c>
      <c r="AJ9" s="12" t="s">
        <v>1485</v>
      </c>
      <c r="AK9" s="12" t="s">
        <v>312</v>
      </c>
      <c r="AL9" s="11" t="s">
        <v>1485</v>
      </c>
      <c r="AM9" s="11" t="s">
        <v>1486</v>
      </c>
      <c r="AN9" s="170">
        <v>0.15295500000000001</v>
      </c>
      <c r="AO9" s="170">
        <v>0</v>
      </c>
    </row>
    <row r="10" spans="1:41">
      <c r="A10" s="12" t="s">
        <v>256</v>
      </c>
      <c r="B10" s="12" t="s">
        <v>1500</v>
      </c>
      <c r="C10" s="12" t="s">
        <v>1237</v>
      </c>
      <c r="D10" s="1" t="s">
        <v>1501</v>
      </c>
      <c r="E10" s="12" t="s">
        <v>1364</v>
      </c>
      <c r="F10" s="157">
        <v>0.48</v>
      </c>
      <c r="G10" s="157">
        <v>17088929</v>
      </c>
      <c r="H10" s="148">
        <v>-667485.5</v>
      </c>
      <c r="I10" s="158">
        <v>-4.9606999999999998E-2</v>
      </c>
      <c r="J10" s="148">
        <v>-3.6000000000000002E-4</v>
      </c>
      <c r="K10" s="11" t="s">
        <v>1501</v>
      </c>
      <c r="L10" s="12" t="s">
        <v>1364</v>
      </c>
      <c r="M10" s="158">
        <v>0.48</v>
      </c>
      <c r="N10" s="158">
        <v>-17088929</v>
      </c>
      <c r="O10" s="158">
        <v>-854142.12</v>
      </c>
      <c r="P10" s="158">
        <v>-4.6500000000000003E-4</v>
      </c>
      <c r="Q10" s="158">
        <v>0.24446399999999999</v>
      </c>
      <c r="R10" s="157">
        <v>-732.52</v>
      </c>
      <c r="S10" s="11" t="s">
        <v>154</v>
      </c>
      <c r="T10" s="18" t="s">
        <v>439</v>
      </c>
      <c r="U10" s="12" t="s">
        <v>937</v>
      </c>
      <c r="V10" s="12" t="s">
        <v>1118</v>
      </c>
      <c r="W10" s="11" t="s">
        <v>1131</v>
      </c>
      <c r="X10" s="12" t="s">
        <v>1502</v>
      </c>
      <c r="Y10" s="12" t="s">
        <v>312</v>
      </c>
      <c r="Z10" s="1" t="s">
        <v>1503</v>
      </c>
      <c r="AA10" s="24" t="s">
        <v>1504</v>
      </c>
      <c r="AB10" s="12" t="s">
        <v>1095</v>
      </c>
      <c r="AC10" s="12" t="s">
        <v>1098</v>
      </c>
      <c r="AD10" s="12" t="s">
        <v>530</v>
      </c>
      <c r="AE10" s="12" t="s">
        <v>1115</v>
      </c>
      <c r="AF10" s="12" t="s">
        <v>758</v>
      </c>
      <c r="AG10" s="12" t="s">
        <v>1095</v>
      </c>
      <c r="AH10" s="161">
        <v>0</v>
      </c>
      <c r="AI10" s="157">
        <v>62141.56</v>
      </c>
      <c r="AJ10" s="12" t="s">
        <v>1485</v>
      </c>
      <c r="AK10" s="12" t="s">
        <v>312</v>
      </c>
      <c r="AL10" s="11" t="s">
        <v>1485</v>
      </c>
      <c r="AM10" s="11" t="s">
        <v>1486</v>
      </c>
      <c r="AN10" s="170">
        <v>-1.7432E-2</v>
      </c>
      <c r="AO10" s="170">
        <v>0</v>
      </c>
    </row>
    <row r="11" spans="1:41">
      <c r="A11" s="12" t="s">
        <v>256</v>
      </c>
      <c r="B11" s="12" t="s">
        <v>1500</v>
      </c>
      <c r="C11" s="12" t="s">
        <v>1237</v>
      </c>
      <c r="D11" s="1" t="s">
        <v>1505</v>
      </c>
      <c r="E11" s="12" t="s">
        <v>159</v>
      </c>
      <c r="F11" s="157">
        <v>3.76</v>
      </c>
      <c r="G11" s="157">
        <v>6515773.0099999998</v>
      </c>
      <c r="H11" s="148">
        <v>1473924.64</v>
      </c>
      <c r="I11" s="158">
        <v>0.109541</v>
      </c>
      <c r="J11" s="148">
        <v>7.9600000000000005E-4</v>
      </c>
      <c r="K11" s="11" t="s">
        <v>1505</v>
      </c>
      <c r="L11" s="12" t="s">
        <v>159</v>
      </c>
      <c r="M11" s="158">
        <v>3.76</v>
      </c>
      <c r="N11" s="158">
        <v>-6515773.0099999998</v>
      </c>
      <c r="O11" s="158">
        <v>-303215.11</v>
      </c>
      <c r="P11" s="158">
        <v>-1.65E-4</v>
      </c>
      <c r="Q11" s="158">
        <v>8.6782999999999999E-2</v>
      </c>
      <c r="R11" s="157">
        <v>4400.7</v>
      </c>
      <c r="S11" s="11" t="s">
        <v>154</v>
      </c>
      <c r="T11" s="18" t="s">
        <v>155</v>
      </c>
      <c r="U11" s="12" t="s">
        <v>937</v>
      </c>
      <c r="V11" s="12" t="s">
        <v>1118</v>
      </c>
      <c r="W11" s="11" t="s">
        <v>1131</v>
      </c>
      <c r="X11" s="12" t="s">
        <v>1491</v>
      </c>
      <c r="Y11" s="12" t="s">
        <v>312</v>
      </c>
      <c r="Z11" s="1" t="s">
        <v>1506</v>
      </c>
      <c r="AA11" s="24" t="s">
        <v>1507</v>
      </c>
      <c r="AB11" s="12" t="s">
        <v>1095</v>
      </c>
      <c r="AC11" s="12" t="s">
        <v>1098</v>
      </c>
      <c r="AD11" s="12" t="s">
        <v>530</v>
      </c>
      <c r="AE11" s="12" t="s">
        <v>1115</v>
      </c>
      <c r="AF11" s="12" t="s">
        <v>1106</v>
      </c>
      <c r="AG11" s="12" t="s">
        <v>1089</v>
      </c>
      <c r="AH11" s="161">
        <v>5.33E-2</v>
      </c>
      <c r="AI11" s="157">
        <v>9710.5409999999993</v>
      </c>
      <c r="AJ11" s="12" t="s">
        <v>1485</v>
      </c>
      <c r="AK11" s="12" t="s">
        <v>312</v>
      </c>
      <c r="AL11" s="11" t="s">
        <v>1485</v>
      </c>
      <c r="AM11" s="11" t="s">
        <v>1486</v>
      </c>
      <c r="AN11" s="170">
        <v>0.104728</v>
      </c>
      <c r="AO11" s="170">
        <v>1.9999999999999999E-6</v>
      </c>
    </row>
    <row r="12" spans="1:41">
      <c r="A12" s="12" t="s">
        <v>256</v>
      </c>
      <c r="B12" s="12" t="s">
        <v>1500</v>
      </c>
      <c r="C12" s="12" t="s">
        <v>1237</v>
      </c>
      <c r="D12" s="1" t="s">
        <v>1508</v>
      </c>
      <c r="E12" s="12" t="s">
        <v>159</v>
      </c>
      <c r="F12" s="157">
        <v>3.76</v>
      </c>
      <c r="G12" s="157">
        <v>7930563.8700000001</v>
      </c>
      <c r="H12" s="148">
        <v>2323045</v>
      </c>
      <c r="I12" s="158">
        <v>0.17264699999999999</v>
      </c>
      <c r="J12" s="148">
        <v>1.2539999999999999E-3</v>
      </c>
      <c r="K12" s="11" t="s">
        <v>1508</v>
      </c>
      <c r="L12" s="12" t="s">
        <v>159</v>
      </c>
      <c r="M12" s="158">
        <v>3.76</v>
      </c>
      <c r="N12" s="158">
        <v>-7930563.8700000001</v>
      </c>
      <c r="O12" s="158">
        <v>-296629.52</v>
      </c>
      <c r="P12" s="158">
        <v>-1.6200000000000001E-4</v>
      </c>
      <c r="Q12" s="158">
        <v>8.4898000000000001E-2</v>
      </c>
      <c r="R12" s="157">
        <v>7617.3</v>
      </c>
      <c r="S12" s="11" t="s">
        <v>154</v>
      </c>
      <c r="T12" s="18" t="s">
        <v>155</v>
      </c>
      <c r="U12" s="12" t="s">
        <v>937</v>
      </c>
      <c r="V12" s="12" t="s">
        <v>1118</v>
      </c>
      <c r="W12" s="11" t="s">
        <v>1131</v>
      </c>
      <c r="X12" s="12" t="s">
        <v>1482</v>
      </c>
      <c r="Y12" s="12" t="s">
        <v>312</v>
      </c>
      <c r="Z12" s="1" t="s">
        <v>1509</v>
      </c>
      <c r="AA12" s="24" t="s">
        <v>1510</v>
      </c>
      <c r="AB12" s="12" t="s">
        <v>1095</v>
      </c>
      <c r="AC12" s="12" t="s">
        <v>1098</v>
      </c>
      <c r="AD12" s="12" t="s">
        <v>530</v>
      </c>
      <c r="AE12" s="12" t="s">
        <v>1115</v>
      </c>
      <c r="AF12" s="12" t="s">
        <v>1106</v>
      </c>
      <c r="AG12" s="12" t="s">
        <v>1089</v>
      </c>
      <c r="AH12" s="161">
        <v>5.33E-2</v>
      </c>
      <c r="AI12" s="157">
        <v>18315.39</v>
      </c>
      <c r="AJ12" s="12" t="s">
        <v>1485</v>
      </c>
      <c r="AK12" s="12" t="s">
        <v>312</v>
      </c>
      <c r="AL12" s="11" t="s">
        <v>1485</v>
      </c>
      <c r="AM12" s="11" t="s">
        <v>1486</v>
      </c>
      <c r="AN12" s="170">
        <v>0.18127599999999999</v>
      </c>
      <c r="AO12" s="170">
        <v>3.9999999999999998E-6</v>
      </c>
    </row>
    <row r="13" spans="1:41">
      <c r="A13" s="12" t="s">
        <v>256</v>
      </c>
      <c r="B13" s="12" t="s">
        <v>1500</v>
      </c>
      <c r="C13" s="12" t="s">
        <v>1237</v>
      </c>
      <c r="D13" s="1" t="s">
        <v>1511</v>
      </c>
      <c r="E13" s="12" t="s">
        <v>159</v>
      </c>
      <c r="F13" s="157">
        <v>3.76</v>
      </c>
      <c r="G13" s="157">
        <v>3612388.32</v>
      </c>
      <c r="H13" s="148">
        <v>440857.18</v>
      </c>
      <c r="I13" s="158">
        <v>3.2764000000000001E-2</v>
      </c>
      <c r="J13" s="148">
        <v>2.3800000000000001E-4</v>
      </c>
      <c r="K13" s="11" t="s">
        <v>1511</v>
      </c>
      <c r="L13" s="12" t="s">
        <v>159</v>
      </c>
      <c r="M13" s="158">
        <v>3.76</v>
      </c>
      <c r="N13" s="158">
        <v>-3612388.32</v>
      </c>
      <c r="O13" s="158">
        <v>-126066.33</v>
      </c>
      <c r="P13" s="158">
        <v>-6.8999999999999997E-5</v>
      </c>
      <c r="Q13" s="158">
        <v>3.6081000000000002E-2</v>
      </c>
      <c r="R13" s="157">
        <v>1183.3</v>
      </c>
      <c r="S13" s="11" t="s">
        <v>154</v>
      </c>
      <c r="T13" s="18" t="s">
        <v>155</v>
      </c>
      <c r="U13" s="12" t="s">
        <v>937</v>
      </c>
      <c r="V13" s="12" t="s">
        <v>1118</v>
      </c>
      <c r="W13" s="11" t="s">
        <v>1131</v>
      </c>
      <c r="X13" s="12" t="s">
        <v>1512</v>
      </c>
      <c r="Y13" s="12" t="s">
        <v>312</v>
      </c>
      <c r="Z13" s="1" t="s">
        <v>1513</v>
      </c>
      <c r="AA13" s="24" t="s">
        <v>1514</v>
      </c>
      <c r="AB13" s="12" t="s">
        <v>1095</v>
      </c>
      <c r="AC13" s="12" t="s">
        <v>1098</v>
      </c>
      <c r="AD13" s="12" t="s">
        <v>530</v>
      </c>
      <c r="AE13" s="12" t="s">
        <v>1115</v>
      </c>
      <c r="AF13" s="12" t="s">
        <v>1106</v>
      </c>
      <c r="AG13" s="12" t="s">
        <v>1089</v>
      </c>
      <c r="AH13" s="161">
        <v>5.33E-2</v>
      </c>
      <c r="AI13" s="157">
        <v>511.38</v>
      </c>
      <c r="AJ13" s="12" t="s">
        <v>1485</v>
      </c>
      <c r="AK13" s="12" t="s">
        <v>312</v>
      </c>
      <c r="AL13" s="11" t="s">
        <v>1485</v>
      </c>
      <c r="AM13" s="11" t="s">
        <v>1486</v>
      </c>
      <c r="AN13" s="170">
        <v>2.8160000000000001E-2</v>
      </c>
      <c r="AO13" s="170">
        <v>9.9999999999999995E-7</v>
      </c>
    </row>
    <row r="14" spans="1:41">
      <c r="A14" s="12" t="s">
        <v>256</v>
      </c>
      <c r="B14" s="12" t="s">
        <v>1500</v>
      </c>
      <c r="C14" s="12" t="s">
        <v>1237</v>
      </c>
      <c r="D14" s="1" t="s">
        <v>1515</v>
      </c>
      <c r="E14" s="12" t="s">
        <v>159</v>
      </c>
      <c r="F14" s="157">
        <v>3.76</v>
      </c>
      <c r="G14" s="157">
        <v>15907420.210000001</v>
      </c>
      <c r="H14" s="148">
        <v>3560770.04</v>
      </c>
      <c r="I14" s="158">
        <v>0.26463300000000001</v>
      </c>
      <c r="J14" s="148">
        <v>1.9220000000000001E-3</v>
      </c>
      <c r="K14" s="11" t="s">
        <v>1515</v>
      </c>
      <c r="L14" s="12" t="s">
        <v>159</v>
      </c>
      <c r="M14" s="158">
        <v>3.76</v>
      </c>
      <c r="N14" s="158">
        <v>-15907420.210000001</v>
      </c>
      <c r="O14" s="158">
        <v>-585101.42000000004</v>
      </c>
      <c r="P14" s="158">
        <v>-3.19E-4</v>
      </c>
      <c r="Q14" s="158">
        <v>0.167462</v>
      </c>
      <c r="R14" s="157">
        <v>11185.54</v>
      </c>
      <c r="S14" s="11" t="s">
        <v>154</v>
      </c>
      <c r="T14" s="18" t="s">
        <v>155</v>
      </c>
      <c r="U14" s="12" t="s">
        <v>937</v>
      </c>
      <c r="V14" s="12" t="s">
        <v>1118</v>
      </c>
      <c r="W14" s="11" t="s">
        <v>1131</v>
      </c>
      <c r="X14" s="12" t="s">
        <v>1491</v>
      </c>
      <c r="Y14" s="12" t="s">
        <v>312</v>
      </c>
      <c r="Z14" s="1" t="s">
        <v>1516</v>
      </c>
      <c r="AA14" s="24" t="s">
        <v>1514</v>
      </c>
      <c r="AB14" s="12" t="s">
        <v>1095</v>
      </c>
      <c r="AC14" s="12" t="s">
        <v>1098</v>
      </c>
      <c r="AD14" s="12" t="s">
        <v>530</v>
      </c>
      <c r="AE14" s="12" t="s">
        <v>1115</v>
      </c>
      <c r="AF14" s="12" t="s">
        <v>1106</v>
      </c>
      <c r="AG14" s="12" t="s">
        <v>1089</v>
      </c>
      <c r="AH14" s="161">
        <v>5.33E-2</v>
      </c>
      <c r="AI14" s="157">
        <v>9729.3089999999993</v>
      </c>
      <c r="AJ14" s="12" t="s">
        <v>1485</v>
      </c>
      <c r="AK14" s="12" t="s">
        <v>312</v>
      </c>
      <c r="AL14" s="11" t="s">
        <v>1485</v>
      </c>
      <c r="AM14" s="11" t="s">
        <v>1486</v>
      </c>
      <c r="AN14" s="170">
        <v>0.26619300000000001</v>
      </c>
      <c r="AO14" s="170">
        <v>6.0000000000000002E-6</v>
      </c>
    </row>
    <row r="15" spans="1:41">
      <c r="A15" s="12" t="s">
        <v>256</v>
      </c>
      <c r="B15" s="12" t="s">
        <v>1500</v>
      </c>
      <c r="C15" s="12" t="s">
        <v>1237</v>
      </c>
      <c r="D15" s="1" t="s">
        <v>1517</v>
      </c>
      <c r="E15" s="12" t="s">
        <v>1363</v>
      </c>
      <c r="F15" s="157">
        <v>2.4900000000000002</v>
      </c>
      <c r="G15" s="157">
        <v>3872396.88</v>
      </c>
      <c r="H15" s="148">
        <v>519144.12</v>
      </c>
      <c r="I15" s="158">
        <v>3.8581999999999998E-2</v>
      </c>
      <c r="J15" s="148">
        <v>2.7999999999999998E-4</v>
      </c>
      <c r="K15" s="11" t="s">
        <v>1517</v>
      </c>
      <c r="L15" s="12" t="s">
        <v>1363</v>
      </c>
      <c r="M15" s="158">
        <v>2.4900000000000002</v>
      </c>
      <c r="N15" s="158">
        <v>-3872396.88</v>
      </c>
      <c r="O15" s="158">
        <v>-109432.87</v>
      </c>
      <c r="P15" s="158">
        <v>-6.0000000000000002E-5</v>
      </c>
      <c r="Q15" s="158">
        <v>3.1321000000000002E-2</v>
      </c>
      <c r="R15" s="157">
        <v>1021.45</v>
      </c>
      <c r="S15" s="11" t="s">
        <v>154</v>
      </c>
      <c r="T15" s="18" t="s">
        <v>402</v>
      </c>
      <c r="U15" s="12" t="s">
        <v>937</v>
      </c>
      <c r="V15" s="12" t="s">
        <v>1118</v>
      </c>
      <c r="W15" s="11" t="s">
        <v>1131</v>
      </c>
      <c r="X15" s="12" t="s">
        <v>1518</v>
      </c>
      <c r="Y15" s="12" t="s">
        <v>312</v>
      </c>
      <c r="Z15" s="1" t="s">
        <v>1519</v>
      </c>
      <c r="AA15" s="24" t="s">
        <v>1520</v>
      </c>
      <c r="AB15" s="12" t="s">
        <v>1095</v>
      </c>
      <c r="AC15" s="12" t="s">
        <v>1098</v>
      </c>
      <c r="AD15" s="12" t="s">
        <v>530</v>
      </c>
      <c r="AE15" s="12" t="s">
        <v>1115</v>
      </c>
      <c r="AF15" s="12" t="s">
        <v>758</v>
      </c>
      <c r="AG15" s="12" t="s">
        <v>1095</v>
      </c>
      <c r="AH15" s="161">
        <v>0</v>
      </c>
      <c r="AI15" s="157">
        <v>88009.02</v>
      </c>
      <c r="AJ15" s="12" t="s">
        <v>1485</v>
      </c>
      <c r="AK15" s="12" t="s">
        <v>312</v>
      </c>
      <c r="AL15" s="11" t="s">
        <v>1485</v>
      </c>
      <c r="AM15" s="11" t="s">
        <v>1486</v>
      </c>
      <c r="AN15" s="170">
        <v>2.4308E-2</v>
      </c>
      <c r="AO15" s="170">
        <v>9.9999999999999995E-7</v>
      </c>
    </row>
    <row r="16" spans="1:41">
      <c r="A16" s="12" t="s">
        <v>256</v>
      </c>
      <c r="B16" s="12" t="s">
        <v>1500</v>
      </c>
      <c r="C16" s="12" t="s">
        <v>1237</v>
      </c>
      <c r="D16" s="1" t="s">
        <v>1521</v>
      </c>
      <c r="E16" s="12" t="s">
        <v>1363</v>
      </c>
      <c r="F16" s="157">
        <v>2.4900000000000002</v>
      </c>
      <c r="G16" s="157">
        <v>8128277.0999999996</v>
      </c>
      <c r="H16" s="148">
        <v>-43849.35</v>
      </c>
      <c r="I16" s="158">
        <v>-3.2590000000000002E-3</v>
      </c>
      <c r="J16" s="148">
        <v>-2.4000000000000001E-5</v>
      </c>
      <c r="K16" s="11" t="s">
        <v>1521</v>
      </c>
      <c r="L16" s="12" t="s">
        <v>1363</v>
      </c>
      <c r="M16" s="158">
        <v>2.4900000000000002</v>
      </c>
      <c r="N16" s="158">
        <v>-8128277.0999999996</v>
      </c>
      <c r="O16" s="158">
        <v>-20648.05</v>
      </c>
      <c r="P16" s="158">
        <v>-1.1E-5</v>
      </c>
      <c r="Q16" s="158">
        <v>5.9100000000000003E-3</v>
      </c>
      <c r="R16" s="157">
        <v>-160.80000000000001</v>
      </c>
      <c r="S16" s="11" t="s">
        <v>154</v>
      </c>
      <c r="T16" s="18" t="s">
        <v>402</v>
      </c>
      <c r="U16" s="12" t="s">
        <v>937</v>
      </c>
      <c r="V16" s="12" t="s">
        <v>1118</v>
      </c>
      <c r="W16" s="11" t="s">
        <v>1131</v>
      </c>
      <c r="X16" s="12" t="s">
        <v>1518</v>
      </c>
      <c r="Y16" s="12" t="s">
        <v>312</v>
      </c>
      <c r="Z16" s="1" t="s">
        <v>1522</v>
      </c>
      <c r="AA16" s="24" t="s">
        <v>1523</v>
      </c>
      <c r="AB16" s="12" t="s">
        <v>1095</v>
      </c>
      <c r="AC16" s="12" t="s">
        <v>1098</v>
      </c>
      <c r="AD16" s="12" t="s">
        <v>530</v>
      </c>
      <c r="AE16" s="12" t="s">
        <v>1115</v>
      </c>
      <c r="AF16" s="12" t="s">
        <v>758</v>
      </c>
      <c r="AG16" s="12" t="s">
        <v>1095</v>
      </c>
      <c r="AH16" s="161">
        <v>0</v>
      </c>
      <c r="AI16" s="157">
        <v>100349.1</v>
      </c>
      <c r="AJ16" s="12" t="s">
        <v>1485</v>
      </c>
      <c r="AK16" s="12" t="s">
        <v>312</v>
      </c>
      <c r="AL16" s="11" t="s">
        <v>1485</v>
      </c>
      <c r="AM16" s="11" t="s">
        <v>1486</v>
      </c>
      <c r="AN16" s="170">
        <v>-3.8270000000000001E-3</v>
      </c>
      <c r="AO16" s="170">
        <v>0</v>
      </c>
    </row>
    <row r="17" spans="1:41">
      <c r="A17" s="12" t="s">
        <v>256</v>
      </c>
      <c r="B17" s="12" t="s">
        <v>1500</v>
      </c>
      <c r="C17" s="12" t="s">
        <v>1237</v>
      </c>
      <c r="D17" s="1" t="s">
        <v>1524</v>
      </c>
      <c r="E17" s="12" t="s">
        <v>159</v>
      </c>
      <c r="F17" s="157">
        <v>3.76</v>
      </c>
      <c r="G17" s="157">
        <v>22629013.68</v>
      </c>
      <c r="H17" s="148">
        <v>3376201.92</v>
      </c>
      <c r="I17" s="158">
        <v>0.250917</v>
      </c>
      <c r="J17" s="148">
        <v>1.8220000000000001E-3</v>
      </c>
      <c r="K17" s="11" t="s">
        <v>1524</v>
      </c>
      <c r="L17" s="12" t="s">
        <v>159</v>
      </c>
      <c r="M17" s="158">
        <v>3.76</v>
      </c>
      <c r="N17" s="158">
        <v>-22629013.68</v>
      </c>
      <c r="O17" s="158">
        <v>-627785.41</v>
      </c>
      <c r="P17" s="158">
        <v>-3.4200000000000002E-4</v>
      </c>
      <c r="Q17" s="158">
        <v>0.179678</v>
      </c>
      <c r="R17" s="157">
        <v>10331.299999999999</v>
      </c>
      <c r="S17" s="11" t="s">
        <v>154</v>
      </c>
      <c r="T17" s="18" t="s">
        <v>155</v>
      </c>
      <c r="U17" s="12" t="s">
        <v>937</v>
      </c>
      <c r="V17" s="12" t="s">
        <v>1118</v>
      </c>
      <c r="W17" s="11" t="s">
        <v>1131</v>
      </c>
      <c r="X17" s="12" t="s">
        <v>1491</v>
      </c>
      <c r="Y17" s="12" t="s">
        <v>312</v>
      </c>
      <c r="Z17" s="1" t="s">
        <v>1492</v>
      </c>
      <c r="AA17" s="24" t="s">
        <v>1493</v>
      </c>
      <c r="AB17" s="12" t="s">
        <v>1095</v>
      </c>
      <c r="AC17" s="12" t="s">
        <v>1098</v>
      </c>
      <c r="AD17" s="12" t="s">
        <v>530</v>
      </c>
      <c r="AE17" s="12" t="s">
        <v>1115</v>
      </c>
      <c r="AF17" s="12" t="s">
        <v>1106</v>
      </c>
      <c r="AG17" s="12" t="s">
        <v>1089</v>
      </c>
      <c r="AH17" s="161">
        <v>5.33E-2</v>
      </c>
      <c r="AI17" s="157">
        <v>10361.27</v>
      </c>
      <c r="AJ17" s="12" t="s">
        <v>1485</v>
      </c>
      <c r="AK17" s="12" t="s">
        <v>312</v>
      </c>
      <c r="AL17" s="11" t="s">
        <v>1485</v>
      </c>
      <c r="AM17" s="11" t="s">
        <v>1486</v>
      </c>
      <c r="AN17" s="170">
        <v>0.245864</v>
      </c>
      <c r="AO17" s="170">
        <v>6.0000000000000002E-6</v>
      </c>
    </row>
    <row r="18" spans="1:41">
      <c r="A18" s="12" t="s">
        <v>256</v>
      </c>
      <c r="B18" s="12" t="s">
        <v>1500</v>
      </c>
      <c r="C18" s="12" t="s">
        <v>1237</v>
      </c>
      <c r="D18" s="1" t="s">
        <v>1525</v>
      </c>
      <c r="E18" s="12" t="s">
        <v>159</v>
      </c>
      <c r="F18" s="157">
        <v>3.76</v>
      </c>
      <c r="G18" s="157">
        <v>15625830.279999999</v>
      </c>
      <c r="H18" s="148">
        <v>884974.59</v>
      </c>
      <c r="I18" s="158">
        <v>6.5770999999999996E-2</v>
      </c>
      <c r="J18" s="148">
        <v>4.7800000000000002E-4</v>
      </c>
      <c r="K18" s="11" t="s">
        <v>1525</v>
      </c>
      <c r="L18" s="12" t="s">
        <v>159</v>
      </c>
      <c r="M18" s="158">
        <v>3.76</v>
      </c>
      <c r="N18" s="158">
        <v>-15625830.279999999</v>
      </c>
      <c r="O18" s="158">
        <v>-349167.85</v>
      </c>
      <c r="P18" s="158">
        <v>-1.9000000000000001E-4</v>
      </c>
      <c r="Q18" s="158">
        <v>9.9934999999999996E-2</v>
      </c>
      <c r="R18" s="157">
        <v>2014.1</v>
      </c>
      <c r="S18" s="11" t="s">
        <v>154</v>
      </c>
      <c r="T18" s="18" t="s">
        <v>155</v>
      </c>
      <c r="U18" s="12" t="s">
        <v>937</v>
      </c>
      <c r="V18" s="12" t="s">
        <v>1118</v>
      </c>
      <c r="W18" s="11" t="s">
        <v>1131</v>
      </c>
      <c r="X18" s="12" t="s">
        <v>1526</v>
      </c>
      <c r="Y18" s="12" t="s">
        <v>312</v>
      </c>
      <c r="Z18" s="1" t="s">
        <v>1527</v>
      </c>
      <c r="AA18" s="24" t="s">
        <v>1528</v>
      </c>
      <c r="AB18" s="12" t="s">
        <v>1095</v>
      </c>
      <c r="AC18" s="12" t="s">
        <v>1098</v>
      </c>
      <c r="AD18" s="12" t="s">
        <v>530</v>
      </c>
      <c r="AE18" s="12" t="s">
        <v>1115</v>
      </c>
      <c r="AF18" s="12" t="s">
        <v>1106</v>
      </c>
      <c r="AG18" s="12" t="s">
        <v>1089</v>
      </c>
      <c r="AH18" s="161">
        <v>5.33E-2</v>
      </c>
      <c r="AI18" s="157">
        <v>10410.280000000001</v>
      </c>
      <c r="AJ18" s="12" t="s">
        <v>1485</v>
      </c>
      <c r="AK18" s="12" t="s">
        <v>312</v>
      </c>
      <c r="AL18" s="11" t="s">
        <v>1485</v>
      </c>
      <c r="AM18" s="11" t="s">
        <v>1486</v>
      </c>
      <c r="AN18" s="170">
        <v>4.7931000000000001E-2</v>
      </c>
      <c r="AO18" s="170">
        <v>9.9999999999999995E-7</v>
      </c>
    </row>
    <row r="19" spans="1:41">
      <c r="A19" s="12" t="s">
        <v>256</v>
      </c>
      <c r="B19" s="12" t="s">
        <v>1500</v>
      </c>
      <c r="C19" s="12" t="s">
        <v>1237</v>
      </c>
      <c r="D19" s="1" t="s">
        <v>1529</v>
      </c>
      <c r="E19" s="12" t="s">
        <v>169</v>
      </c>
      <c r="F19" s="157">
        <v>4.0199999999999996</v>
      </c>
      <c r="G19" s="157">
        <v>5970531.2699999996</v>
      </c>
      <c r="H19" s="148">
        <v>174815.38</v>
      </c>
      <c r="I19" s="158">
        <v>1.2992E-2</v>
      </c>
      <c r="J19" s="148">
        <v>9.3999999999999994E-5</v>
      </c>
      <c r="K19" s="11" t="s">
        <v>1529</v>
      </c>
      <c r="L19" s="12" t="s">
        <v>169</v>
      </c>
      <c r="M19" s="158">
        <v>4.0199999999999996</v>
      </c>
      <c r="N19" s="158">
        <v>-5970531.2699999996</v>
      </c>
      <c r="O19" s="158">
        <v>-80031.990000000005</v>
      </c>
      <c r="P19" s="158">
        <v>-4.3999999999999999E-5</v>
      </c>
      <c r="Q19" s="158">
        <v>2.2905999999999999E-2</v>
      </c>
      <c r="R19" s="157">
        <v>381.05</v>
      </c>
      <c r="S19" s="11" t="s">
        <v>154</v>
      </c>
      <c r="T19" s="18" t="s">
        <v>486</v>
      </c>
      <c r="U19" s="12" t="s">
        <v>937</v>
      </c>
      <c r="V19" s="12" t="s">
        <v>1118</v>
      </c>
      <c r="W19" s="11" t="s">
        <v>1131</v>
      </c>
      <c r="X19" s="12" t="s">
        <v>1530</v>
      </c>
      <c r="Y19" s="12" t="s">
        <v>312</v>
      </c>
      <c r="Z19" s="1" t="s">
        <v>1531</v>
      </c>
      <c r="AA19" s="24" t="s">
        <v>1532</v>
      </c>
      <c r="AB19" s="12" t="s">
        <v>1095</v>
      </c>
      <c r="AC19" s="12" t="s">
        <v>1098</v>
      </c>
      <c r="AD19" s="12" t="s">
        <v>530</v>
      </c>
      <c r="AE19" s="12" t="s">
        <v>1115</v>
      </c>
      <c r="AF19" s="12" t="s">
        <v>1105</v>
      </c>
      <c r="AG19" s="12" t="s">
        <v>1094</v>
      </c>
      <c r="AH19" s="161">
        <v>3.7220000000000003E-2</v>
      </c>
      <c r="AI19" s="157">
        <v>17716.71</v>
      </c>
      <c r="AJ19" s="12" t="s">
        <v>1485</v>
      </c>
      <c r="AK19" s="12" t="s">
        <v>312</v>
      </c>
      <c r="AL19" s="11" t="s">
        <v>1485</v>
      </c>
      <c r="AM19" s="11" t="s">
        <v>1486</v>
      </c>
      <c r="AN19" s="170">
        <v>9.0679999999999997E-3</v>
      </c>
      <c r="AO19" s="170">
        <v>0</v>
      </c>
    </row>
    <row r="20" spans="1:41">
      <c r="A20" s="11" t="s">
        <v>256</v>
      </c>
      <c r="B20" s="11" t="s">
        <v>1500</v>
      </c>
      <c r="C20" s="12" t="s">
        <v>1237</v>
      </c>
      <c r="D20" s="11" t="s">
        <v>1533</v>
      </c>
      <c r="E20" s="12" t="s">
        <v>159</v>
      </c>
      <c r="F20" s="158">
        <v>3.76</v>
      </c>
      <c r="G20" s="158">
        <v>8512522.3800000008</v>
      </c>
      <c r="H20" s="158">
        <v>533386.6</v>
      </c>
      <c r="I20" s="158">
        <v>3.9641000000000003E-2</v>
      </c>
      <c r="J20" s="158">
        <v>2.8800000000000001E-4</v>
      </c>
      <c r="K20" s="11" t="s">
        <v>1533</v>
      </c>
      <c r="L20" s="11" t="s">
        <v>159</v>
      </c>
      <c r="M20" s="158">
        <v>3.76</v>
      </c>
      <c r="N20" s="158">
        <v>-8512522.3800000008</v>
      </c>
      <c r="O20" s="158">
        <v>-38850.199999999997</v>
      </c>
      <c r="P20" s="158">
        <v>-2.0999999999999999E-5</v>
      </c>
      <c r="Q20" s="158">
        <v>1.1119E-2</v>
      </c>
      <c r="R20" s="158">
        <v>1858.96</v>
      </c>
      <c r="S20" s="11" t="s">
        <v>154</v>
      </c>
      <c r="T20" s="18" t="s">
        <v>155</v>
      </c>
      <c r="U20" s="12" t="s">
        <v>937</v>
      </c>
      <c r="V20" s="12" t="s">
        <v>1118</v>
      </c>
      <c r="W20" s="11" t="s">
        <v>1131</v>
      </c>
      <c r="X20" s="11" t="s">
        <v>1482</v>
      </c>
      <c r="Y20" s="12" t="s">
        <v>312</v>
      </c>
      <c r="Z20" s="11" t="s">
        <v>1483</v>
      </c>
      <c r="AA20" s="11" t="s">
        <v>1484</v>
      </c>
      <c r="AB20" s="12" t="s">
        <v>1092</v>
      </c>
      <c r="AC20" s="12" t="s">
        <v>1098</v>
      </c>
      <c r="AD20" s="12" t="s">
        <v>530</v>
      </c>
      <c r="AE20" s="12" t="s">
        <v>1115</v>
      </c>
      <c r="AF20" s="12" t="s">
        <v>1106</v>
      </c>
      <c r="AG20" s="12" t="s">
        <v>1089</v>
      </c>
      <c r="AH20" s="161">
        <v>5.33E-2</v>
      </c>
      <c r="AI20" s="158">
        <v>22284.09</v>
      </c>
      <c r="AJ20" s="11" t="s">
        <v>1485</v>
      </c>
      <c r="AK20" s="12" t="s">
        <v>312</v>
      </c>
      <c r="AL20" s="11" t="s">
        <v>1485</v>
      </c>
      <c r="AM20" s="11" t="s">
        <v>1486</v>
      </c>
      <c r="AN20" s="164">
        <v>4.4239000000000001E-2</v>
      </c>
      <c r="AO20" s="164">
        <v>9.9999999999999995E-7</v>
      </c>
    </row>
    <row r="21" spans="1:41">
      <c r="A21" s="11" t="s">
        <v>256</v>
      </c>
      <c r="B21" s="11" t="s">
        <v>1500</v>
      </c>
      <c r="C21" s="11" t="s">
        <v>1237</v>
      </c>
      <c r="D21" s="11" t="s">
        <v>1534</v>
      </c>
      <c r="E21" s="11" t="s">
        <v>159</v>
      </c>
      <c r="F21" s="158">
        <v>3.76</v>
      </c>
      <c r="G21" s="158">
        <v>8512522.3800000008</v>
      </c>
      <c r="H21" s="158">
        <v>533386.6</v>
      </c>
      <c r="I21" s="158">
        <v>3.9641000000000003E-2</v>
      </c>
      <c r="J21" s="158">
        <v>2.8800000000000001E-4</v>
      </c>
      <c r="K21" s="11" t="s">
        <v>1534</v>
      </c>
      <c r="L21" s="11" t="s">
        <v>159</v>
      </c>
      <c r="M21" s="158">
        <v>3.76</v>
      </c>
      <c r="N21" s="158">
        <v>-8512522.3800000008</v>
      </c>
      <c r="O21" s="158">
        <v>-38914.050000000003</v>
      </c>
      <c r="P21" s="158">
        <v>-2.0999999999999999E-5</v>
      </c>
      <c r="Q21" s="158">
        <v>1.1138E-2</v>
      </c>
      <c r="R21" s="158">
        <v>1858.72</v>
      </c>
      <c r="S21" s="11" t="s">
        <v>154</v>
      </c>
      <c r="T21" s="11" t="s">
        <v>155</v>
      </c>
      <c r="U21" s="11" t="s">
        <v>937</v>
      </c>
      <c r="V21" s="11" t="s">
        <v>1118</v>
      </c>
      <c r="W21" s="11" t="s">
        <v>1131</v>
      </c>
      <c r="X21" s="11" t="s">
        <v>1482</v>
      </c>
      <c r="Y21" s="11" t="s">
        <v>312</v>
      </c>
      <c r="Z21" s="11" t="s">
        <v>1483</v>
      </c>
      <c r="AA21" s="11" t="s">
        <v>1488</v>
      </c>
      <c r="AB21" s="11" t="s">
        <v>1095</v>
      </c>
      <c r="AC21" s="11" t="s">
        <v>1098</v>
      </c>
      <c r="AD21" s="11" t="s">
        <v>530</v>
      </c>
      <c r="AE21" s="11" t="s">
        <v>1115</v>
      </c>
      <c r="AF21" s="11" t="s">
        <v>1106</v>
      </c>
      <c r="AG21" s="11" t="s">
        <v>1089</v>
      </c>
      <c r="AH21" s="161">
        <v>5.33E-2</v>
      </c>
      <c r="AI21" s="158">
        <v>22284.09</v>
      </c>
      <c r="AJ21" s="11" t="s">
        <v>1485</v>
      </c>
      <c r="AK21" s="11" t="s">
        <v>312</v>
      </c>
      <c r="AL21" s="11" t="s">
        <v>1485</v>
      </c>
      <c r="AM21" s="11" t="s">
        <v>1486</v>
      </c>
      <c r="AN21" s="164">
        <v>4.4234000000000002E-2</v>
      </c>
      <c r="AO21" s="164">
        <v>9.9999999999999995E-7</v>
      </c>
    </row>
    <row r="22" spans="1:41">
      <c r="A22" s="11" t="s">
        <v>256</v>
      </c>
      <c r="B22" s="11" t="s">
        <v>1500</v>
      </c>
      <c r="C22" s="12" t="s">
        <v>1237</v>
      </c>
      <c r="D22" s="11" t="s">
        <v>1535</v>
      </c>
      <c r="E22" s="12" t="s">
        <v>159</v>
      </c>
      <c r="F22" s="158">
        <v>3.76</v>
      </c>
      <c r="G22" s="158">
        <v>16430867.52</v>
      </c>
      <c r="H22" s="158">
        <v>346306.84</v>
      </c>
      <c r="I22" s="158">
        <v>2.5736999999999999E-2</v>
      </c>
      <c r="J22" s="158">
        <v>1.8699999999999999E-4</v>
      </c>
      <c r="K22" s="11" t="s">
        <v>1535</v>
      </c>
      <c r="L22" s="11" t="s">
        <v>159</v>
      </c>
      <c r="M22" s="158">
        <v>3.76</v>
      </c>
      <c r="N22" s="158">
        <v>-16430867.52</v>
      </c>
      <c r="O22" s="158">
        <v>-63957.15</v>
      </c>
      <c r="P22" s="158">
        <v>-3.4999999999999997E-5</v>
      </c>
      <c r="Q22" s="158">
        <v>1.8304999999999998E-2</v>
      </c>
      <c r="R22" s="158">
        <v>1061.3499999999999</v>
      </c>
      <c r="S22" s="11" t="s">
        <v>154</v>
      </c>
      <c r="T22" s="18" t="s">
        <v>155</v>
      </c>
      <c r="U22" s="11" t="s">
        <v>937</v>
      </c>
      <c r="V22" s="11" t="s">
        <v>1118</v>
      </c>
      <c r="W22" s="11" t="s">
        <v>1131</v>
      </c>
      <c r="X22" s="11" t="s">
        <v>1491</v>
      </c>
      <c r="Y22" s="11" t="s">
        <v>312</v>
      </c>
      <c r="Z22" s="11" t="s">
        <v>1522</v>
      </c>
      <c r="AA22" s="11" t="s">
        <v>1536</v>
      </c>
      <c r="AB22" s="11" t="s">
        <v>1095</v>
      </c>
      <c r="AC22" s="11" t="s">
        <v>1098</v>
      </c>
      <c r="AD22" s="11" t="s">
        <v>530</v>
      </c>
      <c r="AE22" s="12" t="s">
        <v>1115</v>
      </c>
      <c r="AF22" s="12" t="s">
        <v>1106</v>
      </c>
      <c r="AG22" s="11" t="s">
        <v>1089</v>
      </c>
      <c r="AH22" s="161">
        <v>5.33E-2</v>
      </c>
      <c r="AI22" s="158">
        <v>11661.368</v>
      </c>
      <c r="AJ22" s="11" t="s">
        <v>1485</v>
      </c>
      <c r="AK22" s="11" t="s">
        <v>312</v>
      </c>
      <c r="AL22" s="11" t="s">
        <v>1485</v>
      </c>
      <c r="AM22" s="11" t="s">
        <v>1486</v>
      </c>
      <c r="AN22" s="164">
        <v>2.5257999999999999E-2</v>
      </c>
      <c r="AO22" s="164">
        <v>9.9999999999999995E-7</v>
      </c>
    </row>
    <row r="23" spans="1:41">
      <c r="A23" s="11" t="s">
        <v>256</v>
      </c>
      <c r="B23" s="11" t="s">
        <v>1537</v>
      </c>
      <c r="C23" s="12" t="s">
        <v>1237</v>
      </c>
      <c r="D23" s="11" t="s">
        <v>1538</v>
      </c>
      <c r="E23" s="12" t="s">
        <v>159</v>
      </c>
      <c r="F23" s="158">
        <v>3.76</v>
      </c>
      <c r="G23" s="158">
        <v>1039027.89</v>
      </c>
      <c r="H23" s="158">
        <v>235037.16</v>
      </c>
      <c r="I23" s="158">
        <v>0.12696099999999999</v>
      </c>
      <c r="J23" s="158">
        <v>7.3300000000000004E-4</v>
      </c>
      <c r="K23" s="11" t="s">
        <v>1538</v>
      </c>
      <c r="L23" s="11" t="s">
        <v>159</v>
      </c>
      <c r="M23" s="158">
        <v>3.76</v>
      </c>
      <c r="N23" s="158">
        <v>-1039027.89</v>
      </c>
      <c r="O23" s="158">
        <v>-48351.74</v>
      </c>
      <c r="P23" s="158">
        <v>-1.5200000000000001E-4</v>
      </c>
      <c r="Q23" s="158">
        <v>9.9013000000000004E-2</v>
      </c>
      <c r="R23" s="158">
        <v>701.75</v>
      </c>
      <c r="S23" s="11" t="s">
        <v>154</v>
      </c>
      <c r="T23" s="18" t="s">
        <v>155</v>
      </c>
      <c r="U23" s="11" t="s">
        <v>937</v>
      </c>
      <c r="V23" s="11" t="s">
        <v>1118</v>
      </c>
      <c r="W23" s="11" t="s">
        <v>1131</v>
      </c>
      <c r="X23" s="11" t="s">
        <v>1491</v>
      </c>
      <c r="Y23" s="11" t="s">
        <v>312</v>
      </c>
      <c r="Z23" s="11" t="s">
        <v>1506</v>
      </c>
      <c r="AA23" s="11" t="s">
        <v>1507</v>
      </c>
      <c r="AB23" s="11" t="s">
        <v>1095</v>
      </c>
      <c r="AC23" s="11" t="s">
        <v>1098</v>
      </c>
      <c r="AD23" s="11" t="s">
        <v>530</v>
      </c>
      <c r="AE23" s="12" t="s">
        <v>1115</v>
      </c>
      <c r="AF23" s="12" t="s">
        <v>1106</v>
      </c>
      <c r="AG23" s="11" t="s">
        <v>1089</v>
      </c>
      <c r="AH23" s="161">
        <v>5.33E-2</v>
      </c>
      <c r="AI23" s="158">
        <v>9710.5409999999993</v>
      </c>
      <c r="AJ23" s="11" t="s">
        <v>1485</v>
      </c>
      <c r="AK23" s="11" t="s">
        <v>312</v>
      </c>
      <c r="AL23" s="11" t="s">
        <v>1485</v>
      </c>
      <c r="AM23" s="11" t="s">
        <v>1486</v>
      </c>
      <c r="AN23" s="164">
        <v>0.121785</v>
      </c>
      <c r="AO23" s="164">
        <v>1.9999999999999999E-6</v>
      </c>
    </row>
    <row r="24" spans="1:41">
      <c r="A24" s="11" t="s">
        <v>256</v>
      </c>
      <c r="B24" s="11" t="s">
        <v>1537</v>
      </c>
      <c r="C24" s="12" t="s">
        <v>1237</v>
      </c>
      <c r="D24" s="11" t="s">
        <v>1539</v>
      </c>
      <c r="E24" s="12" t="s">
        <v>159</v>
      </c>
      <c r="F24" s="158">
        <v>3.76</v>
      </c>
      <c r="G24" s="158">
        <v>934084.89</v>
      </c>
      <c r="H24" s="158">
        <v>273615</v>
      </c>
      <c r="I24" s="158">
        <v>0.14779900000000001</v>
      </c>
      <c r="J24" s="158">
        <v>8.5300000000000003E-4</v>
      </c>
      <c r="K24" s="11" t="s">
        <v>1539</v>
      </c>
      <c r="L24" s="11" t="s">
        <v>159</v>
      </c>
      <c r="M24" s="158">
        <v>3.76</v>
      </c>
      <c r="N24" s="158">
        <v>-934084.89</v>
      </c>
      <c r="O24" s="158">
        <v>-34937.879999999997</v>
      </c>
      <c r="P24" s="158">
        <v>-1.1E-4</v>
      </c>
      <c r="Q24" s="158">
        <v>7.1543999999999996E-2</v>
      </c>
      <c r="R24" s="158">
        <v>897.19</v>
      </c>
      <c r="S24" s="11" t="s">
        <v>154</v>
      </c>
      <c r="T24" s="18" t="s">
        <v>155</v>
      </c>
      <c r="U24" s="11" t="s">
        <v>937</v>
      </c>
      <c r="V24" s="11" t="s">
        <v>1118</v>
      </c>
      <c r="W24" s="11" t="s">
        <v>1131</v>
      </c>
      <c r="X24" s="11" t="s">
        <v>1482</v>
      </c>
      <c r="Y24" s="11" t="s">
        <v>312</v>
      </c>
      <c r="Z24" s="11" t="s">
        <v>1509</v>
      </c>
      <c r="AA24" s="11" t="s">
        <v>1510</v>
      </c>
      <c r="AB24" s="11" t="s">
        <v>1095</v>
      </c>
      <c r="AC24" s="11" t="s">
        <v>1098</v>
      </c>
      <c r="AD24" s="11" t="s">
        <v>530</v>
      </c>
      <c r="AE24" s="12" t="s">
        <v>1115</v>
      </c>
      <c r="AF24" s="12" t="s">
        <v>1106</v>
      </c>
      <c r="AG24" s="11" t="s">
        <v>1089</v>
      </c>
      <c r="AH24" s="161">
        <v>5.33E-2</v>
      </c>
      <c r="AI24" s="158">
        <v>18315.39</v>
      </c>
      <c r="AJ24" s="11" t="s">
        <v>1485</v>
      </c>
      <c r="AK24" s="11" t="s">
        <v>312</v>
      </c>
      <c r="AL24" s="11" t="s">
        <v>1485</v>
      </c>
      <c r="AM24" s="11" t="s">
        <v>1486</v>
      </c>
      <c r="AN24" s="164">
        <v>0.15570200000000001</v>
      </c>
      <c r="AO24" s="164">
        <v>3.0000000000000001E-6</v>
      </c>
    </row>
    <row r="25" spans="1:41">
      <c r="A25" s="11" t="s">
        <v>256</v>
      </c>
      <c r="B25" s="11" t="s">
        <v>1537</v>
      </c>
      <c r="C25" s="12" t="s">
        <v>1237</v>
      </c>
      <c r="D25" s="11" t="s">
        <v>1540</v>
      </c>
      <c r="E25" s="12" t="s">
        <v>159</v>
      </c>
      <c r="F25" s="158">
        <v>3.76</v>
      </c>
      <c r="G25" s="158">
        <v>492458.94</v>
      </c>
      <c r="H25" s="158">
        <v>60099.87</v>
      </c>
      <c r="I25" s="158">
        <v>3.2464E-2</v>
      </c>
      <c r="J25" s="158">
        <v>1.8699999999999999E-4</v>
      </c>
      <c r="K25" s="11" t="s">
        <v>1540</v>
      </c>
      <c r="L25" s="11" t="s">
        <v>159</v>
      </c>
      <c r="M25" s="158">
        <v>3.76</v>
      </c>
      <c r="N25" s="158">
        <v>-492458.94</v>
      </c>
      <c r="O25" s="158">
        <v>-17185.990000000002</v>
      </c>
      <c r="P25" s="158">
        <v>-5.3999999999999998E-5</v>
      </c>
      <c r="Q25" s="158">
        <v>3.5193000000000002E-2</v>
      </c>
      <c r="R25" s="158">
        <v>161.31</v>
      </c>
      <c r="S25" s="11" t="s">
        <v>154</v>
      </c>
      <c r="T25" s="18" t="s">
        <v>155</v>
      </c>
      <c r="U25" s="11" t="s">
        <v>937</v>
      </c>
      <c r="V25" s="11" t="s">
        <v>1118</v>
      </c>
      <c r="W25" s="11" t="s">
        <v>1131</v>
      </c>
      <c r="X25" s="11" t="s">
        <v>1512</v>
      </c>
      <c r="Y25" s="11" t="s">
        <v>312</v>
      </c>
      <c r="Z25" s="11" t="s">
        <v>1513</v>
      </c>
      <c r="AA25" s="11" t="s">
        <v>1514</v>
      </c>
      <c r="AB25" s="11" t="s">
        <v>1095</v>
      </c>
      <c r="AC25" s="11" t="s">
        <v>1098</v>
      </c>
      <c r="AD25" s="11" t="s">
        <v>530</v>
      </c>
      <c r="AE25" s="12" t="s">
        <v>1115</v>
      </c>
      <c r="AF25" s="12" t="s">
        <v>1106</v>
      </c>
      <c r="AG25" s="11" t="s">
        <v>1089</v>
      </c>
      <c r="AH25" s="161">
        <v>5.33E-2</v>
      </c>
      <c r="AI25" s="158">
        <v>511.38</v>
      </c>
      <c r="AJ25" s="11" t="s">
        <v>1485</v>
      </c>
      <c r="AK25" s="11" t="s">
        <v>312</v>
      </c>
      <c r="AL25" s="11" t="s">
        <v>1485</v>
      </c>
      <c r="AM25" s="11" t="s">
        <v>1486</v>
      </c>
      <c r="AN25" s="164">
        <v>2.7994000000000002E-2</v>
      </c>
      <c r="AO25" s="164">
        <v>9.9999999999999995E-7</v>
      </c>
    </row>
    <row r="26" spans="1:41">
      <c r="A26" s="11" t="s">
        <v>256</v>
      </c>
      <c r="B26" s="11" t="s">
        <v>1537</v>
      </c>
      <c r="C26" s="12" t="s">
        <v>1237</v>
      </c>
      <c r="D26" s="11" t="s">
        <v>1541</v>
      </c>
      <c r="E26" s="12" t="s">
        <v>159</v>
      </c>
      <c r="F26" s="158">
        <v>3.76</v>
      </c>
      <c r="G26" s="158">
        <v>2373951.4</v>
      </c>
      <c r="H26" s="158">
        <v>531393.19999999995</v>
      </c>
      <c r="I26" s="158">
        <v>0.28704400000000002</v>
      </c>
      <c r="J26" s="158">
        <v>1.6559999999999999E-3</v>
      </c>
      <c r="K26" s="11" t="s">
        <v>1541</v>
      </c>
      <c r="L26" s="11" t="s">
        <v>159</v>
      </c>
      <c r="M26" s="158">
        <v>3.76</v>
      </c>
      <c r="N26" s="158">
        <v>-2373951.4</v>
      </c>
      <c r="O26" s="158">
        <v>-87317.88</v>
      </c>
      <c r="P26" s="158">
        <v>-2.7399999999999999E-4</v>
      </c>
      <c r="Q26" s="158">
        <v>0.17880599999999999</v>
      </c>
      <c r="R26" s="158">
        <v>1669.28</v>
      </c>
      <c r="S26" s="11" t="s">
        <v>154</v>
      </c>
      <c r="T26" s="18" t="s">
        <v>155</v>
      </c>
      <c r="U26" s="11" t="s">
        <v>937</v>
      </c>
      <c r="V26" s="11" t="s">
        <v>1118</v>
      </c>
      <c r="W26" s="11" t="s">
        <v>1131</v>
      </c>
      <c r="X26" s="11" t="s">
        <v>1491</v>
      </c>
      <c r="Y26" s="11" t="s">
        <v>312</v>
      </c>
      <c r="Z26" s="11" t="s">
        <v>1516</v>
      </c>
      <c r="AA26" s="11" t="s">
        <v>1514</v>
      </c>
      <c r="AB26" s="11" t="s">
        <v>1095</v>
      </c>
      <c r="AC26" s="11" t="s">
        <v>1098</v>
      </c>
      <c r="AD26" s="11" t="s">
        <v>530</v>
      </c>
      <c r="AE26" s="12" t="s">
        <v>1115</v>
      </c>
      <c r="AF26" s="12" t="s">
        <v>1106</v>
      </c>
      <c r="AG26" s="11" t="s">
        <v>1089</v>
      </c>
      <c r="AH26" s="161">
        <v>5.33E-2</v>
      </c>
      <c r="AI26" s="158">
        <v>9729.3089999999993</v>
      </c>
      <c r="AJ26" s="11" t="s">
        <v>1485</v>
      </c>
      <c r="AK26" s="11" t="s">
        <v>312</v>
      </c>
      <c r="AL26" s="11" t="s">
        <v>1485</v>
      </c>
      <c r="AM26" s="11" t="s">
        <v>1486</v>
      </c>
      <c r="AN26" s="164">
        <v>0.28969400000000001</v>
      </c>
      <c r="AO26" s="164">
        <v>5.0000000000000004E-6</v>
      </c>
    </row>
    <row r="27" spans="1:41">
      <c r="A27" s="11" t="s">
        <v>256</v>
      </c>
      <c r="B27" s="11" t="s">
        <v>1537</v>
      </c>
      <c r="C27" s="12" t="s">
        <v>1237</v>
      </c>
      <c r="D27" s="11" t="s">
        <v>1542</v>
      </c>
      <c r="E27" s="12" t="s">
        <v>1363</v>
      </c>
      <c r="F27" s="158">
        <v>2.4900000000000002</v>
      </c>
      <c r="G27" s="158">
        <v>616063.14</v>
      </c>
      <c r="H27" s="158">
        <v>82591.11</v>
      </c>
      <c r="I27" s="158">
        <v>4.4613E-2</v>
      </c>
      <c r="J27" s="158">
        <v>2.5700000000000001E-4</v>
      </c>
      <c r="K27" s="11" t="s">
        <v>1542</v>
      </c>
      <c r="L27" s="11" t="s">
        <v>1363</v>
      </c>
      <c r="M27" s="158">
        <v>2.4900000000000002</v>
      </c>
      <c r="N27" s="158">
        <v>-616063.14</v>
      </c>
      <c r="O27" s="158">
        <v>-17409.77</v>
      </c>
      <c r="P27" s="158">
        <v>-5.5000000000000002E-5</v>
      </c>
      <c r="Q27" s="158">
        <v>3.5651000000000002E-2</v>
      </c>
      <c r="R27" s="158">
        <v>162.5</v>
      </c>
      <c r="S27" s="11" t="s">
        <v>154</v>
      </c>
      <c r="T27" s="18" t="s">
        <v>402</v>
      </c>
      <c r="U27" s="11" t="s">
        <v>937</v>
      </c>
      <c r="V27" s="11" t="s">
        <v>1118</v>
      </c>
      <c r="W27" s="11" t="s">
        <v>1131</v>
      </c>
      <c r="X27" s="11" t="s">
        <v>1518</v>
      </c>
      <c r="Y27" s="11" t="s">
        <v>312</v>
      </c>
      <c r="Z27" s="11" t="s">
        <v>1519</v>
      </c>
      <c r="AA27" s="11" t="s">
        <v>1520</v>
      </c>
      <c r="AB27" s="11" t="s">
        <v>1095</v>
      </c>
      <c r="AC27" s="11" t="s">
        <v>1098</v>
      </c>
      <c r="AD27" s="11" t="s">
        <v>530</v>
      </c>
      <c r="AE27" s="11" t="s">
        <v>1115</v>
      </c>
      <c r="AF27" s="11" t="s">
        <v>758</v>
      </c>
      <c r="AG27" s="11" t="s">
        <v>1095</v>
      </c>
      <c r="AH27" s="161">
        <v>0</v>
      </c>
      <c r="AI27" s="158">
        <v>88009.02</v>
      </c>
      <c r="AJ27" s="11" t="s">
        <v>1485</v>
      </c>
      <c r="AK27" s="11" t="s">
        <v>312</v>
      </c>
      <c r="AL27" s="11" t="s">
        <v>1485</v>
      </c>
      <c r="AM27" s="11" t="s">
        <v>1486</v>
      </c>
      <c r="AN27" s="164">
        <v>2.8201E-2</v>
      </c>
      <c r="AO27" s="164">
        <v>9.9999999999999995E-7</v>
      </c>
    </row>
    <row r="28" spans="1:41">
      <c r="A28" s="11" t="s">
        <v>256</v>
      </c>
      <c r="B28" s="11" t="s">
        <v>1537</v>
      </c>
      <c r="C28" s="12" t="s">
        <v>1237</v>
      </c>
      <c r="D28" s="11" t="s">
        <v>1543</v>
      </c>
      <c r="E28" s="12" t="s">
        <v>159</v>
      </c>
      <c r="F28" s="158">
        <v>3.76</v>
      </c>
      <c r="G28" s="158">
        <v>2611040.04</v>
      </c>
      <c r="H28" s="158">
        <v>389561.76</v>
      </c>
      <c r="I28" s="158">
        <v>0.21043100000000001</v>
      </c>
      <c r="J28" s="158">
        <v>1.214E-3</v>
      </c>
      <c r="K28" s="11" t="s">
        <v>1543</v>
      </c>
      <c r="L28" s="11" t="s">
        <v>159</v>
      </c>
      <c r="M28" s="158">
        <v>3.76</v>
      </c>
      <c r="N28" s="158">
        <v>-2611040.04</v>
      </c>
      <c r="O28" s="158">
        <v>-72436.77</v>
      </c>
      <c r="P28" s="158">
        <v>-2.2699999999999999E-4</v>
      </c>
      <c r="Q28" s="158">
        <v>0.14833299999999999</v>
      </c>
      <c r="R28" s="158">
        <v>1192.07</v>
      </c>
      <c r="S28" s="11" t="s">
        <v>154</v>
      </c>
      <c r="T28" s="18" t="s">
        <v>155</v>
      </c>
      <c r="U28" s="11" t="s">
        <v>937</v>
      </c>
      <c r="V28" s="11" t="s">
        <v>1118</v>
      </c>
      <c r="W28" s="11" t="s">
        <v>1131</v>
      </c>
      <c r="X28" s="11" t="s">
        <v>1491</v>
      </c>
      <c r="Y28" s="11" t="s">
        <v>312</v>
      </c>
      <c r="Z28" s="11" t="s">
        <v>1492</v>
      </c>
      <c r="AA28" s="11" t="s">
        <v>1493</v>
      </c>
      <c r="AB28" s="11" t="s">
        <v>1095</v>
      </c>
      <c r="AC28" s="11" t="s">
        <v>1098</v>
      </c>
      <c r="AD28" s="11" t="s">
        <v>530</v>
      </c>
      <c r="AE28" s="11" t="s">
        <v>1115</v>
      </c>
      <c r="AF28" s="11" t="s">
        <v>1106</v>
      </c>
      <c r="AG28" s="11" t="s">
        <v>1089</v>
      </c>
      <c r="AH28" s="161">
        <v>5.33E-2</v>
      </c>
      <c r="AI28" s="158">
        <v>10361.27</v>
      </c>
      <c r="AJ28" s="11" t="s">
        <v>1485</v>
      </c>
      <c r="AK28" s="11" t="s">
        <v>312</v>
      </c>
      <c r="AL28" s="11" t="s">
        <v>1485</v>
      </c>
      <c r="AM28" s="11" t="s">
        <v>1486</v>
      </c>
      <c r="AN28" s="164">
        <v>0.20687700000000001</v>
      </c>
      <c r="AO28" s="164">
        <v>3.9999999999999998E-6</v>
      </c>
    </row>
    <row r="29" spans="1:41">
      <c r="A29" s="11" t="s">
        <v>256</v>
      </c>
      <c r="B29" s="11" t="s">
        <v>1537</v>
      </c>
      <c r="C29" s="12" t="s">
        <v>1237</v>
      </c>
      <c r="D29" s="11" t="s">
        <v>1544</v>
      </c>
      <c r="E29" s="12" t="s">
        <v>1363</v>
      </c>
      <c r="F29" s="158">
        <v>2.4900000000000002</v>
      </c>
      <c r="G29" s="158">
        <v>1103840.1000000001</v>
      </c>
      <c r="H29" s="158">
        <v>-5954.85</v>
      </c>
      <c r="I29" s="158">
        <v>-3.2169999999999998E-3</v>
      </c>
      <c r="J29" s="158">
        <v>-1.9000000000000001E-5</v>
      </c>
      <c r="K29" s="11" t="s">
        <v>1544</v>
      </c>
      <c r="L29" s="11" t="s">
        <v>1363</v>
      </c>
      <c r="M29" s="158">
        <v>2.4900000000000002</v>
      </c>
      <c r="N29" s="158">
        <v>-1103840.1000000001</v>
      </c>
      <c r="O29" s="158">
        <v>-2804.05</v>
      </c>
      <c r="P29" s="158">
        <v>-9.0000000000000002E-6</v>
      </c>
      <c r="Q29" s="158">
        <v>5.7419999999999997E-3</v>
      </c>
      <c r="R29" s="158">
        <v>-21.84</v>
      </c>
      <c r="S29" s="11" t="s">
        <v>154</v>
      </c>
      <c r="T29" s="18" t="s">
        <v>402</v>
      </c>
      <c r="U29" s="11" t="s">
        <v>937</v>
      </c>
      <c r="V29" s="11" t="s">
        <v>1118</v>
      </c>
      <c r="W29" s="11" t="s">
        <v>1131</v>
      </c>
      <c r="X29" s="11" t="s">
        <v>1518</v>
      </c>
      <c r="Y29" s="11" t="s">
        <v>312</v>
      </c>
      <c r="Z29" s="11" t="s">
        <v>1522</v>
      </c>
      <c r="AA29" s="11" t="s">
        <v>1523</v>
      </c>
      <c r="AB29" s="11" t="s">
        <v>1095</v>
      </c>
      <c r="AC29" s="11" t="s">
        <v>1098</v>
      </c>
      <c r="AD29" s="11" t="s">
        <v>530</v>
      </c>
      <c r="AE29" s="11" t="s">
        <v>1115</v>
      </c>
      <c r="AF29" s="11" t="s">
        <v>758</v>
      </c>
      <c r="AG29" s="11" t="s">
        <v>1095</v>
      </c>
      <c r="AH29" s="161">
        <v>0</v>
      </c>
      <c r="AI29" s="158">
        <v>100349.1</v>
      </c>
      <c r="AJ29" s="11" t="s">
        <v>1485</v>
      </c>
      <c r="AK29" s="11" t="s">
        <v>312</v>
      </c>
      <c r="AL29" s="11" t="s">
        <v>1485</v>
      </c>
      <c r="AM29" s="11" t="s">
        <v>1486</v>
      </c>
      <c r="AN29" s="164">
        <v>-3.79E-3</v>
      </c>
      <c r="AO29" s="164">
        <v>0</v>
      </c>
    </row>
    <row r="30" spans="1:41">
      <c r="A30" s="11" t="s">
        <v>256</v>
      </c>
      <c r="B30" s="11" t="s">
        <v>1537</v>
      </c>
      <c r="C30" s="12" t="s">
        <v>1237</v>
      </c>
      <c r="D30" s="11" t="s">
        <v>1545</v>
      </c>
      <c r="E30" s="12" t="s">
        <v>159</v>
      </c>
      <c r="F30" s="158">
        <v>3.76</v>
      </c>
      <c r="G30" s="158">
        <v>2425595.2400000002</v>
      </c>
      <c r="H30" s="158">
        <v>137374.47</v>
      </c>
      <c r="I30" s="158">
        <v>7.4205999999999994E-2</v>
      </c>
      <c r="J30" s="158">
        <v>4.28E-4</v>
      </c>
      <c r="K30" s="11" t="s">
        <v>1545</v>
      </c>
      <c r="L30" s="11" t="s">
        <v>159</v>
      </c>
      <c r="M30" s="158">
        <v>3.76</v>
      </c>
      <c r="N30" s="158">
        <v>-2425595.2400000002</v>
      </c>
      <c r="O30" s="158">
        <v>-54201.27</v>
      </c>
      <c r="P30" s="158">
        <v>-1.7000000000000001E-4</v>
      </c>
      <c r="Q30" s="158">
        <v>0.11099100000000001</v>
      </c>
      <c r="R30" s="158">
        <v>312.64999999999998</v>
      </c>
      <c r="S30" s="11" t="s">
        <v>154</v>
      </c>
      <c r="T30" s="18" t="s">
        <v>155</v>
      </c>
      <c r="U30" s="11" t="s">
        <v>937</v>
      </c>
      <c r="V30" s="11" t="s">
        <v>1118</v>
      </c>
      <c r="W30" s="11" t="s">
        <v>1131</v>
      </c>
      <c r="X30" s="11" t="s">
        <v>1526</v>
      </c>
      <c r="Y30" s="11" t="s">
        <v>312</v>
      </c>
      <c r="Z30" s="11" t="s">
        <v>1527</v>
      </c>
      <c r="AA30" s="11" t="s">
        <v>1528</v>
      </c>
      <c r="AB30" s="11" t="s">
        <v>1095</v>
      </c>
      <c r="AC30" s="11" t="s">
        <v>1098</v>
      </c>
      <c r="AD30" s="11" t="s">
        <v>530</v>
      </c>
      <c r="AE30" s="11" t="s">
        <v>1115</v>
      </c>
      <c r="AF30" s="11" t="s">
        <v>1106</v>
      </c>
      <c r="AG30" s="11" t="s">
        <v>1089</v>
      </c>
      <c r="AH30" s="161">
        <v>5.33E-2</v>
      </c>
      <c r="AI30" s="158">
        <v>10410.280000000001</v>
      </c>
      <c r="AJ30" s="11" t="s">
        <v>1485</v>
      </c>
      <c r="AK30" s="11" t="s">
        <v>312</v>
      </c>
      <c r="AL30" s="11" t="s">
        <v>1485</v>
      </c>
      <c r="AM30" s="11" t="s">
        <v>1486</v>
      </c>
      <c r="AN30" s="164">
        <v>5.4259000000000002E-2</v>
      </c>
      <c r="AO30" s="164">
        <v>9.9999999999999995E-7</v>
      </c>
    </row>
    <row r="31" spans="1:41">
      <c r="A31" s="11" t="s">
        <v>256</v>
      </c>
      <c r="B31" s="11" t="s">
        <v>1537</v>
      </c>
      <c r="C31" s="12" t="s">
        <v>1237</v>
      </c>
      <c r="D31" s="11" t="s">
        <v>1546</v>
      </c>
      <c r="E31" s="12" t="s">
        <v>169</v>
      </c>
      <c r="F31" s="158">
        <v>4.0199999999999996</v>
      </c>
      <c r="G31" s="158">
        <v>761818.53</v>
      </c>
      <c r="H31" s="158">
        <v>22305.82</v>
      </c>
      <c r="I31" s="158">
        <v>1.2049000000000001E-2</v>
      </c>
      <c r="J31" s="158">
        <v>6.9999999999999994E-5</v>
      </c>
      <c r="K31" s="11" t="s">
        <v>1546</v>
      </c>
      <c r="L31" s="11" t="s">
        <v>169</v>
      </c>
      <c r="M31" s="158">
        <v>4.0199999999999996</v>
      </c>
      <c r="N31" s="158">
        <v>-761818.53</v>
      </c>
      <c r="O31" s="158">
        <v>-10211.799999999999</v>
      </c>
      <c r="P31" s="158">
        <v>-3.1999999999999999E-5</v>
      </c>
      <c r="Q31" s="158">
        <v>2.0910999999999999E-2</v>
      </c>
      <c r="R31" s="158">
        <v>48.62</v>
      </c>
      <c r="S31" s="11" t="s">
        <v>154</v>
      </c>
      <c r="T31" s="18" t="s">
        <v>486</v>
      </c>
      <c r="U31" s="11" t="s">
        <v>937</v>
      </c>
      <c r="V31" s="11" t="s">
        <v>1118</v>
      </c>
      <c r="W31" s="11" t="s">
        <v>1131</v>
      </c>
      <c r="X31" s="11" t="s">
        <v>1530</v>
      </c>
      <c r="Y31" s="11" t="s">
        <v>312</v>
      </c>
      <c r="Z31" s="11" t="s">
        <v>1531</v>
      </c>
      <c r="AA31" s="11" t="s">
        <v>1532</v>
      </c>
      <c r="AB31" s="11" t="s">
        <v>1095</v>
      </c>
      <c r="AC31" s="11" t="s">
        <v>1098</v>
      </c>
      <c r="AD31" s="11" t="s">
        <v>530</v>
      </c>
      <c r="AE31" s="11" t="s">
        <v>1115</v>
      </c>
      <c r="AF31" s="11" t="s">
        <v>1105</v>
      </c>
      <c r="AG31" s="11" t="s">
        <v>1094</v>
      </c>
      <c r="AH31" s="161">
        <v>3.7220000000000003E-2</v>
      </c>
      <c r="AI31" s="158">
        <v>17716.71</v>
      </c>
      <c r="AJ31" s="11" t="s">
        <v>1485</v>
      </c>
      <c r="AK31" s="11" t="s">
        <v>312</v>
      </c>
      <c r="AL31" s="11" t="s">
        <v>1485</v>
      </c>
      <c r="AM31" s="11" t="s">
        <v>1486</v>
      </c>
      <c r="AN31" s="164">
        <v>8.4379999999999993E-3</v>
      </c>
      <c r="AO31" s="164">
        <v>0</v>
      </c>
    </row>
    <row r="32" spans="1:41">
      <c r="A32" s="11" t="s">
        <v>256</v>
      </c>
      <c r="B32" s="11" t="s">
        <v>1537</v>
      </c>
      <c r="C32" s="12" t="s">
        <v>1237</v>
      </c>
      <c r="D32" s="11" t="s">
        <v>1547</v>
      </c>
      <c r="E32" s="12" t="s">
        <v>159</v>
      </c>
      <c r="F32" s="158">
        <v>3.76</v>
      </c>
      <c r="G32" s="158">
        <v>1292477.22</v>
      </c>
      <c r="H32" s="158">
        <v>80985.399999999994</v>
      </c>
      <c r="I32" s="158">
        <v>4.3746E-2</v>
      </c>
      <c r="J32" s="158">
        <v>2.52E-4</v>
      </c>
      <c r="K32" s="11" t="s">
        <v>1547</v>
      </c>
      <c r="L32" s="11" t="s">
        <v>159</v>
      </c>
      <c r="M32" s="158">
        <v>3.76</v>
      </c>
      <c r="N32" s="158">
        <v>-1292477.22</v>
      </c>
      <c r="O32" s="158">
        <v>-5898.72</v>
      </c>
      <c r="P32" s="158">
        <v>-1.9000000000000001E-5</v>
      </c>
      <c r="Q32" s="158">
        <v>1.2078999999999999E-2</v>
      </c>
      <c r="R32" s="158">
        <v>282.25</v>
      </c>
      <c r="S32" s="11" t="s">
        <v>154</v>
      </c>
      <c r="T32" s="18" t="s">
        <v>155</v>
      </c>
      <c r="U32" s="11" t="s">
        <v>937</v>
      </c>
      <c r="V32" s="11" t="s">
        <v>1118</v>
      </c>
      <c r="W32" s="11" t="s">
        <v>1131</v>
      </c>
      <c r="X32" s="11" t="s">
        <v>1482</v>
      </c>
      <c r="Y32" s="11" t="s">
        <v>312</v>
      </c>
      <c r="Z32" s="11" t="s">
        <v>1483</v>
      </c>
      <c r="AA32" s="11" t="s">
        <v>1484</v>
      </c>
      <c r="AB32" s="11" t="s">
        <v>1092</v>
      </c>
      <c r="AC32" s="11" t="s">
        <v>1098</v>
      </c>
      <c r="AD32" s="11" t="s">
        <v>530</v>
      </c>
      <c r="AE32" s="11" t="s">
        <v>1115</v>
      </c>
      <c r="AF32" s="11" t="s">
        <v>1106</v>
      </c>
      <c r="AG32" s="11" t="s">
        <v>1089</v>
      </c>
      <c r="AH32" s="161">
        <v>5.33E-2</v>
      </c>
      <c r="AI32" s="158">
        <v>22284.09</v>
      </c>
      <c r="AJ32" s="11" t="s">
        <v>1485</v>
      </c>
      <c r="AK32" s="11" t="s">
        <v>312</v>
      </c>
      <c r="AL32" s="11" t="s">
        <v>1485</v>
      </c>
      <c r="AM32" s="11" t="s">
        <v>1486</v>
      </c>
      <c r="AN32" s="164">
        <v>4.8982999999999999E-2</v>
      </c>
      <c r="AO32" s="164">
        <v>9.9999999999999995E-7</v>
      </c>
    </row>
    <row r="33" spans="1:41">
      <c r="A33" s="11" t="s">
        <v>256</v>
      </c>
      <c r="B33" s="11" t="s">
        <v>1537</v>
      </c>
      <c r="C33" s="12" t="s">
        <v>1237</v>
      </c>
      <c r="D33" s="11" t="s">
        <v>1548</v>
      </c>
      <c r="E33" s="11" t="s">
        <v>159</v>
      </c>
      <c r="F33" s="158">
        <v>3.76</v>
      </c>
      <c r="G33" s="158">
        <v>1314761.31</v>
      </c>
      <c r="H33" s="158">
        <v>82381.7</v>
      </c>
      <c r="I33" s="158">
        <v>4.4499999999999998E-2</v>
      </c>
      <c r="J33" s="158">
        <v>2.5700000000000001E-4</v>
      </c>
      <c r="K33" s="11" t="s">
        <v>1548</v>
      </c>
      <c r="L33" s="11" t="s">
        <v>159</v>
      </c>
      <c r="M33" s="158">
        <v>3.76</v>
      </c>
      <c r="N33" s="158">
        <v>-1314761.31</v>
      </c>
      <c r="O33" s="158">
        <v>-6010.28</v>
      </c>
      <c r="P33" s="158">
        <v>-1.9000000000000001E-5</v>
      </c>
      <c r="Q33" s="158">
        <v>1.2307999999999999E-2</v>
      </c>
      <c r="R33" s="158">
        <v>287.08</v>
      </c>
      <c r="S33" s="11" t="s">
        <v>154</v>
      </c>
      <c r="T33" s="18" t="s">
        <v>155</v>
      </c>
      <c r="U33" s="11" t="s">
        <v>937</v>
      </c>
      <c r="V33" s="11" t="s">
        <v>1118</v>
      </c>
      <c r="W33" s="11" t="s">
        <v>1131</v>
      </c>
      <c r="X33" s="11" t="s">
        <v>1482</v>
      </c>
      <c r="Y33" s="11" t="s">
        <v>312</v>
      </c>
      <c r="Z33" s="11" t="s">
        <v>1483</v>
      </c>
      <c r="AA33" s="11" t="s">
        <v>1488</v>
      </c>
      <c r="AB33" s="11" t="s">
        <v>1095</v>
      </c>
      <c r="AC33" s="11" t="s">
        <v>1098</v>
      </c>
      <c r="AD33" s="11" t="s">
        <v>530</v>
      </c>
      <c r="AE33" s="11" t="s">
        <v>1115</v>
      </c>
      <c r="AF33" s="11" t="s">
        <v>1106</v>
      </c>
      <c r="AG33" s="11" t="s">
        <v>1089</v>
      </c>
      <c r="AH33" s="161">
        <v>5.33E-2</v>
      </c>
      <c r="AI33" s="158">
        <v>22284.09</v>
      </c>
      <c r="AJ33" s="11" t="s">
        <v>1485</v>
      </c>
      <c r="AK33" s="11" t="s">
        <v>312</v>
      </c>
      <c r="AL33" s="11" t="s">
        <v>1485</v>
      </c>
      <c r="AM33" s="11" t="s">
        <v>1486</v>
      </c>
      <c r="AN33" s="164">
        <v>4.9820999999999997E-2</v>
      </c>
      <c r="AO33" s="164">
        <v>9.9999999999999995E-7</v>
      </c>
    </row>
    <row r="34" spans="1:41">
      <c r="A34" s="11" t="s">
        <v>256</v>
      </c>
      <c r="B34" s="11" t="s">
        <v>1537</v>
      </c>
      <c r="C34" s="12" t="s">
        <v>1237</v>
      </c>
      <c r="D34" s="11" t="s">
        <v>1549</v>
      </c>
      <c r="E34" s="11" t="s">
        <v>159</v>
      </c>
      <c r="F34" s="158">
        <v>3.76</v>
      </c>
      <c r="G34" s="158">
        <v>2682114.64</v>
      </c>
      <c r="H34" s="158">
        <v>56529.86</v>
      </c>
      <c r="I34" s="158">
        <v>3.0536000000000001E-2</v>
      </c>
      <c r="J34" s="158">
        <v>1.76E-4</v>
      </c>
      <c r="K34" s="11" t="s">
        <v>1549</v>
      </c>
      <c r="L34" s="11" t="s">
        <v>159</v>
      </c>
      <c r="M34" s="158">
        <v>3.76</v>
      </c>
      <c r="N34" s="158">
        <v>-2682114.64</v>
      </c>
      <c r="O34" s="158">
        <v>-10440.129999999999</v>
      </c>
      <c r="P34" s="158">
        <v>-3.3000000000000003E-5</v>
      </c>
      <c r="Q34" s="158">
        <v>2.1378999999999999E-2</v>
      </c>
      <c r="R34" s="158">
        <v>173.25</v>
      </c>
      <c r="S34" s="11" t="s">
        <v>154</v>
      </c>
      <c r="T34" s="18" t="s">
        <v>155</v>
      </c>
      <c r="U34" s="11" t="s">
        <v>937</v>
      </c>
      <c r="V34" s="11" t="s">
        <v>1118</v>
      </c>
      <c r="W34" s="11" t="s">
        <v>1131</v>
      </c>
      <c r="X34" s="11" t="s">
        <v>1491</v>
      </c>
      <c r="Y34" s="11" t="s">
        <v>312</v>
      </c>
      <c r="Z34" s="11" t="s">
        <v>1522</v>
      </c>
      <c r="AA34" s="11" t="s">
        <v>1536</v>
      </c>
      <c r="AB34" s="11" t="s">
        <v>1095</v>
      </c>
      <c r="AC34" s="11" t="s">
        <v>1098</v>
      </c>
      <c r="AD34" s="11" t="s">
        <v>530</v>
      </c>
      <c r="AE34" s="11" t="s">
        <v>1115</v>
      </c>
      <c r="AF34" s="11" t="s">
        <v>1106</v>
      </c>
      <c r="AG34" s="11" t="s">
        <v>1089</v>
      </c>
      <c r="AH34" s="161">
        <v>5.33E-2</v>
      </c>
      <c r="AI34" s="158">
        <v>11661.368</v>
      </c>
      <c r="AJ34" s="11" t="s">
        <v>1485</v>
      </c>
      <c r="AK34" s="11" t="s">
        <v>312</v>
      </c>
      <c r="AL34" s="11" t="s">
        <v>1485</v>
      </c>
      <c r="AM34" s="11" t="s">
        <v>1486</v>
      </c>
      <c r="AN34" s="164">
        <v>3.0067E-2</v>
      </c>
      <c r="AO34" s="164">
        <v>9.9999999999999995E-7</v>
      </c>
    </row>
    <row r="35" spans="1:41">
      <c r="A35" s="11" t="s">
        <v>256</v>
      </c>
      <c r="B35" s="11" t="s">
        <v>1537</v>
      </c>
      <c r="C35" s="12" t="s">
        <v>1237</v>
      </c>
      <c r="D35" s="11" t="s">
        <v>1550</v>
      </c>
      <c r="E35" s="11" t="s">
        <v>1364</v>
      </c>
      <c r="F35" s="158">
        <v>0.48</v>
      </c>
      <c r="G35" s="158">
        <v>2423520.84</v>
      </c>
      <c r="H35" s="158">
        <v>-94661.58</v>
      </c>
      <c r="I35" s="158">
        <v>-5.1133999999999999E-2</v>
      </c>
      <c r="J35" s="158">
        <v>-2.9500000000000001E-4</v>
      </c>
      <c r="K35" s="11" t="s">
        <v>1550</v>
      </c>
      <c r="L35" s="11" t="s">
        <v>1364</v>
      </c>
      <c r="M35" s="158">
        <v>0.48</v>
      </c>
      <c r="N35" s="158">
        <v>-2423520.84</v>
      </c>
      <c r="O35" s="158">
        <v>-121132.88</v>
      </c>
      <c r="P35" s="158">
        <v>-3.8000000000000002E-4</v>
      </c>
      <c r="Q35" s="158">
        <v>0.24805099999999999</v>
      </c>
      <c r="R35" s="158">
        <v>-103.89</v>
      </c>
      <c r="S35" s="11" t="s">
        <v>154</v>
      </c>
      <c r="T35" s="11" t="s">
        <v>439</v>
      </c>
      <c r="U35" s="11" t="s">
        <v>937</v>
      </c>
      <c r="V35" s="11" t="s">
        <v>1118</v>
      </c>
      <c r="W35" s="11" t="s">
        <v>1131</v>
      </c>
      <c r="X35" s="11" t="s">
        <v>1502</v>
      </c>
      <c r="Y35" s="11" t="s">
        <v>312</v>
      </c>
      <c r="Z35" s="11" t="s">
        <v>1503</v>
      </c>
      <c r="AA35" s="11" t="s">
        <v>1504</v>
      </c>
      <c r="AB35" s="11" t="s">
        <v>1095</v>
      </c>
      <c r="AC35" s="11" t="s">
        <v>1098</v>
      </c>
      <c r="AD35" s="11" t="s">
        <v>530</v>
      </c>
      <c r="AE35" s="11" t="s">
        <v>1115</v>
      </c>
      <c r="AF35" s="11" t="s">
        <v>758</v>
      </c>
      <c r="AG35" s="11" t="s">
        <v>1095</v>
      </c>
      <c r="AH35" s="161">
        <v>0</v>
      </c>
      <c r="AI35" s="158">
        <v>62141.56</v>
      </c>
      <c r="AJ35" s="11" t="s">
        <v>1485</v>
      </c>
      <c r="AK35" s="11" t="s">
        <v>312</v>
      </c>
      <c r="AL35" s="11" t="s">
        <v>1485</v>
      </c>
      <c r="AM35" s="11" t="s">
        <v>1486</v>
      </c>
      <c r="AN35" s="164">
        <v>-1.8030000000000001E-2</v>
      </c>
      <c r="AO35" s="164">
        <v>0</v>
      </c>
    </row>
    <row r="36" spans="1:41">
      <c r="C36" s="12"/>
    </row>
    <row r="37" spans="1:41">
      <c r="C37" s="12"/>
    </row>
    <row r="38" spans="1:41">
      <c r="C38" s="12"/>
    </row>
    <row r="39" spans="1:41">
      <c r="C39" s="12"/>
    </row>
    <row r="40" spans="1:41">
      <c r="C40" s="12"/>
    </row>
    <row r="41" spans="1:41">
      <c r="C41" s="12"/>
    </row>
    <row r="42" spans="1:41">
      <c r="C42" s="12"/>
    </row>
    <row r="43" spans="1:41">
      <c r="C43" s="12"/>
    </row>
    <row r="44" spans="1:41">
      <c r="C44" s="12"/>
    </row>
    <row r="45" spans="1:41">
      <c r="C45" s="12"/>
    </row>
    <row r="46" spans="1:41">
      <c r="C46" s="12"/>
    </row>
    <row r="47" spans="1:41">
      <c r="C47" s="12"/>
    </row>
    <row r="48" spans="1:41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/>
  </sheetViews>
  <sheetFormatPr defaultColWidth="9" defaultRowHeight="14.4"/>
  <cols>
    <col min="1" max="21" width="11.6640625" style="2" customWidth="1"/>
    <col min="22" max="22" width="11.6640625" style="144" customWidth="1"/>
    <col min="23" max="27" width="11.6640625" style="2" customWidth="1"/>
    <col min="28" max="28" width="11.6640625" style="4" customWidth="1"/>
    <col min="29" max="41" width="11.6640625" style="2" customWidth="1"/>
    <col min="42" max="42" width="11.6640625" style="144" customWidth="1"/>
    <col min="43" max="49" width="11.6640625" style="2" customWidth="1"/>
    <col min="50" max="50" width="11.6640625" style="4" customWidth="1"/>
    <col min="51" max="53" width="11.6640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293</v>
      </c>
      <c r="D1" s="19" t="s">
        <v>294</v>
      </c>
      <c r="E1" s="19" t="s">
        <v>295</v>
      </c>
      <c r="F1" s="19" t="s">
        <v>296</v>
      </c>
      <c r="G1" s="19" t="s">
        <v>5</v>
      </c>
      <c r="H1" s="19" t="s">
        <v>1343</v>
      </c>
      <c r="I1" s="19" t="s">
        <v>6</v>
      </c>
      <c r="J1" s="19" t="s">
        <v>7</v>
      </c>
      <c r="K1" s="19" t="s">
        <v>322</v>
      </c>
      <c r="L1" s="19" t="s">
        <v>298</v>
      </c>
      <c r="M1" s="19" t="s">
        <v>1344</v>
      </c>
      <c r="N1" s="19" t="s">
        <v>1345</v>
      </c>
      <c r="O1" s="19" t="s">
        <v>1346</v>
      </c>
      <c r="P1" s="19" t="s">
        <v>9</v>
      </c>
      <c r="Q1" s="19" t="s">
        <v>10</v>
      </c>
      <c r="R1" s="19" t="s">
        <v>299</v>
      </c>
      <c r="S1" s="19" t="s">
        <v>11</v>
      </c>
      <c r="T1" s="19" t="s">
        <v>12</v>
      </c>
      <c r="U1" s="19" t="s">
        <v>300</v>
      </c>
      <c r="V1" s="159" t="s">
        <v>14</v>
      </c>
      <c r="W1" s="19" t="s">
        <v>943</v>
      </c>
      <c r="X1" s="19" t="s">
        <v>1099</v>
      </c>
      <c r="Y1" s="172" t="s">
        <v>1348</v>
      </c>
      <c r="Z1" s="163" t="s">
        <v>15</v>
      </c>
      <c r="AA1" s="19" t="s">
        <v>13</v>
      </c>
      <c r="AB1" s="19" t="s">
        <v>600</v>
      </c>
      <c r="AC1" s="19" t="s">
        <v>947</v>
      </c>
      <c r="AD1" s="172" t="s">
        <v>1349</v>
      </c>
      <c r="AE1" s="172" t="s">
        <v>1350</v>
      </c>
      <c r="AF1" s="19" t="s">
        <v>1351</v>
      </c>
      <c r="AG1" s="19" t="s">
        <v>970</v>
      </c>
      <c r="AH1" s="19" t="s">
        <v>971</v>
      </c>
      <c r="AI1" s="19" t="s">
        <v>1352</v>
      </c>
      <c r="AJ1" s="19" t="s">
        <v>977</v>
      </c>
      <c r="AK1" s="19" t="s">
        <v>323</v>
      </c>
      <c r="AL1" s="19" t="s">
        <v>336</v>
      </c>
      <c r="AM1" s="19" t="s">
        <v>324</v>
      </c>
      <c r="AN1" s="19" t="s">
        <v>307</v>
      </c>
      <c r="AO1" s="19" t="s">
        <v>325</v>
      </c>
      <c r="AP1" s="159" t="s">
        <v>1353</v>
      </c>
      <c r="AQ1" s="19" t="s">
        <v>1354</v>
      </c>
      <c r="AR1" s="19" t="s">
        <v>1355</v>
      </c>
      <c r="AS1" s="19" t="s">
        <v>18</v>
      </c>
      <c r="AT1" s="19" t="s">
        <v>20</v>
      </c>
      <c r="AU1" s="19" t="s">
        <v>337</v>
      </c>
      <c r="AV1" s="19" t="s">
        <v>21</v>
      </c>
      <c r="AW1" s="19" t="s">
        <v>338</v>
      </c>
      <c r="AX1" s="19" t="s">
        <v>1020</v>
      </c>
      <c r="AY1" s="19" t="s">
        <v>22</v>
      </c>
      <c r="AZ1" s="163" t="s">
        <v>24</v>
      </c>
      <c r="BA1" s="163" t="s">
        <v>25</v>
      </c>
    </row>
    <row r="2" spans="1:53">
      <c r="A2" s="2" t="s">
        <v>256</v>
      </c>
      <c r="B2" s="2">
        <v>7205</v>
      </c>
      <c r="C2" s="20" t="s">
        <v>1551</v>
      </c>
      <c r="D2" s="20" t="s">
        <v>1552</v>
      </c>
      <c r="E2" s="20" t="s">
        <v>1553</v>
      </c>
      <c r="F2" s="20" t="s">
        <v>1554</v>
      </c>
      <c r="G2" s="20" t="s">
        <v>1226</v>
      </c>
      <c r="H2" s="2" t="s">
        <v>1555</v>
      </c>
      <c r="I2" s="18" t="s">
        <v>31</v>
      </c>
      <c r="J2" s="18"/>
      <c r="K2" s="20" t="s">
        <v>667</v>
      </c>
      <c r="L2" s="20" t="s">
        <v>312</v>
      </c>
      <c r="M2" s="20" t="s">
        <v>312</v>
      </c>
      <c r="N2" s="20"/>
      <c r="O2" s="20" t="s">
        <v>341</v>
      </c>
      <c r="P2" s="20"/>
      <c r="Q2" s="20"/>
      <c r="R2" s="20" t="s">
        <v>597</v>
      </c>
      <c r="S2" s="18" t="s">
        <v>35</v>
      </c>
      <c r="T2" s="152">
        <v>0</v>
      </c>
      <c r="U2" s="20" t="s">
        <v>342</v>
      </c>
      <c r="V2" s="169">
        <v>0</v>
      </c>
      <c r="W2" s="20" t="s">
        <v>946</v>
      </c>
      <c r="X2" s="20" t="s">
        <v>1557</v>
      </c>
      <c r="Y2" s="173">
        <v>0</v>
      </c>
      <c r="Z2" s="170">
        <v>0</v>
      </c>
      <c r="AA2" s="20"/>
      <c r="AB2" s="18" t="s">
        <v>602</v>
      </c>
      <c r="AC2" s="20" t="s">
        <v>952</v>
      </c>
      <c r="AD2" s="20"/>
      <c r="AE2" s="20"/>
      <c r="AF2" s="20"/>
      <c r="AG2" s="20" t="s">
        <v>312</v>
      </c>
      <c r="AH2" s="20"/>
      <c r="AJ2" s="2" t="s">
        <v>312</v>
      </c>
      <c r="AK2" s="20" t="s">
        <v>342</v>
      </c>
      <c r="AL2" s="20"/>
      <c r="AM2" s="20" t="s">
        <v>1086</v>
      </c>
      <c r="AN2" s="2" t="s">
        <v>1558</v>
      </c>
      <c r="AQ2" s="149">
        <v>5462533.2599999998</v>
      </c>
      <c r="AR2" s="152">
        <v>101.73699999999999</v>
      </c>
      <c r="AS2" s="152">
        <v>1</v>
      </c>
      <c r="AT2" s="152">
        <v>5557.44</v>
      </c>
      <c r="AU2" s="156">
        <v>5557.44</v>
      </c>
      <c r="AV2" s="27"/>
      <c r="AW2" s="27"/>
      <c r="AX2" s="18" t="s">
        <v>312</v>
      </c>
      <c r="AY2" s="20" t="s">
        <v>37</v>
      </c>
      <c r="AZ2" s="170">
        <v>1</v>
      </c>
      <c r="BA2" s="170">
        <v>3.02154101533694E-3</v>
      </c>
    </row>
    <row r="3" spans="1:53">
      <c r="C3" s="20"/>
      <c r="D3" s="20"/>
      <c r="E3" s="20"/>
      <c r="F3" s="20"/>
      <c r="G3" s="20"/>
      <c r="I3" s="18"/>
      <c r="J3" s="18"/>
      <c r="K3" s="20"/>
      <c r="L3" s="20"/>
      <c r="M3" s="20"/>
      <c r="N3" s="20"/>
      <c r="O3" s="20"/>
      <c r="P3" s="20"/>
      <c r="Q3" s="20"/>
      <c r="R3" s="20"/>
      <c r="S3" s="18"/>
      <c r="T3" s="20"/>
      <c r="U3" s="20"/>
      <c r="V3" s="147"/>
      <c r="W3" s="20"/>
      <c r="X3" s="20"/>
      <c r="Y3" s="20"/>
      <c r="Z3" s="20"/>
      <c r="AA3" s="20"/>
      <c r="AB3" s="18"/>
      <c r="AC3" s="20"/>
      <c r="AD3" s="20"/>
      <c r="AE3" s="20"/>
      <c r="AF3" s="20"/>
      <c r="AG3" s="20"/>
      <c r="AH3" s="20"/>
      <c r="AK3" s="20"/>
      <c r="AL3" s="20"/>
      <c r="AM3" s="20"/>
      <c r="AR3" s="20"/>
      <c r="AS3" s="20"/>
      <c r="AT3" s="20"/>
      <c r="AU3" s="20"/>
      <c r="AV3" s="20"/>
      <c r="AW3" s="20"/>
      <c r="AX3" s="18"/>
      <c r="AY3" s="20"/>
      <c r="AZ3" s="20"/>
      <c r="BA3" s="20"/>
    </row>
    <row r="4" spans="1:53">
      <c r="C4" s="20"/>
      <c r="D4" s="20"/>
      <c r="E4" s="20"/>
      <c r="F4" s="20"/>
      <c r="G4" s="20"/>
      <c r="I4" s="18"/>
      <c r="J4" s="18"/>
      <c r="K4" s="20"/>
      <c r="L4" s="20"/>
      <c r="M4" s="20"/>
      <c r="N4" s="20"/>
      <c r="O4" s="20"/>
      <c r="P4" s="20"/>
      <c r="Q4" s="20"/>
      <c r="R4" s="20"/>
      <c r="S4" s="18"/>
      <c r="T4" s="20"/>
      <c r="U4" s="20"/>
      <c r="V4" s="147"/>
      <c r="W4" s="20"/>
      <c r="X4" s="20"/>
      <c r="Y4" s="20"/>
      <c r="Z4" s="20"/>
      <c r="AA4" s="20"/>
      <c r="AB4" s="18"/>
      <c r="AC4" s="20"/>
      <c r="AD4" s="20"/>
      <c r="AE4" s="20"/>
      <c r="AF4" s="20"/>
      <c r="AG4" s="20"/>
      <c r="AH4" s="20"/>
      <c r="AK4" s="20"/>
      <c r="AL4" s="20"/>
      <c r="AM4" s="20"/>
      <c r="AR4" s="20"/>
      <c r="AS4" s="20"/>
      <c r="AT4" s="20"/>
      <c r="AU4" s="27"/>
      <c r="AV4" s="27"/>
      <c r="AW4" s="27"/>
      <c r="AX4" s="18"/>
      <c r="AY4" s="20"/>
      <c r="AZ4" s="20"/>
      <c r="BA4" s="20"/>
    </row>
    <row r="5" spans="1:53">
      <c r="C5" s="20"/>
      <c r="D5" s="20"/>
      <c r="E5" s="20"/>
      <c r="F5" s="20"/>
      <c r="G5" s="20"/>
      <c r="I5" s="18"/>
      <c r="J5" s="18"/>
      <c r="K5" s="20"/>
      <c r="L5" s="20"/>
      <c r="M5" s="20"/>
      <c r="N5" s="20"/>
      <c r="O5" s="20"/>
      <c r="P5" s="20"/>
      <c r="Q5" s="20"/>
      <c r="R5" s="20"/>
      <c r="S5" s="18"/>
      <c r="T5" s="20"/>
      <c r="U5" s="20"/>
      <c r="V5" s="147"/>
      <c r="W5" s="20"/>
      <c r="X5" s="20"/>
      <c r="Y5" s="20"/>
      <c r="Z5" s="20"/>
      <c r="AA5" s="20"/>
      <c r="AB5" s="18"/>
      <c r="AC5" s="20"/>
      <c r="AD5" s="20"/>
      <c r="AE5" s="20"/>
      <c r="AF5" s="20"/>
      <c r="AG5" s="20"/>
      <c r="AH5" s="20"/>
      <c r="AK5" s="20"/>
      <c r="AL5" s="20"/>
      <c r="AM5" s="20"/>
      <c r="AR5" s="20"/>
      <c r="AS5" s="20"/>
      <c r="AT5" s="20"/>
      <c r="AU5" s="27"/>
      <c r="AV5" s="27"/>
      <c r="AW5" s="27"/>
      <c r="AX5" s="18"/>
      <c r="AY5" s="20"/>
      <c r="AZ5" s="20"/>
      <c r="BA5" s="20"/>
    </row>
    <row r="6" spans="1:53">
      <c r="C6" s="20"/>
      <c r="D6" s="20"/>
      <c r="E6" s="20"/>
      <c r="F6" s="20"/>
      <c r="G6" s="20"/>
      <c r="I6" s="18"/>
      <c r="J6" s="18"/>
      <c r="K6" s="20"/>
      <c r="L6" s="20"/>
      <c r="M6" s="20"/>
      <c r="N6" s="20"/>
      <c r="O6" s="20"/>
      <c r="P6" s="20"/>
      <c r="Q6" s="20"/>
      <c r="R6" s="20"/>
      <c r="S6" s="18"/>
      <c r="T6" s="20"/>
      <c r="U6" s="20"/>
      <c r="V6" s="147"/>
      <c r="W6" s="20"/>
      <c r="X6" s="20"/>
      <c r="Y6" s="20"/>
      <c r="Z6" s="20"/>
      <c r="AA6" s="20"/>
      <c r="AB6" s="18"/>
      <c r="AC6" s="20"/>
      <c r="AD6" s="20"/>
      <c r="AE6" s="20"/>
      <c r="AF6" s="20"/>
      <c r="AG6" s="20"/>
      <c r="AH6" s="20"/>
      <c r="AK6" s="20"/>
      <c r="AL6" s="20"/>
      <c r="AM6" s="20"/>
      <c r="AR6" s="20"/>
      <c r="AS6" s="20"/>
      <c r="AT6" s="20"/>
      <c r="AU6" s="27"/>
      <c r="AV6" s="27"/>
      <c r="AW6" s="27"/>
      <c r="AX6" s="18"/>
      <c r="AY6" s="20"/>
      <c r="AZ6" s="20"/>
      <c r="BA6" s="20"/>
    </row>
    <row r="7" spans="1:53">
      <c r="C7" s="20"/>
      <c r="D7" s="20"/>
      <c r="E7" s="20"/>
      <c r="F7" s="20"/>
      <c r="G7" s="20"/>
      <c r="I7" s="18"/>
      <c r="J7" s="18"/>
      <c r="K7" s="20"/>
      <c r="L7" s="20"/>
      <c r="M7" s="20"/>
      <c r="N7" s="20"/>
      <c r="O7" s="20"/>
      <c r="P7" s="20"/>
      <c r="Q7" s="20"/>
      <c r="R7" s="20"/>
      <c r="S7" s="18"/>
      <c r="T7" s="20"/>
      <c r="U7" s="20"/>
      <c r="V7" s="147"/>
      <c r="W7" s="20"/>
      <c r="X7" s="20"/>
      <c r="Y7" s="20"/>
      <c r="Z7" s="20"/>
      <c r="AA7" s="20"/>
      <c r="AB7" s="18"/>
      <c r="AC7" s="20"/>
      <c r="AD7" s="20"/>
      <c r="AE7" s="20"/>
      <c r="AF7" s="20"/>
      <c r="AG7" s="20"/>
      <c r="AH7" s="20"/>
      <c r="AK7" s="20"/>
      <c r="AL7" s="20"/>
      <c r="AM7" s="20"/>
      <c r="AR7" s="20"/>
      <c r="AS7" s="20"/>
      <c r="AT7" s="20"/>
      <c r="AU7" s="27"/>
      <c r="AV7" s="27"/>
      <c r="AW7" s="27"/>
      <c r="AX7" s="18"/>
      <c r="AY7" s="20"/>
      <c r="AZ7" s="20"/>
      <c r="BA7" s="20"/>
    </row>
    <row r="8" spans="1:53">
      <c r="C8" s="20"/>
      <c r="D8" s="20"/>
      <c r="E8" s="20"/>
      <c r="F8" s="20"/>
      <c r="G8" s="20"/>
      <c r="I8" s="18"/>
      <c r="J8" s="18"/>
      <c r="K8" s="20"/>
      <c r="L8" s="20"/>
      <c r="M8" s="20"/>
      <c r="N8" s="20"/>
      <c r="O8" s="20"/>
      <c r="P8" s="20"/>
      <c r="Q8" s="20"/>
      <c r="R8" s="20"/>
      <c r="S8" s="18"/>
      <c r="T8" s="20"/>
      <c r="U8" s="20"/>
      <c r="V8" s="147"/>
      <c r="W8" s="20"/>
      <c r="X8" s="20"/>
      <c r="Y8" s="20"/>
      <c r="Z8" s="20"/>
      <c r="AA8" s="20"/>
      <c r="AB8" s="18"/>
      <c r="AC8" s="20"/>
      <c r="AD8" s="20"/>
      <c r="AE8" s="20"/>
      <c r="AF8" s="20"/>
      <c r="AG8" s="20"/>
      <c r="AH8" s="20"/>
      <c r="AK8" s="20"/>
      <c r="AL8" s="20"/>
      <c r="AM8" s="20"/>
      <c r="AR8" s="20"/>
      <c r="AS8" s="20"/>
      <c r="AT8" s="20"/>
      <c r="AU8" s="20"/>
      <c r="AV8" s="20"/>
      <c r="AW8" s="20"/>
      <c r="AX8" s="18"/>
      <c r="AY8" s="20"/>
      <c r="AZ8" s="20"/>
      <c r="BA8" s="20"/>
    </row>
    <row r="9" spans="1:53">
      <c r="C9" s="20"/>
      <c r="D9" s="20"/>
      <c r="E9" s="20"/>
      <c r="F9" s="20"/>
      <c r="G9" s="20"/>
      <c r="I9" s="18"/>
      <c r="J9" s="18"/>
      <c r="K9" s="20"/>
      <c r="L9" s="20"/>
      <c r="M9" s="20"/>
      <c r="N9" s="20"/>
      <c r="O9" s="20"/>
      <c r="P9" s="20"/>
      <c r="Q9" s="20"/>
      <c r="R9" s="20"/>
      <c r="S9" s="18"/>
      <c r="T9" s="20"/>
      <c r="U9" s="20"/>
      <c r="V9" s="147"/>
      <c r="W9" s="20"/>
      <c r="X9" s="20"/>
      <c r="Y9" s="20"/>
      <c r="Z9" s="20"/>
      <c r="AA9" s="20"/>
      <c r="AB9" s="18"/>
      <c r="AC9" s="20"/>
      <c r="AD9" s="20"/>
      <c r="AE9" s="20"/>
      <c r="AF9" s="20"/>
      <c r="AG9" s="20"/>
      <c r="AH9" s="20"/>
      <c r="AK9" s="20"/>
      <c r="AL9" s="20"/>
      <c r="AM9" s="20"/>
      <c r="AR9" s="20"/>
      <c r="AS9" s="20"/>
      <c r="AT9" s="20"/>
      <c r="AU9" s="27"/>
      <c r="AV9" s="27"/>
      <c r="AW9" s="27"/>
      <c r="AX9" s="18"/>
      <c r="AY9" s="20"/>
      <c r="AZ9" s="20"/>
      <c r="BA9" s="20"/>
    </row>
    <row r="10" spans="1:53">
      <c r="C10" s="20"/>
      <c r="D10" s="20"/>
      <c r="E10" s="20"/>
      <c r="F10" s="20"/>
      <c r="G10" s="20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8"/>
      <c r="T10" s="20"/>
      <c r="U10" s="20"/>
      <c r="V10" s="147"/>
      <c r="W10" s="20"/>
      <c r="X10" s="20"/>
      <c r="Y10" s="20"/>
      <c r="Z10" s="20"/>
      <c r="AA10" s="20"/>
      <c r="AB10" s="18"/>
      <c r="AC10" s="20"/>
      <c r="AD10" s="20"/>
      <c r="AE10" s="20"/>
      <c r="AF10" s="20"/>
      <c r="AG10" s="20"/>
      <c r="AH10" s="20"/>
      <c r="AK10" s="20"/>
      <c r="AL10" s="20"/>
      <c r="AM10" s="20"/>
      <c r="AR10" s="20"/>
      <c r="AS10" s="20"/>
      <c r="AT10" s="20"/>
      <c r="AU10" s="20"/>
      <c r="AV10" s="20"/>
      <c r="AW10" s="20"/>
      <c r="AX10" s="18"/>
      <c r="AY10" s="20"/>
      <c r="AZ10" s="20"/>
      <c r="BA10" s="20"/>
    </row>
    <row r="11" spans="1:53">
      <c r="C11" s="20"/>
      <c r="D11" s="20"/>
      <c r="E11" s="20"/>
      <c r="F11" s="20"/>
      <c r="G11" s="20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8"/>
      <c r="T11" s="20"/>
      <c r="U11" s="20"/>
      <c r="V11" s="147"/>
      <c r="W11" s="20"/>
      <c r="X11" s="20"/>
      <c r="Y11" s="20"/>
      <c r="Z11" s="20"/>
      <c r="AA11" s="20"/>
      <c r="AB11" s="18"/>
      <c r="AC11" s="20"/>
      <c r="AD11" s="20"/>
      <c r="AE11" s="20"/>
      <c r="AF11" s="20"/>
      <c r="AG11" s="20"/>
      <c r="AH11" s="20"/>
      <c r="AK11" s="20"/>
      <c r="AL11" s="20"/>
      <c r="AM11" s="20"/>
      <c r="AR11" s="20"/>
      <c r="AS11" s="20"/>
      <c r="AT11" s="20"/>
      <c r="AU11" s="20"/>
      <c r="AV11" s="20"/>
      <c r="AW11" s="20"/>
      <c r="AX11" s="18"/>
      <c r="AY11" s="20"/>
      <c r="AZ11" s="20"/>
      <c r="BA11" s="20"/>
    </row>
    <row r="12" spans="1:53">
      <c r="C12" s="20"/>
      <c r="D12" s="20"/>
      <c r="E12" s="20"/>
      <c r="F12" s="20"/>
      <c r="G12" s="20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8"/>
      <c r="T12" s="20"/>
      <c r="U12" s="20"/>
      <c r="V12" s="147"/>
      <c r="W12" s="20"/>
      <c r="X12" s="20"/>
      <c r="Y12" s="20"/>
      <c r="Z12" s="20"/>
      <c r="AA12" s="20"/>
      <c r="AB12" s="18"/>
      <c r="AC12" s="20"/>
      <c r="AD12" s="20"/>
      <c r="AE12" s="20"/>
      <c r="AF12" s="20"/>
      <c r="AG12" s="20"/>
      <c r="AH12" s="20"/>
      <c r="AK12" s="20"/>
      <c r="AL12" s="20"/>
      <c r="AM12" s="20"/>
      <c r="AR12" s="20"/>
      <c r="AS12" s="20"/>
      <c r="AT12" s="20"/>
      <c r="AU12" s="20"/>
      <c r="AV12" s="20"/>
      <c r="AW12" s="20"/>
      <c r="AX12" s="18"/>
      <c r="AY12" s="20"/>
      <c r="AZ12" s="20"/>
      <c r="BA12" s="20"/>
    </row>
    <row r="13" spans="1:53">
      <c r="C13" s="20"/>
      <c r="D13" s="20"/>
      <c r="E13" s="20"/>
      <c r="F13" s="20"/>
      <c r="G13" s="20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18"/>
      <c r="T13" s="20"/>
      <c r="U13" s="20"/>
      <c r="V13" s="147"/>
      <c r="W13" s="20"/>
      <c r="X13" s="20"/>
      <c r="Y13" s="20"/>
      <c r="Z13" s="20"/>
      <c r="AA13" s="20"/>
      <c r="AB13" s="18"/>
      <c r="AC13" s="20"/>
      <c r="AD13" s="20"/>
      <c r="AE13" s="20"/>
      <c r="AF13" s="20"/>
      <c r="AG13" s="20"/>
      <c r="AH13" s="20"/>
      <c r="AK13" s="20"/>
      <c r="AL13" s="20"/>
      <c r="AM13" s="20"/>
      <c r="AR13" s="20"/>
      <c r="AS13" s="20"/>
      <c r="AT13" s="20"/>
      <c r="AU13" s="20"/>
      <c r="AV13" s="20"/>
      <c r="AW13" s="20"/>
      <c r="AX13" s="18"/>
      <c r="AY13" s="20"/>
      <c r="AZ13" s="20"/>
      <c r="BA13" s="20"/>
    </row>
    <row r="14" spans="1:53">
      <c r="C14" s="20"/>
      <c r="D14" s="20"/>
      <c r="E14" s="20"/>
      <c r="F14" s="20"/>
      <c r="G14" s="20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18"/>
      <c r="T14" s="20"/>
      <c r="U14" s="20"/>
      <c r="V14" s="147"/>
      <c r="W14" s="20"/>
      <c r="X14" s="20"/>
      <c r="Y14" s="20"/>
      <c r="Z14" s="20"/>
      <c r="AA14" s="20"/>
      <c r="AB14" s="18"/>
      <c r="AC14" s="20"/>
      <c r="AD14" s="20"/>
      <c r="AE14" s="20"/>
      <c r="AF14" s="20"/>
      <c r="AG14" s="20"/>
      <c r="AH14" s="20"/>
      <c r="AK14" s="20"/>
      <c r="AL14" s="20"/>
      <c r="AM14" s="20"/>
      <c r="AR14" s="20"/>
      <c r="AS14" s="20"/>
      <c r="AT14" s="20"/>
      <c r="AU14" s="20"/>
      <c r="AV14" s="20"/>
      <c r="AW14" s="20"/>
      <c r="AX14" s="18"/>
      <c r="AY14" s="20"/>
      <c r="AZ14" s="20"/>
      <c r="BA14" s="20"/>
    </row>
    <row r="15" spans="1:53">
      <c r="C15" s="20"/>
      <c r="D15" s="20"/>
      <c r="E15" s="20"/>
      <c r="F15" s="20"/>
      <c r="G15" s="20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18"/>
      <c r="T15" s="20"/>
      <c r="U15" s="20"/>
      <c r="V15" s="147"/>
      <c r="W15" s="20"/>
      <c r="X15" s="20"/>
      <c r="Y15" s="20"/>
      <c r="Z15" s="20"/>
      <c r="AA15" s="20"/>
      <c r="AB15" s="18"/>
      <c r="AC15" s="20"/>
      <c r="AD15" s="20"/>
      <c r="AE15" s="20"/>
      <c r="AF15" s="20"/>
      <c r="AG15" s="20"/>
      <c r="AH15" s="20"/>
      <c r="AK15" s="20"/>
      <c r="AL15" s="20"/>
      <c r="AM15" s="20"/>
      <c r="AR15" s="20"/>
      <c r="AS15" s="20"/>
      <c r="AT15" s="20"/>
      <c r="AU15" s="20"/>
      <c r="AV15" s="20"/>
      <c r="AW15" s="20"/>
      <c r="AX15" s="18"/>
      <c r="AY15" s="20"/>
      <c r="AZ15" s="20"/>
      <c r="BA15" s="20"/>
    </row>
    <row r="16" spans="1:53">
      <c r="C16" s="20"/>
      <c r="D16" s="20"/>
      <c r="E16" s="20"/>
      <c r="F16" s="20"/>
      <c r="G16" s="20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18"/>
      <c r="T16" s="20"/>
      <c r="U16" s="20"/>
      <c r="V16" s="147"/>
      <c r="W16" s="20"/>
      <c r="X16" s="20"/>
      <c r="Y16" s="20"/>
      <c r="Z16" s="20"/>
      <c r="AA16" s="20"/>
      <c r="AB16" s="18"/>
      <c r="AC16" s="20"/>
      <c r="AD16" s="20"/>
      <c r="AE16" s="20"/>
      <c r="AF16" s="20"/>
      <c r="AG16" s="20"/>
      <c r="AH16" s="20"/>
      <c r="AK16" s="20"/>
      <c r="AL16" s="20"/>
      <c r="AM16" s="20"/>
      <c r="AR16" s="20"/>
      <c r="AS16" s="20"/>
      <c r="AT16" s="20"/>
      <c r="AU16" s="20"/>
      <c r="AV16" s="20"/>
      <c r="AW16" s="20"/>
      <c r="AX16" s="18"/>
      <c r="AY16" s="20"/>
      <c r="AZ16" s="20"/>
      <c r="BA16" s="20"/>
    </row>
    <row r="17" spans="3:53">
      <c r="C17" s="20"/>
      <c r="D17" s="20"/>
      <c r="E17" s="20"/>
      <c r="F17" s="20"/>
      <c r="G17" s="20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18"/>
      <c r="T17" s="20"/>
      <c r="U17" s="20"/>
      <c r="V17" s="147"/>
      <c r="W17" s="20"/>
      <c r="X17" s="20"/>
      <c r="Y17" s="20"/>
      <c r="Z17" s="20"/>
      <c r="AA17" s="20"/>
      <c r="AB17" s="18"/>
      <c r="AC17" s="20"/>
      <c r="AD17" s="20"/>
      <c r="AE17" s="20"/>
      <c r="AF17" s="20"/>
      <c r="AG17" s="20"/>
      <c r="AH17" s="20"/>
      <c r="AK17" s="20"/>
      <c r="AL17" s="20"/>
      <c r="AM17" s="20"/>
      <c r="AR17" s="20"/>
      <c r="AS17" s="20"/>
      <c r="AT17" s="20"/>
      <c r="AU17" s="20"/>
      <c r="AV17" s="20"/>
      <c r="AW17" s="20"/>
      <c r="AX17" s="18"/>
      <c r="AY17" s="20"/>
      <c r="AZ17" s="20"/>
      <c r="BA17" s="20"/>
    </row>
    <row r="18" spans="3:53">
      <c r="C18" s="20"/>
      <c r="D18" s="20"/>
      <c r="E18" s="20"/>
      <c r="F18" s="20"/>
      <c r="G18" s="20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18"/>
      <c r="T18" s="20"/>
      <c r="U18" s="20"/>
      <c r="V18" s="147"/>
      <c r="W18" s="20"/>
      <c r="X18" s="20"/>
      <c r="Y18" s="20"/>
      <c r="Z18" s="20"/>
      <c r="AA18" s="20"/>
      <c r="AB18" s="18"/>
      <c r="AC18" s="20"/>
      <c r="AD18" s="20"/>
      <c r="AE18" s="20"/>
      <c r="AF18" s="20"/>
      <c r="AG18" s="20"/>
      <c r="AH18" s="20"/>
      <c r="AK18" s="20"/>
      <c r="AL18" s="20"/>
      <c r="AM18" s="20"/>
      <c r="AR18" s="20"/>
      <c r="AS18" s="20"/>
      <c r="AT18" s="20"/>
      <c r="AU18" s="20"/>
      <c r="AV18" s="20"/>
      <c r="AW18" s="20"/>
      <c r="AX18" s="18"/>
      <c r="AY18" s="20"/>
      <c r="AZ18" s="20"/>
      <c r="BA18" s="20"/>
    </row>
    <row r="19" spans="3:53">
      <c r="C19" s="20"/>
      <c r="D19" s="20"/>
      <c r="E19" s="20"/>
      <c r="F19" s="20"/>
      <c r="G19" s="20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8"/>
      <c r="T19" s="20"/>
      <c r="U19" s="20"/>
      <c r="V19" s="147"/>
      <c r="W19" s="20"/>
      <c r="X19" s="20"/>
      <c r="Y19" s="20"/>
      <c r="Z19" s="20"/>
      <c r="AA19" s="20"/>
      <c r="AB19" s="18"/>
      <c r="AC19" s="20"/>
      <c r="AD19" s="20"/>
      <c r="AE19" s="20"/>
      <c r="AF19" s="20"/>
      <c r="AG19" s="20"/>
      <c r="AH19" s="20"/>
      <c r="AK19" s="20"/>
      <c r="AL19" s="20"/>
      <c r="AM19" s="20"/>
      <c r="AR19" s="20"/>
      <c r="AS19" s="20"/>
      <c r="AT19" s="20"/>
      <c r="AU19" s="20"/>
      <c r="AV19" s="20"/>
      <c r="AW19" s="20"/>
      <c r="AX19" s="18"/>
      <c r="AY19" s="20"/>
      <c r="AZ19" s="20"/>
      <c r="BA19" s="20"/>
    </row>
    <row r="20" spans="3:53">
      <c r="D20" s="20"/>
      <c r="G20" s="20"/>
      <c r="I20" s="18"/>
      <c r="J20" s="18"/>
      <c r="K20" s="20"/>
      <c r="L20" s="20"/>
      <c r="M20" s="20"/>
      <c r="Q20" s="20"/>
      <c r="R20" s="20"/>
      <c r="S20" s="18"/>
      <c r="U20" s="20"/>
      <c r="W20" s="20"/>
      <c r="X20" s="20"/>
      <c r="AB20" s="18"/>
      <c r="AC20" s="20"/>
      <c r="AG20" s="20"/>
      <c r="AH20" s="20"/>
      <c r="AK20" s="20"/>
      <c r="AM20" s="20"/>
      <c r="AX20" s="18"/>
      <c r="AY20" s="20"/>
    </row>
    <row r="21" spans="3:53">
      <c r="D21" s="4"/>
      <c r="S21" s="18"/>
    </row>
    <row r="22" spans="3:53">
      <c r="D22" s="4"/>
      <c r="S22" s="18"/>
    </row>
    <row r="23" spans="3:5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4"/>
  <cols>
    <col min="1" max="4" width="11.6640625" style="2" customWidth="1"/>
    <col min="5" max="5" width="11.6640625" style="4" customWidth="1"/>
    <col min="6" max="16" width="11.6640625" style="2" customWidth="1"/>
    <col min="17" max="17" width="13.33203125" style="2" customWidth="1"/>
    <col min="18" max="19" width="11.6640625" style="2" customWidth="1"/>
    <col min="20" max="20" width="11.6640625" style="144" customWidth="1"/>
    <col min="21" max="30" width="11.6640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298</v>
      </c>
      <c r="M1" s="19" t="s">
        <v>365</v>
      </c>
      <c r="N1" s="19" t="s">
        <v>330</v>
      </c>
      <c r="O1" s="19" t="s">
        <v>9</v>
      </c>
      <c r="P1" s="19" t="s">
        <v>10</v>
      </c>
      <c r="Q1" s="19" t="s">
        <v>366</v>
      </c>
      <c r="R1" s="19" t="s">
        <v>11</v>
      </c>
      <c r="S1" s="19" t="s">
        <v>12</v>
      </c>
      <c r="T1" s="142" t="s">
        <v>14</v>
      </c>
      <c r="U1" s="19" t="s">
        <v>15</v>
      </c>
      <c r="V1" s="19" t="s">
        <v>323</v>
      </c>
      <c r="W1" s="19" t="s">
        <v>324</v>
      </c>
      <c r="X1" s="19" t="s">
        <v>307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7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7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7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7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7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7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7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7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7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7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7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7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7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7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7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7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7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7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14" width="11.6640625" style="2" customWidth="1"/>
    <col min="15" max="15" width="11.6640625" style="144" customWidth="1"/>
    <col min="16" max="22" width="11.6640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346</v>
      </c>
      <c r="D1" s="19" t="s">
        <v>347</v>
      </c>
      <c r="E1" s="19" t="s">
        <v>348</v>
      </c>
      <c r="F1" s="19" t="s">
        <v>5</v>
      </c>
      <c r="G1" s="19" t="s">
        <v>349</v>
      </c>
      <c r="H1" s="19" t="s">
        <v>6</v>
      </c>
      <c r="I1" s="19" t="s">
        <v>7</v>
      </c>
      <c r="J1" s="19" t="s">
        <v>298</v>
      </c>
      <c r="K1" s="19" t="s">
        <v>350</v>
      </c>
      <c r="L1" s="19" t="s">
        <v>10</v>
      </c>
      <c r="M1" s="19" t="s">
        <v>11</v>
      </c>
      <c r="N1" s="19" t="s">
        <v>12</v>
      </c>
      <c r="O1" s="159" t="s">
        <v>14</v>
      </c>
      <c r="P1" s="163" t="s">
        <v>15</v>
      </c>
      <c r="Q1" s="19" t="s">
        <v>308</v>
      </c>
      <c r="R1" s="19" t="s">
        <v>18</v>
      </c>
      <c r="S1" s="19" t="s">
        <v>351</v>
      </c>
      <c r="T1" s="19" t="s">
        <v>20</v>
      </c>
      <c r="U1" s="163" t="s">
        <v>24</v>
      </c>
      <c r="V1" s="163" t="s">
        <v>25</v>
      </c>
    </row>
    <row r="2" spans="1:22">
      <c r="A2" s="20" t="s">
        <v>26</v>
      </c>
      <c r="B2" s="20">
        <v>13711</v>
      </c>
      <c r="C2" s="20" t="s">
        <v>352</v>
      </c>
      <c r="D2" s="2" t="s">
        <v>353</v>
      </c>
      <c r="E2" s="18" t="s">
        <v>354</v>
      </c>
      <c r="F2" s="20" t="s">
        <v>355</v>
      </c>
      <c r="G2" s="20" t="s">
        <v>356</v>
      </c>
      <c r="H2" s="18" t="s">
        <v>31</v>
      </c>
      <c r="I2" s="18" t="s">
        <v>155</v>
      </c>
      <c r="J2" s="20" t="s">
        <v>312</v>
      </c>
      <c r="K2" s="20" t="s">
        <v>357</v>
      </c>
      <c r="L2" s="2" t="s">
        <v>358</v>
      </c>
      <c r="M2" s="18" t="s">
        <v>159</v>
      </c>
      <c r="N2" s="152">
        <v>0</v>
      </c>
      <c r="O2" s="169">
        <v>5.7500000000000002E-2</v>
      </c>
      <c r="P2" s="170">
        <v>0</v>
      </c>
      <c r="Q2" s="149">
        <v>35</v>
      </c>
      <c r="R2" s="152">
        <v>3.7589999999999999</v>
      </c>
      <c r="S2" s="152">
        <v>100</v>
      </c>
      <c r="T2" s="152">
        <v>132.55199999999999</v>
      </c>
      <c r="U2" s="170">
        <v>0.87380745880312205</v>
      </c>
      <c r="V2" s="170">
        <v>3.6107789384570298E-3</v>
      </c>
    </row>
    <row r="3" spans="1:22">
      <c r="A3" s="20" t="s">
        <v>26</v>
      </c>
      <c r="B3" s="20">
        <v>13711</v>
      </c>
      <c r="C3" s="20" t="s">
        <v>352</v>
      </c>
      <c r="D3" s="2" t="s">
        <v>353</v>
      </c>
      <c r="E3" s="18" t="s">
        <v>354</v>
      </c>
      <c r="F3" s="20" t="s">
        <v>355</v>
      </c>
      <c r="G3" s="20" t="s">
        <v>359</v>
      </c>
      <c r="H3" s="18" t="s">
        <v>31</v>
      </c>
      <c r="I3" s="18" t="s">
        <v>155</v>
      </c>
      <c r="J3" s="20" t="s">
        <v>312</v>
      </c>
      <c r="K3" s="20" t="s">
        <v>357</v>
      </c>
      <c r="L3" s="2" t="s">
        <v>358</v>
      </c>
      <c r="M3" s="18" t="s">
        <v>159</v>
      </c>
      <c r="N3" s="152">
        <v>0</v>
      </c>
      <c r="O3" s="169">
        <v>6.3E-2</v>
      </c>
      <c r="P3" s="170">
        <v>0</v>
      </c>
      <c r="Q3" s="149">
        <v>5</v>
      </c>
      <c r="R3" s="152">
        <v>3.7589999999999999</v>
      </c>
      <c r="S3" s="149">
        <v>100</v>
      </c>
      <c r="T3" s="152">
        <v>19.143000000000001</v>
      </c>
      <c r="U3" s="170">
        <v>0.12619254119687801</v>
      </c>
      <c r="V3" s="170">
        <v>5.2145740500793899E-4</v>
      </c>
    </row>
    <row r="4" spans="1:22">
      <c r="A4" s="20" t="s">
        <v>256</v>
      </c>
      <c r="B4" s="20">
        <v>556</v>
      </c>
      <c r="C4" s="20" t="s">
        <v>352</v>
      </c>
      <c r="D4" s="2" t="s">
        <v>353</v>
      </c>
      <c r="E4" s="18" t="s">
        <v>354</v>
      </c>
      <c r="F4" s="20" t="s">
        <v>355</v>
      </c>
      <c r="G4" s="20" t="s">
        <v>356</v>
      </c>
      <c r="H4" s="18" t="s">
        <v>31</v>
      </c>
      <c r="I4" s="18" t="s">
        <v>155</v>
      </c>
      <c r="J4" s="20" t="s">
        <v>312</v>
      </c>
      <c r="K4" s="20" t="s">
        <v>357</v>
      </c>
      <c r="L4" s="2" t="s">
        <v>358</v>
      </c>
      <c r="M4" s="18" t="s">
        <v>159</v>
      </c>
      <c r="N4" s="152">
        <v>0</v>
      </c>
      <c r="O4" s="169">
        <v>5.7500000000000002E-2</v>
      </c>
      <c r="P4" s="170">
        <v>0</v>
      </c>
      <c r="Q4" s="149">
        <v>140</v>
      </c>
      <c r="R4" s="152">
        <v>3.7589999999999999</v>
      </c>
      <c r="S4" s="149">
        <v>100</v>
      </c>
      <c r="T4" s="152">
        <v>530.20699999999999</v>
      </c>
      <c r="U4" s="170">
        <v>0.19310781042713701</v>
      </c>
      <c r="V4" s="170">
        <v>1.6623950501276101E-3</v>
      </c>
    </row>
    <row r="5" spans="1:22">
      <c r="A5" s="20" t="s">
        <v>256</v>
      </c>
      <c r="B5" s="20">
        <v>556</v>
      </c>
      <c r="C5" s="20" t="s">
        <v>352</v>
      </c>
      <c r="D5" s="2" t="s">
        <v>353</v>
      </c>
      <c r="E5" s="18" t="s">
        <v>354</v>
      </c>
      <c r="F5" s="20" t="s">
        <v>355</v>
      </c>
      <c r="G5" s="20" t="s">
        <v>359</v>
      </c>
      <c r="H5" s="18" t="s">
        <v>31</v>
      </c>
      <c r="I5" s="18" t="s">
        <v>155</v>
      </c>
      <c r="J5" s="20" t="s">
        <v>312</v>
      </c>
      <c r="K5" s="20" t="s">
        <v>357</v>
      </c>
      <c r="L5" s="2" t="s">
        <v>358</v>
      </c>
      <c r="M5" s="18" t="s">
        <v>159</v>
      </c>
      <c r="N5" s="152">
        <v>0</v>
      </c>
      <c r="O5" s="169">
        <v>6.3E-2</v>
      </c>
      <c r="P5" s="170">
        <v>0</v>
      </c>
      <c r="Q5" s="149">
        <v>140</v>
      </c>
      <c r="R5" s="152">
        <v>3.7589999999999999</v>
      </c>
      <c r="S5" s="149">
        <v>100</v>
      </c>
      <c r="T5" s="152">
        <v>535.99599999999998</v>
      </c>
      <c r="U5" s="170">
        <v>0.19521618354346301</v>
      </c>
      <c r="V5" s="170">
        <v>1.68054526903719E-3</v>
      </c>
    </row>
    <row r="6" spans="1:22">
      <c r="A6" s="20" t="s">
        <v>256</v>
      </c>
      <c r="B6" s="20">
        <v>556</v>
      </c>
      <c r="C6" s="20" t="s">
        <v>352</v>
      </c>
      <c r="D6" s="2" t="s">
        <v>353</v>
      </c>
      <c r="E6" s="18" t="s">
        <v>354</v>
      </c>
      <c r="F6" s="20" t="s">
        <v>355</v>
      </c>
      <c r="G6" s="20" t="s">
        <v>360</v>
      </c>
      <c r="H6" s="18" t="s">
        <v>31</v>
      </c>
      <c r="I6" s="18" t="s">
        <v>155</v>
      </c>
      <c r="J6" s="20" t="s">
        <v>312</v>
      </c>
      <c r="K6" s="20" t="s">
        <v>357</v>
      </c>
      <c r="L6" s="2" t="s">
        <v>358</v>
      </c>
      <c r="M6" s="18" t="s">
        <v>159</v>
      </c>
      <c r="N6" s="152">
        <v>0</v>
      </c>
      <c r="O6" s="169">
        <v>6.8000000000000005E-2</v>
      </c>
      <c r="P6" s="170">
        <v>0</v>
      </c>
      <c r="Q6" s="149">
        <v>270</v>
      </c>
      <c r="R6" s="152">
        <v>3.7589999999999999</v>
      </c>
      <c r="S6" s="149">
        <v>100</v>
      </c>
      <c r="T6" s="152">
        <v>1077.145</v>
      </c>
      <c r="U6" s="170">
        <v>0.39230936678983802</v>
      </c>
      <c r="V6" s="170">
        <v>3.3772489472464898E-3</v>
      </c>
    </row>
    <row r="7" spans="1:22">
      <c r="A7" s="20" t="s">
        <v>256</v>
      </c>
      <c r="B7" s="20">
        <v>556</v>
      </c>
      <c r="C7" s="20" t="s">
        <v>352</v>
      </c>
      <c r="D7" s="2" t="s">
        <v>353</v>
      </c>
      <c r="E7" s="18" t="s">
        <v>354</v>
      </c>
      <c r="F7" s="20" t="s">
        <v>355</v>
      </c>
      <c r="G7" s="20" t="s">
        <v>361</v>
      </c>
      <c r="H7" s="18" t="s">
        <v>31</v>
      </c>
      <c r="I7" s="18" t="s">
        <v>155</v>
      </c>
      <c r="J7" s="20" t="s">
        <v>312</v>
      </c>
      <c r="K7" s="20" t="s">
        <v>357</v>
      </c>
      <c r="L7" s="2" t="s">
        <v>358</v>
      </c>
      <c r="M7" s="18" t="s">
        <v>159</v>
      </c>
      <c r="N7" s="152">
        <v>0</v>
      </c>
      <c r="O7" s="169">
        <v>6.9000000000000006E-2</v>
      </c>
      <c r="P7" s="170">
        <v>0</v>
      </c>
      <c r="Q7" s="149">
        <v>150</v>
      </c>
      <c r="R7" s="152">
        <v>3.7589999999999999</v>
      </c>
      <c r="S7" s="152">
        <v>100</v>
      </c>
      <c r="T7" s="152">
        <v>602.30499999999995</v>
      </c>
      <c r="U7" s="170">
        <v>0.21936663923956201</v>
      </c>
      <c r="V7" s="170">
        <v>1.8884477765469499E-3</v>
      </c>
    </row>
    <row r="8" spans="1:22">
      <c r="A8" s="20" t="s">
        <v>256</v>
      </c>
      <c r="B8" s="20">
        <v>7205</v>
      </c>
      <c r="C8" s="20" t="s">
        <v>352</v>
      </c>
      <c r="D8" s="2" t="s">
        <v>353</v>
      </c>
      <c r="E8" s="18" t="s">
        <v>354</v>
      </c>
      <c r="F8" s="20" t="s">
        <v>355</v>
      </c>
      <c r="G8" s="20" t="s">
        <v>356</v>
      </c>
      <c r="H8" s="18" t="s">
        <v>31</v>
      </c>
      <c r="I8" s="18" t="s">
        <v>155</v>
      </c>
      <c r="J8" s="20" t="s">
        <v>312</v>
      </c>
      <c r="K8" s="20" t="s">
        <v>357</v>
      </c>
      <c r="L8" s="2" t="s">
        <v>358</v>
      </c>
      <c r="M8" s="18" t="s">
        <v>159</v>
      </c>
      <c r="N8" s="152">
        <v>0</v>
      </c>
      <c r="O8" s="169">
        <v>5.7500000000000002E-2</v>
      </c>
      <c r="P8" s="170">
        <v>0</v>
      </c>
      <c r="Q8" s="149">
        <v>770</v>
      </c>
      <c r="R8" s="152">
        <v>3.7589999999999999</v>
      </c>
      <c r="S8" s="152">
        <v>100</v>
      </c>
      <c r="T8" s="152">
        <v>2916.1379999999999</v>
      </c>
      <c r="U8" s="170">
        <v>0.16515197963102499</v>
      </c>
      <c r="V8" s="170">
        <v>1.5854839164123899E-3</v>
      </c>
    </row>
    <row r="9" spans="1:22">
      <c r="A9" s="20" t="s">
        <v>256</v>
      </c>
      <c r="B9" s="20">
        <v>7205</v>
      </c>
      <c r="C9" s="20" t="s">
        <v>352</v>
      </c>
      <c r="D9" s="2" t="s">
        <v>353</v>
      </c>
      <c r="E9" s="18" t="s">
        <v>354</v>
      </c>
      <c r="F9" s="20" t="s">
        <v>355</v>
      </c>
      <c r="G9" s="20" t="s">
        <v>359</v>
      </c>
      <c r="H9" s="18" t="s">
        <v>31</v>
      </c>
      <c r="I9" s="18" t="s">
        <v>155</v>
      </c>
      <c r="J9" s="20" t="s">
        <v>312</v>
      </c>
      <c r="K9" s="20" t="s">
        <v>357</v>
      </c>
      <c r="L9" s="2" t="s">
        <v>358</v>
      </c>
      <c r="M9" s="18" t="s">
        <v>159</v>
      </c>
      <c r="N9" s="152">
        <v>0</v>
      </c>
      <c r="O9" s="169">
        <v>6.3E-2</v>
      </c>
      <c r="P9" s="170">
        <v>0</v>
      </c>
      <c r="Q9" s="149">
        <v>820</v>
      </c>
      <c r="R9" s="152">
        <v>3.7589999999999999</v>
      </c>
      <c r="S9" s="152">
        <v>100</v>
      </c>
      <c r="T9" s="152">
        <v>3139.404</v>
      </c>
      <c r="U9" s="170">
        <v>0.17779636986038899</v>
      </c>
      <c r="V9" s="170">
        <v>1.70687196992702E-3</v>
      </c>
    </row>
    <row r="10" spans="1:22">
      <c r="A10" s="20" t="s">
        <v>256</v>
      </c>
      <c r="B10" s="20">
        <v>7205</v>
      </c>
      <c r="C10" s="20" t="s">
        <v>352</v>
      </c>
      <c r="D10" s="2" t="s">
        <v>353</v>
      </c>
      <c r="E10" s="18" t="s">
        <v>354</v>
      </c>
      <c r="F10" s="20" t="s">
        <v>355</v>
      </c>
      <c r="G10" s="20" t="s">
        <v>360</v>
      </c>
      <c r="H10" s="18" t="s">
        <v>31</v>
      </c>
      <c r="I10" s="18" t="s">
        <v>155</v>
      </c>
      <c r="J10" s="20" t="s">
        <v>312</v>
      </c>
      <c r="K10" s="20" t="s">
        <v>357</v>
      </c>
      <c r="L10" s="2" t="s">
        <v>358</v>
      </c>
      <c r="M10" s="18" t="s">
        <v>159</v>
      </c>
      <c r="N10" s="152">
        <v>0</v>
      </c>
      <c r="O10" s="169">
        <v>6.8000000000000005E-2</v>
      </c>
      <c r="P10" s="170">
        <v>0</v>
      </c>
      <c r="Q10" s="149">
        <v>1650</v>
      </c>
      <c r="R10" s="152">
        <v>3.7589999999999999</v>
      </c>
      <c r="S10" s="152">
        <v>100</v>
      </c>
      <c r="T10" s="152">
        <v>6582.5540000000001</v>
      </c>
      <c r="U10" s="170">
        <v>0.372795028675804</v>
      </c>
      <c r="V10" s="170">
        <v>3.5788885086603401E-3</v>
      </c>
    </row>
    <row r="11" spans="1:22">
      <c r="A11" s="20" t="s">
        <v>256</v>
      </c>
      <c r="B11" s="20">
        <v>7205</v>
      </c>
      <c r="C11" s="20" t="s">
        <v>352</v>
      </c>
      <c r="D11" s="2" t="s">
        <v>353</v>
      </c>
      <c r="E11" s="18" t="s">
        <v>354</v>
      </c>
      <c r="F11" s="20" t="s">
        <v>355</v>
      </c>
      <c r="G11" s="20" t="s">
        <v>361</v>
      </c>
      <c r="H11" s="18" t="s">
        <v>31</v>
      </c>
      <c r="I11" s="18" t="s">
        <v>155</v>
      </c>
      <c r="J11" s="20" t="s">
        <v>312</v>
      </c>
      <c r="K11" s="20" t="s">
        <v>357</v>
      </c>
      <c r="L11" s="2" t="s">
        <v>358</v>
      </c>
      <c r="M11" s="18" t="s">
        <v>159</v>
      </c>
      <c r="N11" s="152">
        <v>0</v>
      </c>
      <c r="O11" s="169">
        <v>6.9000000000000006E-2</v>
      </c>
      <c r="P11" s="170">
        <v>0</v>
      </c>
      <c r="Q11" s="149">
        <v>1250</v>
      </c>
      <c r="R11" s="152">
        <v>3.7589999999999999</v>
      </c>
      <c r="S11" s="152">
        <v>100</v>
      </c>
      <c r="T11" s="152">
        <v>5019.2049999999999</v>
      </c>
      <c r="U11" s="170">
        <v>0.284256621832782</v>
      </c>
      <c r="V11" s="170">
        <v>2.7289064476035498E-3</v>
      </c>
    </row>
    <row r="12" spans="1:22">
      <c r="A12" s="20" t="s">
        <v>256</v>
      </c>
      <c r="B12" s="20">
        <v>7206</v>
      </c>
      <c r="C12" s="20" t="s">
        <v>352</v>
      </c>
      <c r="D12" s="2" t="s">
        <v>353</v>
      </c>
      <c r="E12" s="18" t="s">
        <v>354</v>
      </c>
      <c r="F12" s="20" t="s">
        <v>355</v>
      </c>
      <c r="G12" s="20" t="s">
        <v>356</v>
      </c>
      <c r="H12" s="18" t="s">
        <v>31</v>
      </c>
      <c r="I12" s="18" t="s">
        <v>155</v>
      </c>
      <c r="J12" s="20" t="s">
        <v>312</v>
      </c>
      <c r="K12" s="20" t="s">
        <v>357</v>
      </c>
      <c r="L12" s="2" t="s">
        <v>358</v>
      </c>
      <c r="M12" s="18" t="s">
        <v>159</v>
      </c>
      <c r="N12" s="152">
        <v>0</v>
      </c>
      <c r="O12" s="169">
        <v>5.7500000000000002E-2</v>
      </c>
      <c r="P12" s="170">
        <v>0</v>
      </c>
      <c r="Q12" s="149">
        <v>30</v>
      </c>
      <c r="R12" s="152">
        <v>3.7589999999999999</v>
      </c>
      <c r="S12" s="152">
        <v>100</v>
      </c>
      <c r="T12" s="152">
        <v>113.616</v>
      </c>
      <c r="U12" s="170">
        <v>0.20848134531684301</v>
      </c>
      <c r="V12" s="170">
        <v>1.6965537754612E-3</v>
      </c>
    </row>
    <row r="13" spans="1:22">
      <c r="A13" s="20" t="s">
        <v>256</v>
      </c>
      <c r="B13" s="20">
        <v>7206</v>
      </c>
      <c r="C13" s="20" t="s">
        <v>352</v>
      </c>
      <c r="D13" s="2" t="s">
        <v>353</v>
      </c>
      <c r="E13" s="18" t="s">
        <v>354</v>
      </c>
      <c r="F13" s="20" t="s">
        <v>355</v>
      </c>
      <c r="G13" s="20" t="s">
        <v>359</v>
      </c>
      <c r="H13" s="18" t="s">
        <v>31</v>
      </c>
      <c r="I13" s="18" t="s">
        <v>155</v>
      </c>
      <c r="J13" s="20" t="s">
        <v>312</v>
      </c>
      <c r="K13" s="20" t="s">
        <v>357</v>
      </c>
      <c r="L13" s="2" t="s">
        <v>358</v>
      </c>
      <c r="M13" s="18" t="s">
        <v>159</v>
      </c>
      <c r="N13" s="152">
        <v>0</v>
      </c>
      <c r="O13" s="169">
        <v>6.3E-2</v>
      </c>
      <c r="P13" s="170">
        <v>0</v>
      </c>
      <c r="Q13" s="149">
        <v>10</v>
      </c>
      <c r="R13" s="152">
        <v>3.7589999999999999</v>
      </c>
      <c r="S13" s="152">
        <v>100</v>
      </c>
      <c r="T13" s="152">
        <v>38.284999999999997</v>
      </c>
      <c r="U13" s="170">
        <v>7.0252522813963603E-2</v>
      </c>
      <c r="V13" s="170">
        <v>5.7169231441099404E-4</v>
      </c>
    </row>
    <row r="14" spans="1:22">
      <c r="A14" s="20" t="s">
        <v>256</v>
      </c>
      <c r="B14" s="20">
        <v>7206</v>
      </c>
      <c r="C14" s="20" t="s">
        <v>352</v>
      </c>
      <c r="D14" s="2" t="s">
        <v>353</v>
      </c>
      <c r="E14" s="18" t="s">
        <v>354</v>
      </c>
      <c r="F14" s="20" t="s">
        <v>355</v>
      </c>
      <c r="G14" s="20" t="s">
        <v>360</v>
      </c>
      <c r="H14" s="18" t="s">
        <v>31</v>
      </c>
      <c r="I14" s="18" t="s">
        <v>155</v>
      </c>
      <c r="J14" s="20" t="s">
        <v>312</v>
      </c>
      <c r="K14" s="20" t="s">
        <v>357</v>
      </c>
      <c r="L14" s="2" t="s">
        <v>358</v>
      </c>
      <c r="M14" s="18" t="s">
        <v>159</v>
      </c>
      <c r="N14" s="152">
        <v>0</v>
      </c>
      <c r="O14" s="169">
        <v>6.8000000000000005E-2</v>
      </c>
      <c r="P14" s="170">
        <v>0</v>
      </c>
      <c r="Q14" s="149">
        <v>30</v>
      </c>
      <c r="R14" s="152">
        <v>3.7589999999999999</v>
      </c>
      <c r="S14" s="152">
        <v>100</v>
      </c>
      <c r="T14" s="152">
        <v>119.68300000000001</v>
      </c>
      <c r="U14" s="170">
        <v>0.21961414569207499</v>
      </c>
      <c r="V14" s="170">
        <v>1.78714890510865E-3</v>
      </c>
    </row>
    <row r="15" spans="1:22">
      <c r="A15" s="20" t="s">
        <v>256</v>
      </c>
      <c r="B15" s="20">
        <v>7206</v>
      </c>
      <c r="C15" s="20" t="s">
        <v>352</v>
      </c>
      <c r="D15" s="2" t="s">
        <v>353</v>
      </c>
      <c r="E15" s="18" t="s">
        <v>354</v>
      </c>
      <c r="F15" s="20" t="s">
        <v>355</v>
      </c>
      <c r="G15" s="20" t="s">
        <v>361</v>
      </c>
      <c r="H15" s="18" t="s">
        <v>31</v>
      </c>
      <c r="I15" s="18" t="s">
        <v>155</v>
      </c>
      <c r="J15" s="20" t="s">
        <v>312</v>
      </c>
      <c r="K15" s="20" t="s">
        <v>357</v>
      </c>
      <c r="L15" s="2" t="s">
        <v>358</v>
      </c>
      <c r="M15" s="18" t="s">
        <v>159</v>
      </c>
      <c r="N15" s="152">
        <v>0</v>
      </c>
      <c r="O15" s="169">
        <v>6.9000000000000006E-2</v>
      </c>
      <c r="P15" s="170">
        <v>0</v>
      </c>
      <c r="Q15" s="149">
        <v>40</v>
      </c>
      <c r="R15" s="152">
        <v>3.7589999999999999</v>
      </c>
      <c r="S15" s="152">
        <v>100</v>
      </c>
      <c r="T15" s="152">
        <v>160.61500000000001</v>
      </c>
      <c r="U15" s="170">
        <v>0.29472261117280701</v>
      </c>
      <c r="V15" s="170">
        <v>2.3983573107661201E-3</v>
      </c>
    </row>
    <row r="16" spans="1:22">
      <c r="A16" s="20" t="s">
        <v>256</v>
      </c>
      <c r="B16" s="20">
        <v>7206</v>
      </c>
      <c r="C16" s="20" t="s">
        <v>362</v>
      </c>
      <c r="D16" s="2" t="s">
        <v>363</v>
      </c>
      <c r="E16" s="18" t="s">
        <v>354</v>
      </c>
      <c r="F16" s="20" t="s">
        <v>364</v>
      </c>
      <c r="G16" s="20" t="s">
        <v>209</v>
      </c>
      <c r="H16" s="18" t="s">
        <v>31</v>
      </c>
      <c r="I16" s="18" t="s">
        <v>31</v>
      </c>
      <c r="J16" s="20" t="s">
        <v>312</v>
      </c>
      <c r="K16" s="20" t="s">
        <v>357</v>
      </c>
      <c r="L16" s="2" t="s">
        <v>358</v>
      </c>
      <c r="M16" s="18" t="s">
        <v>159</v>
      </c>
      <c r="N16" s="152">
        <v>0.01</v>
      </c>
      <c r="O16" s="169">
        <v>5.3400000000000003E-2</v>
      </c>
      <c r="P16" s="170">
        <v>1E-4</v>
      </c>
      <c r="Q16" s="149">
        <v>30</v>
      </c>
      <c r="R16" s="152">
        <v>3.7589999999999999</v>
      </c>
      <c r="S16" s="152">
        <v>1</v>
      </c>
      <c r="T16" s="152">
        <v>112.77</v>
      </c>
      <c r="U16" s="170">
        <v>0.20692937500431099</v>
      </c>
      <c r="V16" s="170">
        <v>1.68392434288953E-3</v>
      </c>
    </row>
    <row r="17" spans="1:22">
      <c r="A17" s="20" t="s">
        <v>256</v>
      </c>
      <c r="B17" s="20">
        <v>7207</v>
      </c>
      <c r="C17" s="20" t="s">
        <v>352</v>
      </c>
      <c r="D17" s="2" t="s">
        <v>353</v>
      </c>
      <c r="E17" s="18" t="s">
        <v>354</v>
      </c>
      <c r="F17" s="20" t="s">
        <v>355</v>
      </c>
      <c r="G17" s="20" t="s">
        <v>356</v>
      </c>
      <c r="H17" s="18" t="s">
        <v>31</v>
      </c>
      <c r="I17" s="18" t="s">
        <v>155</v>
      </c>
      <c r="J17" s="20" t="s">
        <v>312</v>
      </c>
      <c r="K17" s="20" t="s">
        <v>357</v>
      </c>
      <c r="L17" s="2" t="s">
        <v>358</v>
      </c>
      <c r="M17" s="18" t="s">
        <v>159</v>
      </c>
      <c r="N17" s="152">
        <v>0</v>
      </c>
      <c r="O17" s="169">
        <v>5.7500000000000002E-2</v>
      </c>
      <c r="P17" s="170">
        <v>0</v>
      </c>
      <c r="Q17" s="149">
        <v>25</v>
      </c>
      <c r="R17" s="152">
        <v>3.7589999999999999</v>
      </c>
      <c r="S17" s="152">
        <v>100</v>
      </c>
      <c r="T17" s="152">
        <v>94.68</v>
      </c>
      <c r="U17" s="170">
        <v>0.127333714175939</v>
      </c>
      <c r="V17" s="170">
        <v>9.7373530922898702E-4</v>
      </c>
    </row>
    <row r="18" spans="1:22">
      <c r="A18" s="20" t="s">
        <v>256</v>
      </c>
      <c r="B18" s="20">
        <v>7207</v>
      </c>
      <c r="C18" s="20" t="s">
        <v>352</v>
      </c>
      <c r="D18" s="2" t="s">
        <v>353</v>
      </c>
      <c r="E18" s="18" t="s">
        <v>354</v>
      </c>
      <c r="F18" s="20" t="s">
        <v>355</v>
      </c>
      <c r="G18" s="20" t="s">
        <v>359</v>
      </c>
      <c r="H18" s="18" t="s">
        <v>31</v>
      </c>
      <c r="I18" s="18" t="s">
        <v>155</v>
      </c>
      <c r="J18" s="20" t="s">
        <v>312</v>
      </c>
      <c r="K18" s="20" t="s">
        <v>357</v>
      </c>
      <c r="L18" s="2" t="s">
        <v>358</v>
      </c>
      <c r="M18" s="18" t="s">
        <v>159</v>
      </c>
      <c r="N18" s="152">
        <v>0</v>
      </c>
      <c r="O18" s="169">
        <v>6.3E-2</v>
      </c>
      <c r="P18" s="170">
        <v>0</v>
      </c>
      <c r="Q18" s="149">
        <v>25</v>
      </c>
      <c r="R18" s="152">
        <v>3.7589999999999999</v>
      </c>
      <c r="S18" s="152">
        <v>100</v>
      </c>
      <c r="T18" s="152">
        <v>95.713999999999999</v>
      </c>
      <c r="U18" s="170">
        <v>0.128723958201681</v>
      </c>
      <c r="V18" s="170">
        <v>9.8436666248111508E-4</v>
      </c>
    </row>
    <row r="19" spans="1:22">
      <c r="A19" s="20" t="s">
        <v>256</v>
      </c>
      <c r="B19" s="20">
        <v>7207</v>
      </c>
      <c r="C19" s="20" t="s">
        <v>352</v>
      </c>
      <c r="D19" s="2" t="s">
        <v>353</v>
      </c>
      <c r="E19" s="18" t="s">
        <v>354</v>
      </c>
      <c r="F19" s="20" t="s">
        <v>355</v>
      </c>
      <c r="G19" s="20" t="s">
        <v>360</v>
      </c>
      <c r="H19" s="18" t="s">
        <v>31</v>
      </c>
      <c r="I19" s="18" t="s">
        <v>155</v>
      </c>
      <c r="J19" s="20" t="s">
        <v>312</v>
      </c>
      <c r="K19" s="20" t="s">
        <v>357</v>
      </c>
      <c r="L19" s="2" t="s">
        <v>358</v>
      </c>
      <c r="M19" s="18" t="s">
        <v>159</v>
      </c>
      <c r="N19" s="152">
        <v>0</v>
      </c>
      <c r="O19" s="169">
        <v>6.8000000000000005E-2</v>
      </c>
      <c r="P19" s="170">
        <v>0</v>
      </c>
      <c r="Q19" s="149">
        <v>50</v>
      </c>
      <c r="R19" s="152">
        <v>3.7589999999999999</v>
      </c>
      <c r="S19" s="152">
        <v>100</v>
      </c>
      <c r="T19" s="152">
        <v>199.471</v>
      </c>
      <c r="U19" s="170">
        <v>0.26826654264004801</v>
      </c>
      <c r="V19" s="170">
        <v>2.0514645829969699E-3</v>
      </c>
    </row>
    <row r="20" spans="1:22">
      <c r="A20" s="2" t="s">
        <v>256</v>
      </c>
      <c r="B20" s="2">
        <v>7207</v>
      </c>
      <c r="C20" s="2" t="s">
        <v>352</v>
      </c>
      <c r="D20" s="2" t="s">
        <v>353</v>
      </c>
      <c r="E20" s="18" t="s">
        <v>354</v>
      </c>
      <c r="F20" s="20" t="s">
        <v>355</v>
      </c>
      <c r="G20" s="2" t="s">
        <v>361</v>
      </c>
      <c r="H20" s="18" t="s">
        <v>31</v>
      </c>
      <c r="I20" s="18" t="s">
        <v>155</v>
      </c>
      <c r="J20" s="20" t="s">
        <v>312</v>
      </c>
      <c r="K20" s="2" t="s">
        <v>357</v>
      </c>
      <c r="L20" s="2" t="s">
        <v>358</v>
      </c>
      <c r="M20" s="2" t="s">
        <v>159</v>
      </c>
      <c r="N20" s="149">
        <v>0</v>
      </c>
      <c r="O20" s="162">
        <v>6.9000000000000006E-2</v>
      </c>
      <c r="P20" s="164">
        <v>0</v>
      </c>
      <c r="Q20" s="149">
        <v>60</v>
      </c>
      <c r="R20" s="149">
        <v>3.7589999999999999</v>
      </c>
      <c r="S20" s="149">
        <v>100</v>
      </c>
      <c r="T20" s="149">
        <v>240.922</v>
      </c>
      <c r="U20" s="164">
        <v>0.32401280035590202</v>
      </c>
      <c r="V20" s="164">
        <v>2.4777625186741098E-3</v>
      </c>
    </row>
    <row r="21" spans="1:22">
      <c r="A21" s="2" t="s">
        <v>256</v>
      </c>
      <c r="B21" s="2">
        <v>7207</v>
      </c>
      <c r="C21" s="2" t="s">
        <v>362</v>
      </c>
      <c r="D21" s="2" t="s">
        <v>363</v>
      </c>
      <c r="E21" s="4" t="s">
        <v>354</v>
      </c>
      <c r="F21" s="2" t="s">
        <v>364</v>
      </c>
      <c r="G21" s="2" t="s">
        <v>209</v>
      </c>
      <c r="H21" s="2" t="s">
        <v>31</v>
      </c>
      <c r="I21" s="2" t="s">
        <v>31</v>
      </c>
      <c r="J21" s="2" t="s">
        <v>312</v>
      </c>
      <c r="K21" s="2" t="s">
        <v>357</v>
      </c>
      <c r="L21" s="2" t="s">
        <v>358</v>
      </c>
      <c r="M21" s="2" t="s">
        <v>159</v>
      </c>
      <c r="N21" s="149">
        <v>0.01</v>
      </c>
      <c r="O21" s="162">
        <v>5.3400000000000003E-2</v>
      </c>
      <c r="P21" s="164">
        <v>1E-4</v>
      </c>
      <c r="Q21" s="149">
        <v>30</v>
      </c>
      <c r="R21" s="149">
        <v>3.7589999999999999</v>
      </c>
      <c r="S21" s="149">
        <v>1</v>
      </c>
      <c r="T21" s="149">
        <v>112.77</v>
      </c>
      <c r="U21" s="164">
        <v>0.15166298462642899</v>
      </c>
      <c r="V21" s="164">
        <v>1.15978399114123E-3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4"/>
  <cols>
    <col min="1" max="24" width="11.6640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328</v>
      </c>
      <c r="D1" s="19" t="s">
        <v>5</v>
      </c>
      <c r="E1" s="19" t="s">
        <v>329</v>
      </c>
      <c r="F1" s="19" t="s">
        <v>298</v>
      </c>
      <c r="G1" s="19" t="s">
        <v>330</v>
      </c>
      <c r="H1" s="19" t="s">
        <v>331</v>
      </c>
      <c r="I1" s="19" t="s">
        <v>332</v>
      </c>
      <c r="J1" s="19" t="s">
        <v>333</v>
      </c>
      <c r="K1" s="172" t="s">
        <v>334</v>
      </c>
      <c r="L1" s="19" t="s">
        <v>335</v>
      </c>
      <c r="M1" s="19" t="s">
        <v>323</v>
      </c>
      <c r="N1" s="19" t="s">
        <v>336</v>
      </c>
      <c r="O1" s="19" t="s">
        <v>324</v>
      </c>
      <c r="P1" s="19" t="s">
        <v>307</v>
      </c>
      <c r="Q1" s="19" t="s">
        <v>11</v>
      </c>
      <c r="R1" s="19" t="s">
        <v>337</v>
      </c>
      <c r="S1" s="19" t="s">
        <v>20</v>
      </c>
      <c r="T1" s="19" t="s">
        <v>21</v>
      </c>
      <c r="U1" s="19" t="s">
        <v>338</v>
      </c>
      <c r="V1" s="19" t="s">
        <v>22</v>
      </c>
      <c r="W1" s="163" t="s">
        <v>24</v>
      </c>
      <c r="X1" s="163" t="s">
        <v>25</v>
      </c>
    </row>
    <row r="2" spans="1:24">
      <c r="A2" s="20" t="s">
        <v>256</v>
      </c>
      <c r="B2" s="20">
        <v>556</v>
      </c>
      <c r="C2" s="20" t="s">
        <v>339</v>
      </c>
      <c r="D2" s="20" t="s">
        <v>340</v>
      </c>
      <c r="E2" s="20" t="s">
        <v>31</v>
      </c>
      <c r="F2" s="20" t="s">
        <v>312</v>
      </c>
      <c r="G2" s="20" t="s">
        <v>341</v>
      </c>
      <c r="H2" s="20" t="s">
        <v>342</v>
      </c>
      <c r="I2" s="20" t="s">
        <v>342</v>
      </c>
      <c r="J2" s="20" t="s">
        <v>343</v>
      </c>
      <c r="K2" s="20"/>
      <c r="L2" s="20" t="s">
        <v>342</v>
      </c>
      <c r="M2" s="20" t="s">
        <v>342</v>
      </c>
      <c r="N2" s="20" t="s">
        <v>344</v>
      </c>
      <c r="O2" s="20"/>
      <c r="P2" s="20" t="s">
        <v>345</v>
      </c>
      <c r="Q2" s="18" t="s">
        <v>35</v>
      </c>
      <c r="R2" s="152">
        <v>1430</v>
      </c>
      <c r="S2" s="152">
        <v>1430</v>
      </c>
      <c r="T2" s="20"/>
      <c r="U2" s="20"/>
      <c r="V2" s="20" t="s">
        <v>37</v>
      </c>
      <c r="W2" s="170">
        <v>1</v>
      </c>
      <c r="X2" s="170">
        <v>4.4835796730852001E-3</v>
      </c>
    </row>
    <row r="3" spans="1:24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</row>
    <row r="20" spans="1:24">
      <c r="D20" s="20"/>
      <c r="E20" s="20"/>
      <c r="F20" s="20"/>
      <c r="H20" s="20"/>
      <c r="I20" s="20"/>
      <c r="L20" s="20"/>
      <c r="M20" s="20"/>
      <c r="O20" s="20"/>
      <c r="V20" s="20"/>
    </row>
    <row r="21" spans="1:24">
      <c r="D21" s="20"/>
      <c r="E21" s="20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4"/>
  <cols>
    <col min="1" max="4" width="11.6640625" style="2" customWidth="1"/>
    <col min="5" max="5" width="11.6640625" style="4" customWidth="1"/>
    <col min="6" max="23" width="11.6640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319</v>
      </c>
      <c r="E1" s="19" t="s">
        <v>320</v>
      </c>
      <c r="F1" s="19" t="s">
        <v>3</v>
      </c>
      <c r="G1" s="19" t="s">
        <v>4</v>
      </c>
      <c r="H1" s="19" t="s">
        <v>321</v>
      </c>
      <c r="I1" s="19" t="s">
        <v>5</v>
      </c>
      <c r="J1" s="19" t="s">
        <v>6</v>
      </c>
      <c r="K1" s="19" t="s">
        <v>7</v>
      </c>
      <c r="L1" s="19" t="s">
        <v>322</v>
      </c>
      <c r="M1" s="19" t="s">
        <v>298</v>
      </c>
      <c r="N1" s="19" t="s">
        <v>11</v>
      </c>
      <c r="O1" s="19" t="s">
        <v>323</v>
      </c>
      <c r="P1" s="19" t="s">
        <v>324</v>
      </c>
      <c r="Q1" s="19" t="s">
        <v>307</v>
      </c>
      <c r="R1" s="19" t="s">
        <v>325</v>
      </c>
      <c r="S1" s="19" t="s">
        <v>326</v>
      </c>
      <c r="T1" s="19" t="s">
        <v>327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>
      <c r="A16" s="3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4"/>
  <cols>
    <col min="1" max="18" width="11.6640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304</v>
      </c>
      <c r="D1" s="19" t="s">
        <v>305</v>
      </c>
      <c r="E1" s="19" t="s">
        <v>5</v>
      </c>
      <c r="F1" s="19" t="s">
        <v>6</v>
      </c>
      <c r="G1" s="19" t="s">
        <v>7</v>
      </c>
      <c r="H1" s="19" t="s">
        <v>298</v>
      </c>
      <c r="I1" s="19" t="s">
        <v>306</v>
      </c>
      <c r="J1" s="19" t="s">
        <v>11</v>
      </c>
      <c r="K1" s="19" t="s">
        <v>307</v>
      </c>
      <c r="L1" s="19" t="s">
        <v>308</v>
      </c>
      <c r="M1" s="19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18">
      <c r="A2" s="20" t="s">
        <v>26</v>
      </c>
      <c r="B2" s="20">
        <v>13711</v>
      </c>
      <c r="C2" s="27" t="s">
        <v>309</v>
      </c>
      <c r="D2" s="27" t="s">
        <v>310</v>
      </c>
      <c r="E2" s="27" t="s">
        <v>311</v>
      </c>
      <c r="F2" s="18"/>
      <c r="G2" s="18" t="s">
        <v>31</v>
      </c>
      <c r="H2" s="20" t="s">
        <v>312</v>
      </c>
      <c r="I2" s="20" t="s">
        <v>313</v>
      </c>
      <c r="J2" s="18" t="s">
        <v>35</v>
      </c>
      <c r="K2" s="20" t="s">
        <v>313</v>
      </c>
      <c r="L2" s="149">
        <v>-7.524</v>
      </c>
      <c r="M2" s="152">
        <v>1</v>
      </c>
      <c r="N2" s="152">
        <v>-7.524</v>
      </c>
      <c r="O2" s="20"/>
      <c r="P2" s="18" t="s">
        <v>37</v>
      </c>
      <c r="Q2" s="170">
        <v>0.77306979401272402</v>
      </c>
      <c r="R2" s="170">
        <v>-2.0495798360048E-4</v>
      </c>
    </row>
    <row r="3" spans="1:18">
      <c r="A3" s="20" t="s">
        <v>26</v>
      </c>
      <c r="B3" s="20">
        <v>13711</v>
      </c>
      <c r="C3" s="27" t="s">
        <v>314</v>
      </c>
      <c r="D3" s="20" t="s">
        <v>315</v>
      </c>
      <c r="E3" s="27" t="s">
        <v>316</v>
      </c>
      <c r="F3" s="18"/>
      <c r="G3" s="18" t="s">
        <v>31</v>
      </c>
      <c r="H3" s="20" t="s">
        <v>312</v>
      </c>
      <c r="I3" s="20" t="s">
        <v>313</v>
      </c>
      <c r="J3" s="18" t="s">
        <v>35</v>
      </c>
      <c r="K3" s="20" t="s">
        <v>313</v>
      </c>
      <c r="L3" s="149">
        <v>-2.2090000000000001</v>
      </c>
      <c r="M3" s="152">
        <v>1</v>
      </c>
      <c r="N3" s="152">
        <v>-2.2090000000000001</v>
      </c>
      <c r="O3" s="20"/>
      <c r="P3" s="18" t="s">
        <v>37</v>
      </c>
      <c r="Q3" s="170">
        <v>0.22693020598727601</v>
      </c>
      <c r="R3" s="170">
        <v>-6.0164241052248402E-5</v>
      </c>
    </row>
    <row r="4" spans="1:18">
      <c r="A4" s="20" t="s">
        <v>256</v>
      </c>
      <c r="B4" s="20">
        <v>556</v>
      </c>
      <c r="C4" s="27" t="s">
        <v>309</v>
      </c>
      <c r="D4" s="20" t="s">
        <v>310</v>
      </c>
      <c r="E4" s="27" t="s">
        <v>311</v>
      </c>
      <c r="F4" s="18"/>
      <c r="G4" s="18" t="s">
        <v>31</v>
      </c>
      <c r="H4" s="20" t="s">
        <v>312</v>
      </c>
      <c r="I4" s="20" t="s">
        <v>313</v>
      </c>
      <c r="J4" s="18" t="s">
        <v>35</v>
      </c>
      <c r="K4" s="20" t="s">
        <v>313</v>
      </c>
      <c r="L4" s="149">
        <v>-70.611999999999995</v>
      </c>
      <c r="M4" s="152">
        <v>1</v>
      </c>
      <c r="N4" s="152">
        <v>-70.611999999999995</v>
      </c>
      <c r="O4" s="20"/>
      <c r="P4" s="18" t="s">
        <v>37</v>
      </c>
      <c r="Q4" s="170">
        <v>15.265270253325999</v>
      </c>
      <c r="R4" s="170">
        <v>-2.21394601032405E-4</v>
      </c>
    </row>
    <row r="5" spans="1:18">
      <c r="A5" s="20" t="s">
        <v>256</v>
      </c>
      <c r="B5" s="20">
        <v>556</v>
      </c>
      <c r="C5" s="27" t="s">
        <v>314</v>
      </c>
      <c r="D5" s="20" t="s">
        <v>315</v>
      </c>
      <c r="E5" s="27" t="s">
        <v>316</v>
      </c>
      <c r="F5" s="18"/>
      <c r="G5" s="18" t="s">
        <v>31</v>
      </c>
      <c r="H5" s="20" t="s">
        <v>312</v>
      </c>
      <c r="I5" s="20" t="s">
        <v>313</v>
      </c>
      <c r="J5" s="18" t="s">
        <v>35</v>
      </c>
      <c r="K5" s="20" t="s">
        <v>313</v>
      </c>
      <c r="L5" s="149">
        <v>-19.253</v>
      </c>
      <c r="M5" s="152">
        <v>1</v>
      </c>
      <c r="N5" s="152">
        <v>-19.253</v>
      </c>
      <c r="O5" s="20"/>
      <c r="P5" s="18" t="s">
        <v>37</v>
      </c>
      <c r="Q5" s="170">
        <v>4.1621757759973796</v>
      </c>
      <c r="R5" s="170">
        <v>-6.0364685987325097E-5</v>
      </c>
    </row>
    <row r="6" spans="1:18">
      <c r="A6" s="20" t="s">
        <v>256</v>
      </c>
      <c r="B6" s="20">
        <v>556</v>
      </c>
      <c r="C6" s="27" t="s">
        <v>317</v>
      </c>
      <c r="D6" s="20" t="s">
        <v>318</v>
      </c>
      <c r="E6" s="27" t="s">
        <v>311</v>
      </c>
      <c r="F6" s="18"/>
      <c r="G6" s="18" t="s">
        <v>31</v>
      </c>
      <c r="H6" s="20" t="s">
        <v>312</v>
      </c>
      <c r="I6" s="20" t="s">
        <v>313</v>
      </c>
      <c r="J6" s="18" t="s">
        <v>35</v>
      </c>
      <c r="K6" s="20" t="s">
        <v>313</v>
      </c>
      <c r="L6" s="149">
        <v>85.239000000000004</v>
      </c>
      <c r="M6" s="152">
        <v>1</v>
      </c>
      <c r="N6" s="152">
        <v>85.239000000000004</v>
      </c>
      <c r="O6" s="20"/>
      <c r="P6" s="18" t="s">
        <v>37</v>
      </c>
      <c r="Q6" s="170">
        <v>-18.427446029323399</v>
      </c>
      <c r="R6" s="170">
        <v>2.6725613068129798E-4</v>
      </c>
    </row>
    <row r="7" spans="1:18">
      <c r="A7" s="20" t="s">
        <v>256</v>
      </c>
      <c r="B7" s="20">
        <v>7205</v>
      </c>
      <c r="C7" s="27" t="s">
        <v>309</v>
      </c>
      <c r="D7" s="20" t="s">
        <v>310</v>
      </c>
      <c r="E7" s="27" t="s">
        <v>311</v>
      </c>
      <c r="F7" s="18"/>
      <c r="G7" s="18" t="s">
        <v>31</v>
      </c>
      <c r="H7" s="20" t="s">
        <v>312</v>
      </c>
      <c r="I7" s="20" t="s">
        <v>313</v>
      </c>
      <c r="J7" s="18" t="s">
        <v>35</v>
      </c>
      <c r="K7" s="20" t="s">
        <v>313</v>
      </c>
      <c r="L7" s="149">
        <v>-391.726</v>
      </c>
      <c r="M7" s="152">
        <v>1</v>
      </c>
      <c r="N7" s="152">
        <v>-391.726</v>
      </c>
      <c r="O7" s="20"/>
      <c r="P7" s="18" t="s">
        <v>37</v>
      </c>
      <c r="Q7" s="170">
        <v>6.6931176575216096</v>
      </c>
      <c r="R7" s="170">
        <v>-2.1297883862514701E-4</v>
      </c>
    </row>
    <row r="8" spans="1:18">
      <c r="A8" s="20" t="s">
        <v>256</v>
      </c>
      <c r="B8" s="20">
        <v>7205</v>
      </c>
      <c r="C8" s="27" t="s">
        <v>314</v>
      </c>
      <c r="D8" s="20" t="s">
        <v>315</v>
      </c>
      <c r="E8" s="27" t="s">
        <v>316</v>
      </c>
      <c r="F8" s="18"/>
      <c r="G8" s="18" t="s">
        <v>31</v>
      </c>
      <c r="H8" s="20" t="s">
        <v>312</v>
      </c>
      <c r="I8" s="20" t="s">
        <v>313</v>
      </c>
      <c r="J8" s="18" t="s">
        <v>35</v>
      </c>
      <c r="K8" s="20" t="s">
        <v>313</v>
      </c>
      <c r="L8" s="149">
        <v>-177.465</v>
      </c>
      <c r="M8" s="152">
        <v>1</v>
      </c>
      <c r="N8" s="152">
        <v>-177.465</v>
      </c>
      <c r="O8" s="20"/>
      <c r="P8" s="18" t="s">
        <v>37</v>
      </c>
      <c r="Q8" s="170">
        <v>3.03219845017823</v>
      </c>
      <c r="R8" s="170">
        <v>-9.6486291956065807E-5</v>
      </c>
    </row>
    <row r="9" spans="1:18">
      <c r="A9" s="20" t="s">
        <v>256</v>
      </c>
      <c r="B9" s="20">
        <v>7205</v>
      </c>
      <c r="C9" s="27" t="s">
        <v>317</v>
      </c>
      <c r="D9" s="20" t="s">
        <v>318</v>
      </c>
      <c r="E9" s="27" t="s">
        <v>311</v>
      </c>
      <c r="F9" s="18"/>
      <c r="G9" s="18" t="s">
        <v>31</v>
      </c>
      <c r="H9" s="20" t="s">
        <v>312</v>
      </c>
      <c r="I9" s="20" t="s">
        <v>313</v>
      </c>
      <c r="J9" s="18" t="s">
        <v>35</v>
      </c>
      <c r="K9" s="20" t="s">
        <v>313</v>
      </c>
      <c r="L9" s="149">
        <v>510.66399999999999</v>
      </c>
      <c r="M9" s="152">
        <v>1</v>
      </c>
      <c r="N9" s="152">
        <v>510.66399999999999</v>
      </c>
      <c r="O9" s="20"/>
      <c r="P9" s="18" t="s">
        <v>37</v>
      </c>
      <c r="Q9" s="170">
        <v>-8.7253161076998396</v>
      </c>
      <c r="R9" s="170">
        <v>2.7764455764002E-4</v>
      </c>
    </row>
    <row r="10" spans="1:18">
      <c r="A10" s="20" t="s">
        <v>256</v>
      </c>
      <c r="B10" s="20">
        <v>7206</v>
      </c>
      <c r="C10" s="27" t="s">
        <v>309</v>
      </c>
      <c r="D10" s="20" t="s">
        <v>310</v>
      </c>
      <c r="E10" s="27" t="s">
        <v>311</v>
      </c>
      <c r="F10" s="18"/>
      <c r="G10" s="18" t="s">
        <v>31</v>
      </c>
      <c r="H10" s="20" t="s">
        <v>312</v>
      </c>
      <c r="I10" s="20" t="s">
        <v>313</v>
      </c>
      <c r="J10" s="18" t="s">
        <v>35</v>
      </c>
      <c r="K10" s="20" t="s">
        <v>313</v>
      </c>
      <c r="L10" s="149">
        <v>-13.866</v>
      </c>
      <c r="M10" s="152">
        <v>1</v>
      </c>
      <c r="N10" s="152">
        <v>-13.866</v>
      </c>
      <c r="O10" s="20"/>
      <c r="P10" s="18" t="s">
        <v>37</v>
      </c>
      <c r="Q10" s="170">
        <v>1.21361759781401</v>
      </c>
      <c r="R10" s="170">
        <v>-2.07055349147599E-4</v>
      </c>
    </row>
    <row r="11" spans="1:18">
      <c r="A11" s="20" t="s">
        <v>256</v>
      </c>
      <c r="B11" s="20">
        <v>7206</v>
      </c>
      <c r="C11" s="27" t="s">
        <v>314</v>
      </c>
      <c r="D11" s="20" t="s">
        <v>315</v>
      </c>
      <c r="E11" s="27" t="s">
        <v>316</v>
      </c>
      <c r="F11" s="18"/>
      <c r="G11" s="18" t="s">
        <v>31</v>
      </c>
      <c r="H11" s="20" t="s">
        <v>312</v>
      </c>
      <c r="I11" s="20" t="s">
        <v>313</v>
      </c>
      <c r="J11" s="18" t="s">
        <v>35</v>
      </c>
      <c r="K11" s="20" t="s">
        <v>313</v>
      </c>
      <c r="L11" s="149">
        <v>-0.504</v>
      </c>
      <c r="M11" s="152">
        <v>1</v>
      </c>
      <c r="N11" s="152">
        <v>-0.504</v>
      </c>
      <c r="O11" s="20"/>
      <c r="P11" s="18" t="s">
        <v>37</v>
      </c>
      <c r="Q11" s="170">
        <v>4.4130196376354298E-2</v>
      </c>
      <c r="R11" s="170">
        <v>-7.5290546504241196E-6</v>
      </c>
    </row>
    <row r="12" spans="1:18">
      <c r="A12" s="20" t="s">
        <v>256</v>
      </c>
      <c r="B12" s="20">
        <v>7206</v>
      </c>
      <c r="C12" s="27" t="s">
        <v>317</v>
      </c>
      <c r="D12" s="20" t="s">
        <v>318</v>
      </c>
      <c r="E12" s="27" t="s">
        <v>311</v>
      </c>
      <c r="F12" s="18"/>
      <c r="G12" s="18" t="s">
        <v>31</v>
      </c>
      <c r="H12" s="20" t="s">
        <v>312</v>
      </c>
      <c r="I12" s="20" t="s">
        <v>313</v>
      </c>
      <c r="J12" s="18" t="s">
        <v>35</v>
      </c>
      <c r="K12" s="20" t="s">
        <v>313</v>
      </c>
      <c r="L12" s="149">
        <v>2.9449999999999998</v>
      </c>
      <c r="M12" s="152">
        <v>1</v>
      </c>
      <c r="N12" s="152">
        <v>2.9449999999999998</v>
      </c>
      <c r="O12" s="20"/>
      <c r="P12" s="18" t="s">
        <v>37</v>
      </c>
      <c r="Q12" s="170">
        <v>-0.25774779419036897</v>
      </c>
      <c r="R12" s="170">
        <v>4.3974361952428502E-5</v>
      </c>
    </row>
    <row r="13" spans="1:18">
      <c r="A13" s="20" t="s">
        <v>256</v>
      </c>
      <c r="B13" s="20">
        <v>7207</v>
      </c>
      <c r="C13" s="27" t="s">
        <v>309</v>
      </c>
      <c r="D13" s="20" t="s">
        <v>310</v>
      </c>
      <c r="E13" s="27" t="s">
        <v>311</v>
      </c>
      <c r="F13" s="18"/>
      <c r="G13" s="18" t="s">
        <v>31</v>
      </c>
      <c r="H13" s="20" t="s">
        <v>312</v>
      </c>
      <c r="I13" s="20" t="s">
        <v>313</v>
      </c>
      <c r="J13" s="18" t="s">
        <v>35</v>
      </c>
      <c r="K13" s="20" t="s">
        <v>313</v>
      </c>
      <c r="L13" s="149">
        <v>-20.314</v>
      </c>
      <c r="M13" s="152">
        <v>1</v>
      </c>
      <c r="N13" s="152">
        <v>-20.314</v>
      </c>
      <c r="O13" s="20"/>
      <c r="P13" s="18" t="s">
        <v>37</v>
      </c>
      <c r="Q13" s="170">
        <v>0.98724837433539703</v>
      </c>
      <c r="R13" s="170">
        <v>-2.0891764862041701E-4</v>
      </c>
    </row>
    <row r="14" spans="1:18">
      <c r="A14" s="20" t="s">
        <v>256</v>
      </c>
      <c r="B14" s="20">
        <v>7207</v>
      </c>
      <c r="C14" s="27" t="s">
        <v>314</v>
      </c>
      <c r="D14" s="20" t="s">
        <v>315</v>
      </c>
      <c r="E14" s="27" t="s">
        <v>316</v>
      </c>
      <c r="F14" s="18"/>
      <c r="G14" s="18" t="s">
        <v>31</v>
      </c>
      <c r="H14" s="20" t="s">
        <v>312</v>
      </c>
      <c r="I14" s="20" t="s">
        <v>313</v>
      </c>
      <c r="J14" s="18" t="s">
        <v>35</v>
      </c>
      <c r="K14" s="20" t="s">
        <v>313</v>
      </c>
      <c r="L14" s="149">
        <v>-5.319</v>
      </c>
      <c r="M14" s="152">
        <v>1</v>
      </c>
      <c r="N14" s="152">
        <v>-5.319</v>
      </c>
      <c r="O14" s="20"/>
      <c r="P14" s="18" t="s">
        <v>37</v>
      </c>
      <c r="Q14" s="170">
        <v>0.25852441169895302</v>
      </c>
      <c r="R14" s="170">
        <v>-5.4707927211813401E-5</v>
      </c>
    </row>
    <row r="15" spans="1:18">
      <c r="A15" s="20" t="s">
        <v>256</v>
      </c>
      <c r="B15" s="20">
        <v>7207</v>
      </c>
      <c r="C15" s="27" t="s">
        <v>317</v>
      </c>
      <c r="D15" s="20" t="s">
        <v>318</v>
      </c>
      <c r="E15" s="27" t="s">
        <v>311</v>
      </c>
      <c r="F15" s="18"/>
      <c r="G15" s="18" t="s">
        <v>31</v>
      </c>
      <c r="H15" s="20" t="s">
        <v>312</v>
      </c>
      <c r="I15" s="20" t="s">
        <v>313</v>
      </c>
      <c r="J15" s="18" t="s">
        <v>35</v>
      </c>
      <c r="K15" s="20" t="s">
        <v>313</v>
      </c>
      <c r="L15" s="149">
        <v>5.0570000000000004</v>
      </c>
      <c r="M15" s="152">
        <v>1</v>
      </c>
      <c r="N15" s="152">
        <v>5.0570000000000004</v>
      </c>
      <c r="O15" s="20"/>
      <c r="P15" s="18" t="s">
        <v>37</v>
      </c>
      <c r="Q15" s="170">
        <v>-0.24577278603434999</v>
      </c>
      <c r="R15" s="170">
        <v>5.2009477946976697E-5</v>
      </c>
    </row>
    <row r="16" spans="1:18">
      <c r="A16" s="20"/>
      <c r="B16" s="20"/>
      <c r="C16" s="27"/>
      <c r="D16" s="20"/>
      <c r="E16" s="27"/>
      <c r="F16" s="18"/>
      <c r="G16" s="18"/>
      <c r="H16" s="20"/>
      <c r="I16" s="20"/>
      <c r="J16" s="18"/>
      <c r="K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7"/>
      <c r="D17" s="20"/>
      <c r="E17" s="27"/>
      <c r="F17" s="18"/>
      <c r="G17" s="18"/>
      <c r="H17" s="20"/>
      <c r="I17" s="20"/>
      <c r="J17" s="18"/>
      <c r="K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7"/>
      <c r="D18" s="20"/>
      <c r="E18" s="27"/>
      <c r="F18" s="18"/>
      <c r="G18" s="18"/>
      <c r="H18" s="20"/>
      <c r="I18" s="20"/>
      <c r="J18" s="18"/>
      <c r="K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7"/>
      <c r="D19" s="20"/>
      <c r="E19" s="27"/>
      <c r="F19" s="18"/>
      <c r="G19" s="18"/>
      <c r="H19" s="20"/>
      <c r="I19" s="20"/>
      <c r="J19" s="18"/>
      <c r="K19" s="20"/>
      <c r="M19" s="20"/>
      <c r="N19" s="20"/>
      <c r="O19" s="20"/>
      <c r="P19" s="18"/>
      <c r="Q19" s="20"/>
      <c r="R19" s="20"/>
    </row>
    <row r="20" spans="1:18">
      <c r="E20" s="27"/>
      <c r="F20" s="18"/>
      <c r="G20" s="18"/>
      <c r="H20" s="20"/>
      <c r="P20" s="18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640625" defaultRowHeight="14.1" customHeight="1"/>
  <cols>
    <col min="1" max="15" width="11.6640625" style="2" customWidth="1"/>
    <col min="16" max="16" width="11.6640625" style="144" customWidth="1"/>
    <col min="17" max="20" width="11.6640625" style="2" customWidth="1"/>
    <col min="21" max="16384" width="11.6640625" style="2"/>
  </cols>
  <sheetData>
    <row r="1" spans="1:22" ht="66.75" customHeight="1">
      <c r="A1" s="19" t="s">
        <v>0</v>
      </c>
      <c r="B1" s="19" t="s">
        <v>1</v>
      </c>
      <c r="C1" s="19" t="s">
        <v>293</v>
      </c>
      <c r="D1" s="19" t="s">
        <v>294</v>
      </c>
      <c r="E1" s="19" t="s">
        <v>295</v>
      </c>
      <c r="F1" s="19" t="s">
        <v>296</v>
      </c>
      <c r="G1" s="19" t="s">
        <v>297</v>
      </c>
      <c r="H1" s="19" t="s">
        <v>6</v>
      </c>
      <c r="I1" s="19" t="s">
        <v>7</v>
      </c>
      <c r="J1" s="19" t="s">
        <v>298</v>
      </c>
      <c r="K1" s="19" t="s">
        <v>9</v>
      </c>
      <c r="L1" s="19" t="s">
        <v>10</v>
      </c>
      <c r="M1" s="19" t="s">
        <v>299</v>
      </c>
      <c r="N1" s="19" t="s">
        <v>11</v>
      </c>
      <c r="O1" s="19" t="s">
        <v>18</v>
      </c>
      <c r="P1" s="142" t="s">
        <v>14</v>
      </c>
      <c r="Q1" s="19" t="s">
        <v>300</v>
      </c>
      <c r="R1" s="19" t="s">
        <v>301</v>
      </c>
      <c r="S1" s="19" t="s">
        <v>302</v>
      </c>
      <c r="T1" s="19" t="s">
        <v>303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3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71"/>
  <sheetViews>
    <sheetView rightToLeft="1" zoomScale="70" zoomScaleNormal="70" workbookViewId="0"/>
  </sheetViews>
  <sheetFormatPr defaultColWidth="11.6640625" defaultRowHeight="14.1" customHeight="1"/>
  <cols>
    <col min="1" max="1" width="18" style="2" bestFit="1" customWidth="1"/>
    <col min="2" max="2" width="14.44140625" style="2" bestFit="1" customWidth="1"/>
    <col min="3" max="3" width="14.77734375" style="2" bestFit="1" customWidth="1"/>
    <col min="4" max="4" width="22.109375" style="2" bestFit="1" customWidth="1"/>
    <col min="5" max="5" width="17.21875" style="2" bestFit="1" customWidth="1"/>
    <col min="6" max="6" width="18.33203125" style="2" bestFit="1" customWidth="1"/>
    <col min="7" max="7" width="32.6640625" style="2" bestFit="1" customWidth="1"/>
    <col min="8" max="8" width="14.6640625" style="2" bestFit="1" customWidth="1"/>
    <col min="9" max="9" width="18.33203125" style="2" bestFit="1" customWidth="1"/>
    <col min="10" max="10" width="15.21875" style="2" bestFit="1" customWidth="1"/>
    <col min="11" max="11" width="17.109375" style="2" bestFit="1" customWidth="1"/>
    <col min="12" max="12" width="24.33203125" style="2" bestFit="1" customWidth="1"/>
    <col min="13" max="13" width="17.21875" style="2" bestFit="1" customWidth="1"/>
    <col min="14" max="14" width="24.33203125" style="2" bestFit="1" customWidth="1"/>
    <col min="15" max="15" width="20.109375" style="2" bestFit="1" customWidth="1"/>
    <col min="16" max="16" width="17.109375" style="2" bestFit="1" customWidth="1"/>
    <col min="17" max="17" width="16.33203125" style="2" bestFit="1" customWidth="1"/>
    <col min="18" max="23" width="11.6640625" style="2" customWidth="1"/>
    <col min="24" max="16384" width="11.6640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382</v>
      </c>
      <c r="E1" s="19" t="s">
        <v>383</v>
      </c>
      <c r="F1" s="19" t="s">
        <v>384</v>
      </c>
      <c r="G1" s="19" t="s">
        <v>385</v>
      </c>
      <c r="H1" s="19" t="s">
        <v>386</v>
      </c>
      <c r="I1" s="19" t="s">
        <v>387</v>
      </c>
      <c r="J1" s="19" t="s">
        <v>11</v>
      </c>
      <c r="K1" s="19" t="s">
        <v>388</v>
      </c>
      <c r="L1" s="177" t="s">
        <v>389</v>
      </c>
      <c r="M1" s="19" t="s">
        <v>390</v>
      </c>
      <c r="N1" s="177" t="s">
        <v>391</v>
      </c>
      <c r="O1" s="19" t="s">
        <v>392</v>
      </c>
      <c r="P1" s="19" t="s">
        <v>393</v>
      </c>
      <c r="Q1" s="19" t="s">
        <v>394</v>
      </c>
    </row>
    <row r="2" spans="1:22" ht="13.5" customHeight="1">
      <c r="A2" s="11">
        <v>512362914</v>
      </c>
      <c r="B2">
        <v>556</v>
      </c>
      <c r="C2" s="11" t="s">
        <v>1213</v>
      </c>
      <c r="D2" s="11" t="s">
        <v>3104</v>
      </c>
      <c r="E2" s="181">
        <v>550274542</v>
      </c>
      <c r="F2" s="27" t="s">
        <v>1552</v>
      </c>
      <c r="G2" t="s">
        <v>3369</v>
      </c>
      <c r="H2">
        <v>666103072</v>
      </c>
      <c r="I2" s="27" t="s">
        <v>34</v>
      </c>
      <c r="J2" s="11" t="s">
        <v>35</v>
      </c>
      <c r="K2" s="179">
        <v>41990</v>
      </c>
      <c r="L2" s="178">
        <v>662.62515000000008</v>
      </c>
      <c r="M2" s="178">
        <v>662.62515000000008</v>
      </c>
      <c r="N2" s="176">
        <v>66.509249999999994</v>
      </c>
      <c r="O2" s="176">
        <v>66.509249999999994</v>
      </c>
      <c r="P2" s="175">
        <v>0.1003723598477963</v>
      </c>
      <c r="Q2" s="180">
        <v>45658</v>
      </c>
      <c r="V2" s="18"/>
    </row>
    <row r="3" spans="1:22" ht="13.5" customHeight="1">
      <c r="A3" s="11">
        <v>512362914</v>
      </c>
      <c r="B3">
        <v>556</v>
      </c>
      <c r="C3" s="11" t="s">
        <v>1217</v>
      </c>
      <c r="D3" s="11" t="s">
        <v>3395</v>
      </c>
      <c r="E3" s="11" t="s">
        <v>3396</v>
      </c>
      <c r="F3" s="27" t="s">
        <v>34</v>
      </c>
      <c r="G3" t="s">
        <v>3370</v>
      </c>
      <c r="H3">
        <v>666103007</v>
      </c>
      <c r="I3" s="27" t="s">
        <v>34</v>
      </c>
      <c r="J3" s="11" t="s">
        <v>35</v>
      </c>
      <c r="K3" s="179">
        <v>42235</v>
      </c>
      <c r="L3" s="178">
        <v>1300</v>
      </c>
      <c r="M3" s="178">
        <v>1300</v>
      </c>
      <c r="N3" s="176">
        <v>283.81210000000004</v>
      </c>
      <c r="O3" s="176">
        <v>283.81210000000004</v>
      </c>
      <c r="P3" s="175">
        <v>0.21831700000000001</v>
      </c>
      <c r="Q3" s="180">
        <v>45657</v>
      </c>
      <c r="V3" s="18"/>
    </row>
    <row r="4" spans="1:22" ht="14.1" customHeight="1">
      <c r="A4" s="11">
        <v>512362914</v>
      </c>
      <c r="B4">
        <v>556</v>
      </c>
      <c r="C4" s="11" t="s">
        <v>1217</v>
      </c>
      <c r="D4" s="11" t="s">
        <v>3395</v>
      </c>
      <c r="E4" s="11" t="s">
        <v>3396</v>
      </c>
      <c r="F4" s="11" t="s">
        <v>34</v>
      </c>
      <c r="G4" t="s">
        <v>3371</v>
      </c>
      <c r="H4">
        <v>666103635</v>
      </c>
      <c r="I4" s="27" t="s">
        <v>34</v>
      </c>
      <c r="J4" s="11" t="s">
        <v>35</v>
      </c>
      <c r="K4" s="179">
        <v>42656</v>
      </c>
      <c r="L4" s="178">
        <v>1300</v>
      </c>
      <c r="M4" s="178">
        <v>1300</v>
      </c>
      <c r="N4" s="176">
        <v>500.52063750000002</v>
      </c>
      <c r="O4" s="176">
        <v>500.52063750000002</v>
      </c>
      <c r="P4" s="175">
        <v>0.38501587500000001</v>
      </c>
      <c r="Q4" s="180">
        <v>45657</v>
      </c>
      <c r="V4" s="18"/>
    </row>
    <row r="5" spans="1:22" ht="14.1" customHeight="1">
      <c r="A5" s="11">
        <v>512362914</v>
      </c>
      <c r="B5">
        <v>556</v>
      </c>
      <c r="C5" s="11" t="s">
        <v>1217</v>
      </c>
      <c r="D5" s="11" t="s">
        <v>3109</v>
      </c>
      <c r="E5" s="11" t="s">
        <v>3110</v>
      </c>
      <c r="F5" s="27" t="s">
        <v>34</v>
      </c>
      <c r="G5" t="s">
        <v>3372</v>
      </c>
      <c r="H5">
        <v>666103494</v>
      </c>
      <c r="I5" s="27" t="s">
        <v>34</v>
      </c>
      <c r="J5" s="11" t="s">
        <v>35</v>
      </c>
      <c r="K5" s="179">
        <v>42445</v>
      </c>
      <c r="L5" s="178">
        <v>780</v>
      </c>
      <c r="M5" s="178">
        <v>780</v>
      </c>
      <c r="N5" s="176">
        <v>344.90114999999997</v>
      </c>
      <c r="O5" s="176">
        <v>344.90114999999997</v>
      </c>
      <c r="P5" s="175">
        <v>0.44218096153846154</v>
      </c>
      <c r="Q5" s="180">
        <v>45366</v>
      </c>
      <c r="V5" s="18"/>
    </row>
    <row r="6" spans="1:22" ht="14.1" customHeight="1">
      <c r="A6" s="11">
        <v>512362914</v>
      </c>
      <c r="B6">
        <v>556</v>
      </c>
      <c r="C6" s="11" t="s">
        <v>1217</v>
      </c>
      <c r="D6" s="11" t="s">
        <v>3109</v>
      </c>
      <c r="E6" s="11" t="s">
        <v>3110</v>
      </c>
      <c r="F6" s="27" t="s">
        <v>34</v>
      </c>
      <c r="G6" t="s">
        <v>3373</v>
      </c>
      <c r="H6">
        <v>666103965</v>
      </c>
      <c r="I6" s="27" t="s">
        <v>34</v>
      </c>
      <c r="J6" s="11" t="s">
        <v>35</v>
      </c>
      <c r="K6" s="179">
        <v>42743</v>
      </c>
      <c r="L6" s="183">
        <v>420</v>
      </c>
      <c r="M6" s="183">
        <v>420</v>
      </c>
      <c r="N6" s="184">
        <v>360.41609999999997</v>
      </c>
      <c r="O6" s="184">
        <v>360.41609999999997</v>
      </c>
      <c r="P6" s="175">
        <v>0.85813357142857138</v>
      </c>
      <c r="Q6" s="180">
        <v>45664</v>
      </c>
      <c r="V6" s="18"/>
    </row>
    <row r="7" spans="1:22" ht="14.1" customHeight="1">
      <c r="A7" s="11">
        <v>512362914</v>
      </c>
      <c r="B7">
        <v>556</v>
      </c>
      <c r="C7" s="11" t="s">
        <v>1213</v>
      </c>
      <c r="D7" s="11" t="s">
        <v>3121</v>
      </c>
      <c r="E7" s="11" t="s">
        <v>3393</v>
      </c>
      <c r="F7" s="27" t="s">
        <v>34</v>
      </c>
      <c r="G7" t="s">
        <v>3374</v>
      </c>
      <c r="H7">
        <v>666103163</v>
      </c>
      <c r="I7" s="27" t="s">
        <v>34</v>
      </c>
      <c r="J7" s="11" t="s">
        <v>159</v>
      </c>
      <c r="K7" s="179">
        <v>42354</v>
      </c>
      <c r="L7" s="186">
        <v>225</v>
      </c>
      <c r="M7" s="178">
        <v>845.77499999999998</v>
      </c>
      <c r="N7" s="186">
        <v>11.356199999999999</v>
      </c>
      <c r="O7" s="176">
        <v>42.687955799999997</v>
      </c>
      <c r="P7" s="175">
        <v>5.0472000000000003E-2</v>
      </c>
      <c r="Q7" s="180">
        <v>46752</v>
      </c>
      <c r="V7" s="18"/>
    </row>
    <row r="8" spans="1:22" ht="14.1" customHeight="1">
      <c r="A8" s="11">
        <v>512362914</v>
      </c>
      <c r="B8">
        <v>556</v>
      </c>
      <c r="C8" s="11" t="s">
        <v>1213</v>
      </c>
      <c r="D8" s="11" t="s">
        <v>3082</v>
      </c>
      <c r="E8" s="11" t="s">
        <v>3389</v>
      </c>
      <c r="F8" s="27" t="s">
        <v>34</v>
      </c>
      <c r="G8" t="s">
        <v>3375</v>
      </c>
      <c r="H8">
        <v>666105929</v>
      </c>
      <c r="I8" s="27" t="s">
        <v>34</v>
      </c>
      <c r="J8" s="11" t="s">
        <v>35</v>
      </c>
      <c r="K8" s="179">
        <v>43125</v>
      </c>
      <c r="L8" s="178">
        <v>1800</v>
      </c>
      <c r="M8" s="178">
        <v>1800</v>
      </c>
      <c r="N8" s="176">
        <v>146.95844999999997</v>
      </c>
      <c r="O8" s="176">
        <v>146.95844999999997</v>
      </c>
      <c r="P8" s="175">
        <v>8.1643583333333339E-2</v>
      </c>
      <c r="Q8" s="180">
        <v>47143</v>
      </c>
      <c r="V8" s="18"/>
    </row>
    <row r="9" spans="1:22" ht="14.1" customHeight="1">
      <c r="A9" s="11">
        <v>512362914</v>
      </c>
      <c r="B9">
        <v>556</v>
      </c>
      <c r="C9" s="11" t="s">
        <v>1217</v>
      </c>
      <c r="D9" s="11" t="s">
        <v>3098</v>
      </c>
      <c r="E9" s="11" t="s">
        <v>3397</v>
      </c>
      <c r="F9" s="27" t="s">
        <v>34</v>
      </c>
      <c r="G9" t="s">
        <v>3376</v>
      </c>
      <c r="H9">
        <v>666106026</v>
      </c>
      <c r="I9" s="27" t="s">
        <v>34</v>
      </c>
      <c r="J9" s="11" t="s">
        <v>159</v>
      </c>
      <c r="K9" s="179">
        <v>43272</v>
      </c>
      <c r="L9" s="186">
        <v>750</v>
      </c>
      <c r="M9" s="178">
        <v>2819.25</v>
      </c>
      <c r="N9" s="186">
        <v>113.59830000000001</v>
      </c>
      <c r="O9" s="178">
        <v>427.01600969999998</v>
      </c>
      <c r="P9" s="175">
        <v>0.1514644</v>
      </c>
      <c r="Q9" s="180">
        <v>45749</v>
      </c>
    </row>
    <row r="10" spans="1:22" ht="14.1" customHeight="1">
      <c r="A10" s="11">
        <v>512362914</v>
      </c>
      <c r="B10">
        <v>556</v>
      </c>
      <c r="C10" s="11" t="s">
        <v>1217</v>
      </c>
      <c r="D10" s="11" t="s">
        <v>3098</v>
      </c>
      <c r="E10" s="11" t="s">
        <v>3397</v>
      </c>
      <c r="F10" s="27" t="s">
        <v>34</v>
      </c>
      <c r="G10" t="s">
        <v>3377</v>
      </c>
      <c r="H10">
        <v>666107438</v>
      </c>
      <c r="I10" s="27" t="s">
        <v>34</v>
      </c>
      <c r="J10" s="11" t="s">
        <v>159</v>
      </c>
      <c r="K10" s="179">
        <v>43900</v>
      </c>
      <c r="L10" s="186">
        <v>560</v>
      </c>
      <c r="M10" s="178">
        <v>2105.04</v>
      </c>
      <c r="N10" s="186">
        <v>133.56532000000001</v>
      </c>
      <c r="O10" s="178">
        <v>502.07203788000004</v>
      </c>
      <c r="P10" s="175">
        <v>0.23850950000000001</v>
      </c>
      <c r="Q10" s="180">
        <v>46989</v>
      </c>
    </row>
    <row r="11" spans="1:22" ht="14.1" customHeight="1">
      <c r="A11" s="11">
        <v>512362914</v>
      </c>
      <c r="B11">
        <v>556</v>
      </c>
      <c r="C11" s="11" t="s">
        <v>1216</v>
      </c>
      <c r="D11" s="11" t="s">
        <v>3098</v>
      </c>
      <c r="E11" s="11" t="s">
        <v>3397</v>
      </c>
      <c r="F11" s="27" t="s">
        <v>34</v>
      </c>
      <c r="G11" t="s">
        <v>3378</v>
      </c>
      <c r="H11">
        <v>666110671</v>
      </c>
      <c r="I11" s="27" t="s">
        <v>34</v>
      </c>
      <c r="J11" s="11" t="s">
        <v>159</v>
      </c>
      <c r="K11" s="179">
        <v>44781</v>
      </c>
      <c r="L11" s="186">
        <v>330</v>
      </c>
      <c r="M11" s="178">
        <v>1240.47</v>
      </c>
      <c r="N11" s="186">
        <v>183.36329000000001</v>
      </c>
      <c r="O11" s="178">
        <v>689.26260710999998</v>
      </c>
      <c r="P11" s="175">
        <v>0.55564633333333335</v>
      </c>
      <c r="Q11" s="180">
        <v>47856</v>
      </c>
    </row>
    <row r="12" spans="1:22" ht="14.1" customHeight="1">
      <c r="A12" s="11">
        <v>512362914</v>
      </c>
      <c r="B12">
        <v>556</v>
      </c>
      <c r="C12" s="11" t="s">
        <v>1213</v>
      </c>
      <c r="D12" s="11" t="s">
        <v>3087</v>
      </c>
      <c r="E12" s="11" t="s">
        <v>3392</v>
      </c>
      <c r="F12" s="27" t="s">
        <v>34</v>
      </c>
      <c r="G12" t="s">
        <v>3379</v>
      </c>
      <c r="H12">
        <v>666110341</v>
      </c>
      <c r="I12" s="27" t="s">
        <v>34</v>
      </c>
      <c r="J12" s="11" t="s">
        <v>159</v>
      </c>
      <c r="K12" s="179">
        <v>44679</v>
      </c>
      <c r="L12" s="186">
        <v>420.00000000000006</v>
      </c>
      <c r="M12" s="178">
        <v>1578.7800000000002</v>
      </c>
      <c r="N12" s="186">
        <v>218.40000000000003</v>
      </c>
      <c r="O12" s="178">
        <v>820.96560000000011</v>
      </c>
      <c r="P12" s="175">
        <v>0.52</v>
      </c>
      <c r="Q12" s="180">
        <v>47784</v>
      </c>
    </row>
    <row r="13" spans="1:22" ht="14.1" customHeight="1">
      <c r="A13" s="11">
        <v>512362914</v>
      </c>
      <c r="B13">
        <v>556</v>
      </c>
      <c r="C13" s="11" t="s">
        <v>1213</v>
      </c>
      <c r="D13" s="11" t="s">
        <v>3129</v>
      </c>
      <c r="E13" s="11" t="s">
        <v>3403</v>
      </c>
      <c r="F13" s="27" t="s">
        <v>34</v>
      </c>
      <c r="G13" t="s">
        <v>3380</v>
      </c>
      <c r="H13">
        <v>666106133</v>
      </c>
      <c r="I13" s="27" t="s">
        <v>34</v>
      </c>
      <c r="J13" s="11" t="s">
        <v>159</v>
      </c>
      <c r="K13" s="179">
        <v>42730</v>
      </c>
      <c r="L13" s="186">
        <v>450</v>
      </c>
      <c r="M13" s="178">
        <v>1691.55</v>
      </c>
      <c r="N13" s="186">
        <v>22.5</v>
      </c>
      <c r="O13" s="178">
        <v>84.577500000000001</v>
      </c>
      <c r="P13" s="175">
        <v>0.05</v>
      </c>
      <c r="Q13" s="180">
        <v>46025</v>
      </c>
    </row>
    <row r="14" spans="1:22" ht="14.1" customHeight="1">
      <c r="A14" s="11">
        <v>512362914</v>
      </c>
      <c r="B14">
        <v>556</v>
      </c>
      <c r="C14" s="11" t="s">
        <v>1213</v>
      </c>
      <c r="D14" s="11" t="s">
        <v>3117</v>
      </c>
      <c r="E14" s="11" t="s">
        <v>3401</v>
      </c>
      <c r="F14" s="27" t="s">
        <v>34</v>
      </c>
      <c r="G14" t="s">
        <v>3381</v>
      </c>
      <c r="H14">
        <v>666107446</v>
      </c>
      <c r="I14" s="27" t="s">
        <v>34</v>
      </c>
      <c r="J14" s="11" t="s">
        <v>35</v>
      </c>
      <c r="K14" s="179">
        <v>43730</v>
      </c>
      <c r="L14" s="178">
        <v>4500</v>
      </c>
      <c r="M14" s="178">
        <v>4500</v>
      </c>
      <c r="N14" s="176">
        <v>1870.1861999999999</v>
      </c>
      <c r="O14" s="178">
        <v>1870.1861999999999</v>
      </c>
      <c r="P14" s="175">
        <v>0.41559693333333331</v>
      </c>
      <c r="Q14" s="180">
        <v>46415</v>
      </c>
    </row>
    <row r="15" spans="1:22" ht="14.1" customHeight="1">
      <c r="A15" s="11">
        <v>512362914</v>
      </c>
      <c r="B15">
        <v>556</v>
      </c>
      <c r="C15" s="11" t="s">
        <v>1216</v>
      </c>
      <c r="D15" s="11" t="s">
        <v>3156</v>
      </c>
      <c r="E15" s="11" t="s">
        <v>3157</v>
      </c>
      <c r="F15" s="27" t="s">
        <v>34</v>
      </c>
      <c r="G15" t="s">
        <v>3382</v>
      </c>
      <c r="H15">
        <v>666109236</v>
      </c>
      <c r="I15" s="27" t="s">
        <v>34</v>
      </c>
      <c r="J15" s="11" t="s">
        <v>159</v>
      </c>
      <c r="K15" s="179">
        <v>44370</v>
      </c>
      <c r="L15" s="186">
        <v>360</v>
      </c>
      <c r="M15" s="178">
        <v>1353.24</v>
      </c>
      <c r="N15" s="186">
        <v>0</v>
      </c>
      <c r="O15" s="178">
        <v>0</v>
      </c>
      <c r="P15" s="175">
        <v>0</v>
      </c>
      <c r="Q15" s="180">
        <v>46771</v>
      </c>
    </row>
    <row r="16" spans="1:22" ht="14.1" customHeight="1">
      <c r="A16" s="11">
        <v>512362914</v>
      </c>
      <c r="B16">
        <v>556</v>
      </c>
      <c r="C16" s="11" t="s">
        <v>1216</v>
      </c>
      <c r="D16" s="11" t="s">
        <v>3134</v>
      </c>
      <c r="E16" s="11" t="s">
        <v>3388</v>
      </c>
      <c r="F16" s="27" t="s">
        <v>34</v>
      </c>
      <c r="G16" t="s">
        <v>3383</v>
      </c>
      <c r="H16">
        <v>666109723</v>
      </c>
      <c r="I16" s="27" t="s">
        <v>34</v>
      </c>
      <c r="J16" s="11" t="s">
        <v>169</v>
      </c>
      <c r="K16" s="179">
        <v>44448</v>
      </c>
      <c r="L16" s="185">
        <v>250</v>
      </c>
      <c r="M16" s="178">
        <v>1005.05</v>
      </c>
      <c r="N16" s="185">
        <v>66.25</v>
      </c>
      <c r="O16" s="178">
        <v>266.33825000000002</v>
      </c>
      <c r="P16" s="175">
        <v>0.26500000000000001</v>
      </c>
      <c r="Q16" s="180">
        <v>47410</v>
      </c>
    </row>
    <row r="17" spans="1:17" ht="14.1" customHeight="1">
      <c r="A17" s="11">
        <v>512362914</v>
      </c>
      <c r="B17">
        <v>556</v>
      </c>
      <c r="C17" s="11" t="s">
        <v>1216</v>
      </c>
      <c r="D17" s="11" t="s">
        <v>3166</v>
      </c>
      <c r="E17" s="11" t="s">
        <v>3400</v>
      </c>
      <c r="F17" s="27" t="s">
        <v>34</v>
      </c>
      <c r="G17" t="s">
        <v>3384</v>
      </c>
      <c r="H17">
        <v>666109954</v>
      </c>
      <c r="I17" s="27" t="s">
        <v>34</v>
      </c>
      <c r="J17" s="11" t="s">
        <v>159</v>
      </c>
      <c r="K17" s="179">
        <v>44545</v>
      </c>
      <c r="L17" s="186">
        <v>360</v>
      </c>
      <c r="M17" s="178">
        <v>1353.24</v>
      </c>
      <c r="N17" s="186">
        <v>84.1434</v>
      </c>
      <c r="O17" s="178">
        <v>316.29504059999994</v>
      </c>
      <c r="P17" s="175">
        <v>0.23373166666666667</v>
      </c>
      <c r="Q17" s="180">
        <v>48333</v>
      </c>
    </row>
    <row r="18" spans="1:17" ht="14.1" customHeight="1">
      <c r="A18" s="11">
        <v>512362914</v>
      </c>
      <c r="B18">
        <v>556</v>
      </c>
      <c r="C18" s="11" t="s">
        <v>1217</v>
      </c>
      <c r="D18" s="11" t="s">
        <v>3125</v>
      </c>
      <c r="E18" s="11" t="s">
        <v>3126</v>
      </c>
      <c r="F18" s="27" t="s">
        <v>1552</v>
      </c>
      <c r="G18" t="s">
        <v>3385</v>
      </c>
      <c r="H18">
        <v>666109921</v>
      </c>
      <c r="I18" s="11" t="s">
        <v>34</v>
      </c>
      <c r="J18" s="11" t="s">
        <v>35</v>
      </c>
      <c r="K18" s="179">
        <v>44560</v>
      </c>
      <c r="L18" s="178">
        <v>1500</v>
      </c>
      <c r="M18" s="178">
        <v>1500</v>
      </c>
      <c r="N18" s="176">
        <v>932.01280000000008</v>
      </c>
      <c r="O18" s="178">
        <v>932.01280000000008</v>
      </c>
      <c r="P18" s="175">
        <v>0.62134186666666669</v>
      </c>
      <c r="Q18" s="180">
        <v>46021</v>
      </c>
    </row>
    <row r="19" spans="1:17" ht="14.1" customHeight="1">
      <c r="A19" s="11">
        <v>512362914</v>
      </c>
      <c r="B19">
        <v>556</v>
      </c>
      <c r="C19" s="11" t="s">
        <v>1216</v>
      </c>
      <c r="D19" s="11" t="s">
        <v>3139</v>
      </c>
      <c r="E19" s="11" t="s">
        <v>3402</v>
      </c>
      <c r="F19" s="27" t="s">
        <v>504</v>
      </c>
      <c r="G19" t="s">
        <v>3386</v>
      </c>
      <c r="H19">
        <v>666110408</v>
      </c>
      <c r="I19" s="11" t="s">
        <v>34</v>
      </c>
      <c r="J19" s="11" t="s">
        <v>159</v>
      </c>
      <c r="K19" s="180">
        <v>44680</v>
      </c>
      <c r="L19" s="186">
        <v>240</v>
      </c>
      <c r="M19" s="178">
        <v>902.16</v>
      </c>
      <c r="N19" s="186">
        <v>46.156320000000001</v>
      </c>
      <c r="O19" s="178">
        <v>173.50160688</v>
      </c>
      <c r="P19" s="175">
        <v>0.19231799999999999</v>
      </c>
      <c r="Q19" s="180">
        <v>46640</v>
      </c>
    </row>
    <row r="20" spans="1:17" ht="14.1" customHeight="1">
      <c r="A20" s="11">
        <v>512362914</v>
      </c>
      <c r="B20">
        <v>556</v>
      </c>
      <c r="C20" s="11" t="s">
        <v>1216</v>
      </c>
      <c r="D20" s="11" t="s">
        <v>3149</v>
      </c>
      <c r="E20" s="11" t="s">
        <v>3394</v>
      </c>
      <c r="F20" s="27" t="s">
        <v>505</v>
      </c>
      <c r="G20" t="s">
        <v>3151</v>
      </c>
      <c r="H20">
        <v>666109798</v>
      </c>
      <c r="I20" s="11" t="s">
        <v>34</v>
      </c>
      <c r="J20" s="11" t="s">
        <v>159</v>
      </c>
      <c r="K20" s="180">
        <v>44559</v>
      </c>
      <c r="L20" s="186">
        <v>250</v>
      </c>
      <c r="M20" s="178">
        <v>939.75</v>
      </c>
      <c r="N20" s="186">
        <v>183.5</v>
      </c>
      <c r="O20" s="178">
        <v>689.77650000000006</v>
      </c>
      <c r="P20" s="175">
        <v>0.73399999999999999</v>
      </c>
      <c r="Q20" s="180">
        <v>47666</v>
      </c>
    </row>
    <row r="21" spans="1:17" ht="14.1" customHeight="1">
      <c r="A21" s="11">
        <v>512362914</v>
      </c>
      <c r="B21">
        <v>556</v>
      </c>
      <c r="C21" s="11" t="s">
        <v>1216</v>
      </c>
      <c r="D21" s="11" t="s">
        <v>3161</v>
      </c>
      <c r="E21" s="11" t="s">
        <v>3399</v>
      </c>
      <c r="F21" s="11" t="s">
        <v>34</v>
      </c>
      <c r="G21" t="s">
        <v>3387</v>
      </c>
      <c r="H21">
        <v>666110754</v>
      </c>
      <c r="I21" s="11" t="s">
        <v>34</v>
      </c>
      <c r="J21" s="11" t="s">
        <v>159</v>
      </c>
      <c r="K21" s="180">
        <v>44796</v>
      </c>
      <c r="L21" s="186">
        <v>350.00000000000006</v>
      </c>
      <c r="M21" s="178">
        <v>1315.6500000000003</v>
      </c>
      <c r="N21" s="186">
        <v>281.8494</v>
      </c>
      <c r="O21" s="178">
        <v>1059.4718946</v>
      </c>
      <c r="P21" s="175">
        <v>0.805284</v>
      </c>
      <c r="Q21" s="180">
        <v>48519</v>
      </c>
    </row>
    <row r="22" spans="1:17" ht="14.1" customHeight="1">
      <c r="A22" s="11">
        <v>512362914</v>
      </c>
      <c r="B22">
        <v>556</v>
      </c>
      <c r="C22" s="11" t="s">
        <v>1213</v>
      </c>
      <c r="D22" s="11" t="s">
        <v>3142</v>
      </c>
      <c r="E22" s="11" t="s">
        <v>3390</v>
      </c>
      <c r="F22" s="11" t="s">
        <v>34</v>
      </c>
      <c r="G22" t="s">
        <v>3144</v>
      </c>
      <c r="H22">
        <v>666110800</v>
      </c>
      <c r="I22" s="11" t="s">
        <v>34</v>
      </c>
      <c r="J22" s="11" t="s">
        <v>159</v>
      </c>
      <c r="K22" s="180">
        <v>44893</v>
      </c>
      <c r="L22" s="186">
        <v>350</v>
      </c>
      <c r="M22" s="178">
        <v>1315.65</v>
      </c>
      <c r="N22" s="186">
        <v>325.5</v>
      </c>
      <c r="O22" s="178">
        <v>1223.5545</v>
      </c>
      <c r="P22" s="175">
        <v>0.93</v>
      </c>
      <c r="Q22" s="180">
        <v>49457</v>
      </c>
    </row>
    <row r="23" spans="1:17" ht="14.1" customHeight="1">
      <c r="A23" s="11">
        <v>512362914</v>
      </c>
      <c r="B23">
        <v>556</v>
      </c>
      <c r="C23" s="11" t="s">
        <v>1216</v>
      </c>
      <c r="D23" s="11" t="s">
        <v>3169</v>
      </c>
      <c r="E23" s="11" t="s">
        <v>3391</v>
      </c>
      <c r="F23" s="11" t="s">
        <v>34</v>
      </c>
      <c r="G23" t="s">
        <v>3171</v>
      </c>
      <c r="H23">
        <v>666110801</v>
      </c>
      <c r="I23" s="11" t="s">
        <v>34</v>
      </c>
      <c r="J23" s="11" t="s">
        <v>159</v>
      </c>
      <c r="K23" s="180">
        <v>45007</v>
      </c>
      <c r="L23" s="186">
        <v>400</v>
      </c>
      <c r="M23" s="178">
        <v>1503.6</v>
      </c>
      <c r="N23" s="186">
        <v>265.05</v>
      </c>
      <c r="O23" s="178">
        <v>996.4347176</v>
      </c>
      <c r="P23" s="175">
        <v>0.66269933333333331</v>
      </c>
      <c r="Q23" s="180">
        <v>48304</v>
      </c>
    </row>
    <row r="24" spans="1:17" ht="14.1" customHeight="1">
      <c r="A24" s="11">
        <v>512362914</v>
      </c>
      <c r="B24">
        <v>7205</v>
      </c>
      <c r="C24" s="11" t="s">
        <v>1213</v>
      </c>
      <c r="D24" s="11" t="s">
        <v>3104</v>
      </c>
      <c r="E24" s="11" t="s">
        <v>3398</v>
      </c>
      <c r="F24" s="11" t="s">
        <v>1552</v>
      </c>
      <c r="G24" t="s">
        <v>3369</v>
      </c>
      <c r="H24">
        <v>666103072</v>
      </c>
      <c r="I24" s="11" t="s">
        <v>34</v>
      </c>
      <c r="J24" s="11" t="s">
        <v>35</v>
      </c>
      <c r="K24" s="179">
        <v>41990</v>
      </c>
      <c r="L24" s="178">
        <v>3754.8758499999999</v>
      </c>
      <c r="M24" s="178">
        <v>3754.8758499999999</v>
      </c>
      <c r="N24" s="176">
        <v>376.88574999999997</v>
      </c>
      <c r="O24" s="178">
        <v>376.88574999999997</v>
      </c>
      <c r="P24" s="175">
        <v>0.1003723598477963</v>
      </c>
      <c r="Q24" s="180">
        <v>45658</v>
      </c>
    </row>
    <row r="25" spans="1:17" ht="14.1" customHeight="1">
      <c r="A25" s="11">
        <v>512362914</v>
      </c>
      <c r="B25">
        <v>7205</v>
      </c>
      <c r="C25" s="11" t="s">
        <v>1217</v>
      </c>
      <c r="D25" s="11" t="s">
        <v>3395</v>
      </c>
      <c r="E25" s="11" t="s">
        <v>3396</v>
      </c>
      <c r="F25" s="27" t="s">
        <v>34</v>
      </c>
      <c r="G25" t="s">
        <v>3370</v>
      </c>
      <c r="H25">
        <v>666103007</v>
      </c>
      <c r="I25" s="11" t="s">
        <v>34</v>
      </c>
      <c r="J25" s="11" t="s">
        <v>35</v>
      </c>
      <c r="K25" s="179">
        <v>42235</v>
      </c>
      <c r="L25" s="178">
        <v>6700</v>
      </c>
      <c r="M25" s="178">
        <v>6700</v>
      </c>
      <c r="N25" s="176">
        <v>1462.7239000000002</v>
      </c>
      <c r="O25" s="178">
        <v>1462.7239000000002</v>
      </c>
      <c r="P25" s="175">
        <v>0.21831700000000001</v>
      </c>
      <c r="Q25" s="180">
        <v>45657</v>
      </c>
    </row>
    <row r="26" spans="1:17" ht="14.1" customHeight="1">
      <c r="A26" s="11">
        <v>512362914</v>
      </c>
      <c r="B26">
        <v>7205</v>
      </c>
      <c r="C26" s="11" t="s">
        <v>1217</v>
      </c>
      <c r="D26" s="11" t="s">
        <v>3395</v>
      </c>
      <c r="E26" s="11" t="s">
        <v>3396</v>
      </c>
      <c r="F26" s="11" t="s">
        <v>34</v>
      </c>
      <c r="G26" t="s">
        <v>3371</v>
      </c>
      <c r="H26">
        <v>666103635</v>
      </c>
      <c r="I26" s="11" t="s">
        <v>34</v>
      </c>
      <c r="J26" s="11" t="s">
        <v>35</v>
      </c>
      <c r="K26" s="179">
        <v>42656</v>
      </c>
      <c r="L26" s="178">
        <v>6700</v>
      </c>
      <c r="M26" s="178">
        <v>6700</v>
      </c>
      <c r="N26" s="176">
        <v>2579.6063625000002</v>
      </c>
      <c r="O26" s="178">
        <v>2579.6063625000002</v>
      </c>
      <c r="P26" s="175">
        <v>0.38501587500000001</v>
      </c>
      <c r="Q26" s="180">
        <v>45657</v>
      </c>
    </row>
    <row r="27" spans="1:17" ht="14.1" customHeight="1">
      <c r="A27" s="11">
        <v>512362914</v>
      </c>
      <c r="B27">
        <v>7205</v>
      </c>
      <c r="C27" s="11" t="s">
        <v>1217</v>
      </c>
      <c r="D27" s="11" t="s">
        <v>3109</v>
      </c>
      <c r="E27" s="11" t="s">
        <v>3110</v>
      </c>
      <c r="F27" s="27" t="s">
        <v>34</v>
      </c>
      <c r="G27" t="s">
        <v>3372</v>
      </c>
      <c r="H27">
        <v>666103494</v>
      </c>
      <c r="I27" s="11" t="s">
        <v>34</v>
      </c>
      <c r="J27" s="11" t="s">
        <v>35</v>
      </c>
      <c r="K27" s="179">
        <v>42445</v>
      </c>
      <c r="L27" s="178">
        <v>4420</v>
      </c>
      <c r="M27" s="178">
        <v>4420</v>
      </c>
      <c r="N27" s="176">
        <v>1954.4398499999998</v>
      </c>
      <c r="O27" s="178">
        <v>1954.4398499999998</v>
      </c>
      <c r="P27" s="175">
        <v>0.44218096153846154</v>
      </c>
      <c r="Q27" s="180">
        <v>45366</v>
      </c>
    </row>
    <row r="28" spans="1:17" ht="14.1" customHeight="1">
      <c r="A28" s="11">
        <v>512362914</v>
      </c>
      <c r="B28">
        <v>7205</v>
      </c>
      <c r="C28" s="11" t="s">
        <v>1217</v>
      </c>
      <c r="D28" s="11" t="s">
        <v>3109</v>
      </c>
      <c r="E28" s="11" t="s">
        <v>3110</v>
      </c>
      <c r="F28" s="27" t="s">
        <v>34</v>
      </c>
      <c r="G28" t="s">
        <v>3373</v>
      </c>
      <c r="H28">
        <v>666103965</v>
      </c>
      <c r="I28" s="11" t="s">
        <v>34</v>
      </c>
      <c r="J28" s="11" t="s">
        <v>35</v>
      </c>
      <c r="K28" s="179">
        <v>42743</v>
      </c>
      <c r="L28" s="178">
        <v>2380</v>
      </c>
      <c r="M28" s="178">
        <v>2380</v>
      </c>
      <c r="N28" s="184">
        <v>2042.3579</v>
      </c>
      <c r="O28" s="178">
        <v>2042.3579</v>
      </c>
      <c r="P28" s="175">
        <v>0.85813357142857138</v>
      </c>
      <c r="Q28" s="180">
        <v>45664</v>
      </c>
    </row>
    <row r="29" spans="1:17" ht="14.1" customHeight="1">
      <c r="A29" s="11">
        <v>512362914</v>
      </c>
      <c r="B29">
        <v>7205</v>
      </c>
      <c r="C29" s="11" t="s">
        <v>1213</v>
      </c>
      <c r="D29" s="11" t="s">
        <v>3121</v>
      </c>
      <c r="E29" s="11" t="s">
        <v>3393</v>
      </c>
      <c r="F29" s="27" t="s">
        <v>34</v>
      </c>
      <c r="G29" t="s">
        <v>3374</v>
      </c>
      <c r="H29">
        <v>666103163</v>
      </c>
      <c r="I29" s="11" t="s">
        <v>34</v>
      </c>
      <c r="J29" s="11" t="s">
        <v>159</v>
      </c>
      <c r="K29" s="179">
        <v>42354</v>
      </c>
      <c r="L29" s="186">
        <v>1275</v>
      </c>
      <c r="M29" s="178">
        <v>4792.7250000000004</v>
      </c>
      <c r="N29" s="186">
        <v>64.351799999999997</v>
      </c>
      <c r="O29" s="178">
        <v>241.89841619999999</v>
      </c>
      <c r="P29" s="175">
        <v>5.0472000000000003E-2</v>
      </c>
      <c r="Q29" s="180">
        <v>46752</v>
      </c>
    </row>
    <row r="30" spans="1:17" ht="14.1" customHeight="1">
      <c r="A30" s="11">
        <v>512362914</v>
      </c>
      <c r="B30">
        <v>7205</v>
      </c>
      <c r="C30" s="11" t="s">
        <v>1213</v>
      </c>
      <c r="D30" s="11" t="s">
        <v>3082</v>
      </c>
      <c r="E30" s="11" t="s">
        <v>3389</v>
      </c>
      <c r="F30" s="27" t="s">
        <v>34</v>
      </c>
      <c r="G30" t="s">
        <v>3375</v>
      </c>
      <c r="H30">
        <v>666105929</v>
      </c>
      <c r="I30" s="11" t="s">
        <v>34</v>
      </c>
      <c r="J30" s="11" t="s">
        <v>35</v>
      </c>
      <c r="K30" s="179">
        <v>43125</v>
      </c>
      <c r="L30" s="178">
        <v>10200</v>
      </c>
      <c r="M30" s="178">
        <v>10200</v>
      </c>
      <c r="N30" s="176">
        <v>832.76454999999999</v>
      </c>
      <c r="O30" s="178">
        <v>832.76454999999999</v>
      </c>
      <c r="P30" s="175">
        <v>8.1643583333333339E-2</v>
      </c>
      <c r="Q30" s="180">
        <v>47143</v>
      </c>
    </row>
    <row r="31" spans="1:17" ht="14.1" customHeight="1">
      <c r="A31" s="11">
        <v>512362914</v>
      </c>
      <c r="B31">
        <v>7205</v>
      </c>
      <c r="C31" s="11" t="s">
        <v>1217</v>
      </c>
      <c r="D31" s="11" t="s">
        <v>3098</v>
      </c>
      <c r="E31" s="11" t="s">
        <v>3397</v>
      </c>
      <c r="F31" s="27" t="s">
        <v>34</v>
      </c>
      <c r="G31" t="s">
        <v>3376</v>
      </c>
      <c r="H31">
        <v>666106026</v>
      </c>
      <c r="I31" s="11" t="s">
        <v>34</v>
      </c>
      <c r="J31" s="11" t="s">
        <v>159</v>
      </c>
      <c r="K31" s="179">
        <v>43272</v>
      </c>
      <c r="L31" s="186">
        <v>4250</v>
      </c>
      <c r="M31" s="178">
        <v>15975.75</v>
      </c>
      <c r="N31" s="186">
        <v>643.72370000000001</v>
      </c>
      <c r="O31" s="178">
        <v>2419.7573882999995</v>
      </c>
      <c r="P31" s="175">
        <v>0.1514644</v>
      </c>
      <c r="Q31" s="180">
        <v>45749</v>
      </c>
    </row>
    <row r="32" spans="1:17" ht="14.1" customHeight="1">
      <c r="A32" s="11">
        <v>512362914</v>
      </c>
      <c r="B32">
        <v>7205</v>
      </c>
      <c r="C32" s="11" t="s">
        <v>1217</v>
      </c>
      <c r="D32" s="11" t="s">
        <v>3098</v>
      </c>
      <c r="E32" s="11" t="s">
        <v>3397</v>
      </c>
      <c r="F32" s="27" t="s">
        <v>34</v>
      </c>
      <c r="G32" t="s">
        <v>3377</v>
      </c>
      <c r="H32">
        <v>666107438</v>
      </c>
      <c r="I32" s="11" t="s">
        <v>34</v>
      </c>
      <c r="J32" s="11" t="s">
        <v>159</v>
      </c>
      <c r="K32" s="179">
        <v>43900</v>
      </c>
      <c r="L32" s="186">
        <v>3333</v>
      </c>
      <c r="M32" s="178">
        <v>12528.746999999999</v>
      </c>
      <c r="N32" s="186">
        <v>794.95216349999998</v>
      </c>
      <c r="O32" s="178">
        <v>2988.2251825965</v>
      </c>
      <c r="P32" s="175">
        <v>0.23850950000000001</v>
      </c>
      <c r="Q32" s="180">
        <v>46989</v>
      </c>
    </row>
    <row r="33" spans="1:17" ht="14.1" customHeight="1">
      <c r="A33" s="11">
        <v>512362914</v>
      </c>
      <c r="B33">
        <v>7205</v>
      </c>
      <c r="C33" s="11" t="s">
        <v>1216</v>
      </c>
      <c r="D33" s="11" t="s">
        <v>3098</v>
      </c>
      <c r="E33" s="11" t="s">
        <v>3397</v>
      </c>
      <c r="F33" s="27" t="s">
        <v>34</v>
      </c>
      <c r="G33" t="s">
        <v>3378</v>
      </c>
      <c r="H33">
        <v>666110671</v>
      </c>
      <c r="I33" s="11" t="s">
        <v>34</v>
      </c>
      <c r="J33" s="11" t="s">
        <v>159</v>
      </c>
      <c r="K33" s="179">
        <v>44781</v>
      </c>
      <c r="L33" s="186">
        <v>2450</v>
      </c>
      <c r="M33" s="178">
        <v>9209.5499999999993</v>
      </c>
      <c r="N33" s="186">
        <v>1361.3335166666666</v>
      </c>
      <c r="O33" s="178">
        <v>5117.2526891500002</v>
      </c>
      <c r="P33" s="175">
        <v>0.55564633333333335</v>
      </c>
      <c r="Q33" s="180">
        <v>47856</v>
      </c>
    </row>
    <row r="34" spans="1:17" ht="14.1" customHeight="1">
      <c r="A34" s="11">
        <v>512362914</v>
      </c>
      <c r="B34">
        <v>7205</v>
      </c>
      <c r="C34" s="11" t="s">
        <v>1213</v>
      </c>
      <c r="D34" s="11" t="s">
        <v>3087</v>
      </c>
      <c r="E34" s="11" t="s">
        <v>3392</v>
      </c>
      <c r="F34" s="27" t="s">
        <v>34</v>
      </c>
      <c r="G34" t="s">
        <v>3379</v>
      </c>
      <c r="H34">
        <v>666110341</v>
      </c>
      <c r="I34" s="11" t="s">
        <v>34</v>
      </c>
      <c r="J34" s="11" t="s">
        <v>159</v>
      </c>
      <c r="K34" s="179">
        <v>44679</v>
      </c>
      <c r="L34" s="186">
        <v>2490</v>
      </c>
      <c r="M34" s="178">
        <v>9359.91</v>
      </c>
      <c r="N34" s="186">
        <v>1294.8</v>
      </c>
      <c r="O34" s="178">
        <v>4867.1531999999997</v>
      </c>
      <c r="P34" s="175">
        <v>0.52</v>
      </c>
      <c r="Q34" s="180">
        <v>47784</v>
      </c>
    </row>
    <row r="35" spans="1:17" ht="14.1" customHeight="1">
      <c r="A35" s="11">
        <v>512362914</v>
      </c>
      <c r="B35">
        <v>7205</v>
      </c>
      <c r="C35" s="11" t="s">
        <v>1213</v>
      </c>
      <c r="D35" s="11" t="s">
        <v>3129</v>
      </c>
      <c r="E35" s="11" t="s">
        <v>3403</v>
      </c>
      <c r="F35" s="27" t="s">
        <v>34</v>
      </c>
      <c r="G35" t="s">
        <v>3380</v>
      </c>
      <c r="H35">
        <v>666106133</v>
      </c>
      <c r="I35" s="11" t="s">
        <v>34</v>
      </c>
      <c r="J35" s="11" t="s">
        <v>159</v>
      </c>
      <c r="K35" s="179">
        <v>42730</v>
      </c>
      <c r="L35" s="186">
        <v>2550</v>
      </c>
      <c r="M35" s="178">
        <v>9585.4500000000007</v>
      </c>
      <c r="N35" s="186">
        <v>127.5</v>
      </c>
      <c r="O35" s="178">
        <v>479.27249999999998</v>
      </c>
      <c r="P35" s="175">
        <v>0.05</v>
      </c>
      <c r="Q35" s="180">
        <v>46025</v>
      </c>
    </row>
    <row r="36" spans="1:17" ht="14.1" customHeight="1">
      <c r="A36" s="11">
        <v>512362914</v>
      </c>
      <c r="B36">
        <v>7205</v>
      </c>
      <c r="C36" s="11" t="s">
        <v>1213</v>
      </c>
      <c r="D36" s="11" t="s">
        <v>3117</v>
      </c>
      <c r="E36" s="11" t="s">
        <v>3401</v>
      </c>
      <c r="F36" s="27" t="s">
        <v>34</v>
      </c>
      <c r="G36" t="s">
        <v>3381</v>
      </c>
      <c r="H36">
        <v>666107446</v>
      </c>
      <c r="I36" s="11" t="s">
        <v>34</v>
      </c>
      <c r="J36" s="11" t="s">
        <v>35</v>
      </c>
      <c r="K36" s="179">
        <v>43730</v>
      </c>
      <c r="L36" s="178">
        <v>24600</v>
      </c>
      <c r="M36" s="178">
        <v>24600</v>
      </c>
      <c r="N36" s="176">
        <v>10223.684559999998</v>
      </c>
      <c r="O36" s="178">
        <v>10223.684559999998</v>
      </c>
      <c r="P36" s="175">
        <v>0.41559693333333331</v>
      </c>
      <c r="Q36" s="180">
        <v>46415</v>
      </c>
    </row>
    <row r="37" spans="1:17" ht="14.1" customHeight="1">
      <c r="A37" s="11">
        <v>512362914</v>
      </c>
      <c r="B37">
        <v>7205</v>
      </c>
      <c r="C37" s="11" t="s">
        <v>1216</v>
      </c>
      <c r="D37" s="11" t="s">
        <v>3156</v>
      </c>
      <c r="E37" s="11" t="s">
        <v>3157</v>
      </c>
      <c r="F37" s="27" t="s">
        <v>34</v>
      </c>
      <c r="G37" t="s">
        <v>3382</v>
      </c>
      <c r="H37">
        <v>666109236</v>
      </c>
      <c r="I37" s="11" t="s">
        <v>34</v>
      </c>
      <c r="J37" s="11" t="s">
        <v>159</v>
      </c>
      <c r="K37" s="179">
        <v>44370</v>
      </c>
      <c r="L37" s="186">
        <v>2520</v>
      </c>
      <c r="M37" s="178">
        <v>9472.68</v>
      </c>
      <c r="N37" s="186">
        <v>0</v>
      </c>
      <c r="O37" s="178">
        <v>0</v>
      </c>
      <c r="P37" s="175">
        <v>0</v>
      </c>
      <c r="Q37" s="180">
        <v>46771</v>
      </c>
    </row>
    <row r="38" spans="1:17" ht="14.1" customHeight="1">
      <c r="A38" s="11">
        <v>512362914</v>
      </c>
      <c r="B38">
        <v>7205</v>
      </c>
      <c r="C38" s="11" t="s">
        <v>1216</v>
      </c>
      <c r="D38" s="11" t="s">
        <v>3134</v>
      </c>
      <c r="E38" s="11" t="s">
        <v>3388</v>
      </c>
      <c r="F38" s="27" t="s">
        <v>34</v>
      </c>
      <c r="G38" t="s">
        <v>3383</v>
      </c>
      <c r="H38">
        <v>666109723</v>
      </c>
      <c r="I38" s="11" t="s">
        <v>34</v>
      </c>
      <c r="J38" s="11" t="s">
        <v>169</v>
      </c>
      <c r="K38" s="179">
        <v>44448</v>
      </c>
      <c r="L38" s="185">
        <v>1650</v>
      </c>
      <c r="M38" s="178">
        <v>6633.33</v>
      </c>
      <c r="N38" s="185">
        <v>437.25</v>
      </c>
      <c r="O38" s="178">
        <v>1757.8324499999999</v>
      </c>
      <c r="P38" s="175">
        <v>0.26500000000000001</v>
      </c>
      <c r="Q38" s="180">
        <v>47410</v>
      </c>
    </row>
    <row r="39" spans="1:17" ht="14.1" customHeight="1">
      <c r="A39" s="11">
        <v>512362914</v>
      </c>
      <c r="B39">
        <v>7205</v>
      </c>
      <c r="C39" s="11" t="s">
        <v>1216</v>
      </c>
      <c r="D39" s="11" t="s">
        <v>3166</v>
      </c>
      <c r="E39" s="11" t="s">
        <v>3400</v>
      </c>
      <c r="F39" s="27" t="s">
        <v>34</v>
      </c>
      <c r="G39" t="s">
        <v>3384</v>
      </c>
      <c r="H39">
        <v>666109954</v>
      </c>
      <c r="I39" s="11" t="s">
        <v>34</v>
      </c>
      <c r="J39" s="11" t="s">
        <v>159</v>
      </c>
      <c r="K39" s="179">
        <v>44545</v>
      </c>
      <c r="L39" s="186">
        <v>2520</v>
      </c>
      <c r="M39" s="178">
        <v>9472.68</v>
      </c>
      <c r="N39" s="186">
        <v>589.00379999999996</v>
      </c>
      <c r="O39" s="178">
        <v>2214.0652841999995</v>
      </c>
      <c r="P39" s="175">
        <v>0.23373166666666667</v>
      </c>
      <c r="Q39" s="180">
        <v>48333</v>
      </c>
    </row>
    <row r="40" spans="1:17" ht="14.1" customHeight="1">
      <c r="A40" s="11">
        <v>512362914</v>
      </c>
      <c r="B40">
        <v>7205</v>
      </c>
      <c r="C40" s="11" t="s">
        <v>1217</v>
      </c>
      <c r="D40" s="11" t="s">
        <v>3125</v>
      </c>
      <c r="E40" s="11" t="s">
        <v>3126</v>
      </c>
      <c r="F40" s="27" t="s">
        <v>1552</v>
      </c>
      <c r="G40" t="s">
        <v>3385</v>
      </c>
      <c r="H40">
        <v>666109921</v>
      </c>
      <c r="I40" s="11" t="s">
        <v>34</v>
      </c>
      <c r="J40" s="11" t="s">
        <v>35</v>
      </c>
      <c r="K40" s="179">
        <v>44560</v>
      </c>
      <c r="L40" s="178">
        <v>12700</v>
      </c>
      <c r="M40" s="178">
        <v>12700</v>
      </c>
      <c r="N40" s="176">
        <v>7891.0417066666669</v>
      </c>
      <c r="O40" s="178">
        <v>7891.0417066666669</v>
      </c>
      <c r="P40" s="175">
        <v>0.62134186666666669</v>
      </c>
      <c r="Q40" s="180">
        <v>46021</v>
      </c>
    </row>
    <row r="41" spans="1:17" ht="14.1" customHeight="1">
      <c r="A41" s="11">
        <v>512362914</v>
      </c>
      <c r="B41">
        <v>7205</v>
      </c>
      <c r="C41" s="11" t="s">
        <v>1216</v>
      </c>
      <c r="D41" s="11" t="s">
        <v>3139</v>
      </c>
      <c r="E41" s="11" t="s">
        <v>3402</v>
      </c>
      <c r="F41" s="27" t="s">
        <v>504</v>
      </c>
      <c r="G41" t="s">
        <v>3386</v>
      </c>
      <c r="H41">
        <v>666110408</v>
      </c>
      <c r="I41" s="11" t="s">
        <v>34</v>
      </c>
      <c r="J41" s="11" t="s">
        <v>159</v>
      </c>
      <c r="K41" s="180">
        <v>44680</v>
      </c>
      <c r="L41" s="186">
        <v>1670</v>
      </c>
      <c r="M41" s="178">
        <v>6277.53</v>
      </c>
      <c r="N41" s="186">
        <v>321.17106000000001</v>
      </c>
      <c r="O41" s="178">
        <v>1207.2820145399999</v>
      </c>
      <c r="P41" s="175">
        <v>0.19231799999999999</v>
      </c>
      <c r="Q41" s="180">
        <v>46640</v>
      </c>
    </row>
    <row r="42" spans="1:17" ht="14.1" customHeight="1">
      <c r="A42" s="11">
        <v>512362914</v>
      </c>
      <c r="B42">
        <v>7205</v>
      </c>
      <c r="C42" s="11" t="s">
        <v>1216</v>
      </c>
      <c r="D42" s="11" t="s">
        <v>3149</v>
      </c>
      <c r="E42" s="11" t="s">
        <v>3394</v>
      </c>
      <c r="F42" s="27" t="s">
        <v>505</v>
      </c>
      <c r="G42" t="s">
        <v>3151</v>
      </c>
      <c r="H42">
        <v>666109798</v>
      </c>
      <c r="I42" s="11" t="s">
        <v>34</v>
      </c>
      <c r="J42" s="11" t="s">
        <v>159</v>
      </c>
      <c r="K42" s="180">
        <v>44559</v>
      </c>
      <c r="L42" s="186">
        <v>1650</v>
      </c>
      <c r="M42" s="178">
        <v>6202.35</v>
      </c>
      <c r="N42" s="186">
        <v>1211.0999999999999</v>
      </c>
      <c r="O42" s="178">
        <v>4552.5248999999994</v>
      </c>
      <c r="P42" s="175">
        <v>0.73399999999999999</v>
      </c>
      <c r="Q42" s="180">
        <v>47666</v>
      </c>
    </row>
    <row r="43" spans="1:17" ht="14.1" customHeight="1">
      <c r="A43" s="11">
        <v>512362914</v>
      </c>
      <c r="B43">
        <v>7205</v>
      </c>
      <c r="C43" s="11" t="s">
        <v>1216</v>
      </c>
      <c r="D43" s="11" t="s">
        <v>3161</v>
      </c>
      <c r="E43" s="11" t="s">
        <v>3399</v>
      </c>
      <c r="F43" s="11" t="s">
        <v>34</v>
      </c>
      <c r="G43" t="s">
        <v>3387</v>
      </c>
      <c r="H43">
        <v>666110754</v>
      </c>
      <c r="I43" s="11" t="s">
        <v>34</v>
      </c>
      <c r="J43" s="11" t="s">
        <v>159</v>
      </c>
      <c r="K43" s="180">
        <v>44796</v>
      </c>
      <c r="L43" s="186">
        <v>2000</v>
      </c>
      <c r="M43" s="178">
        <v>7518</v>
      </c>
      <c r="N43" s="186">
        <v>1610.568</v>
      </c>
      <c r="O43" s="178">
        <v>6054.1251119999997</v>
      </c>
      <c r="P43" s="175">
        <v>0.805284</v>
      </c>
      <c r="Q43" s="180">
        <v>48519</v>
      </c>
    </row>
    <row r="44" spans="1:17" ht="14.1" customHeight="1">
      <c r="A44" s="11">
        <v>512362914</v>
      </c>
      <c r="B44">
        <v>7205</v>
      </c>
      <c r="C44" s="11" t="s">
        <v>1213</v>
      </c>
      <c r="D44" s="11" t="s">
        <v>3142</v>
      </c>
      <c r="E44" s="11" t="s">
        <v>3390</v>
      </c>
      <c r="F44" s="11" t="s">
        <v>34</v>
      </c>
      <c r="G44" t="s">
        <v>3144</v>
      </c>
      <c r="H44">
        <v>666110800</v>
      </c>
      <c r="I44" s="11" t="s">
        <v>34</v>
      </c>
      <c r="J44" s="11" t="s">
        <v>159</v>
      </c>
      <c r="K44" s="180">
        <v>44893</v>
      </c>
      <c r="L44" s="186">
        <v>2400</v>
      </c>
      <c r="M44" s="178">
        <v>9021.6</v>
      </c>
      <c r="N44" s="186">
        <v>2232</v>
      </c>
      <c r="O44" s="178">
        <v>8390.0879999999997</v>
      </c>
      <c r="P44" s="175">
        <v>0.93</v>
      </c>
      <c r="Q44" s="180">
        <v>49457</v>
      </c>
    </row>
    <row r="45" spans="1:17" ht="14.1" customHeight="1">
      <c r="A45" s="11">
        <v>512362914</v>
      </c>
      <c r="B45">
        <v>7205</v>
      </c>
      <c r="C45" s="11" t="s">
        <v>1216</v>
      </c>
      <c r="D45" s="11" t="s">
        <v>3169</v>
      </c>
      <c r="E45" s="11" t="s">
        <v>3391</v>
      </c>
      <c r="F45" s="11" t="s">
        <v>34</v>
      </c>
      <c r="G45" t="s">
        <v>3171</v>
      </c>
      <c r="H45">
        <v>666110801</v>
      </c>
      <c r="I45" s="11" t="s">
        <v>34</v>
      </c>
      <c r="J45" s="11" t="s">
        <v>159</v>
      </c>
      <c r="K45" s="180">
        <v>45007</v>
      </c>
      <c r="L45" s="186">
        <v>2380</v>
      </c>
      <c r="M45" s="178">
        <v>8946.42</v>
      </c>
      <c r="N45" s="186">
        <v>1577.2239999999999</v>
      </c>
      <c r="O45" s="178">
        <v>5928.7865697200004</v>
      </c>
      <c r="P45" s="175">
        <v>0.66269933333333331</v>
      </c>
      <c r="Q45" s="180">
        <v>48304</v>
      </c>
    </row>
    <row r="46" spans="1:17" ht="14.1" customHeight="1">
      <c r="A46" s="11">
        <v>512362914</v>
      </c>
      <c r="B46">
        <v>7206</v>
      </c>
      <c r="C46" s="11" t="s">
        <v>1217</v>
      </c>
      <c r="D46" s="11" t="s">
        <v>3098</v>
      </c>
      <c r="E46" s="11" t="s">
        <v>3397</v>
      </c>
      <c r="F46" s="27" t="s">
        <v>34</v>
      </c>
      <c r="G46" t="s">
        <v>3377</v>
      </c>
      <c r="H46">
        <v>666107438</v>
      </c>
      <c r="I46" s="11" t="s">
        <v>34</v>
      </c>
      <c r="J46" s="11" t="s">
        <v>159</v>
      </c>
      <c r="K46" s="179">
        <v>43900</v>
      </c>
      <c r="L46" s="186">
        <v>40</v>
      </c>
      <c r="M46" s="178">
        <v>150.36000000000001</v>
      </c>
      <c r="N46" s="186">
        <v>9.5403800000000007</v>
      </c>
      <c r="O46" s="178">
        <v>35.862288420000006</v>
      </c>
      <c r="P46" s="175">
        <v>0.23850950000000001</v>
      </c>
      <c r="Q46" s="180">
        <v>46989</v>
      </c>
    </row>
    <row r="47" spans="1:17" ht="14.1" customHeight="1">
      <c r="A47" s="11">
        <v>512362914</v>
      </c>
      <c r="B47">
        <v>7206</v>
      </c>
      <c r="C47" s="11" t="s">
        <v>1216</v>
      </c>
      <c r="D47" s="11" t="s">
        <v>3098</v>
      </c>
      <c r="E47" s="11" t="s">
        <v>3397</v>
      </c>
      <c r="F47" s="27" t="s">
        <v>34</v>
      </c>
      <c r="G47" t="s">
        <v>3378</v>
      </c>
      <c r="H47">
        <v>666110671</v>
      </c>
      <c r="I47" s="11" t="s">
        <v>34</v>
      </c>
      <c r="J47" s="11" t="s">
        <v>159</v>
      </c>
      <c r="K47" s="179">
        <v>44781</v>
      </c>
      <c r="L47" s="186">
        <v>80</v>
      </c>
      <c r="M47" s="178">
        <v>300.72000000000003</v>
      </c>
      <c r="N47" s="186">
        <v>44.451706666666674</v>
      </c>
      <c r="O47" s="178">
        <v>167.09396536000003</v>
      </c>
      <c r="P47" s="175">
        <v>0.55564633333333335</v>
      </c>
      <c r="Q47" s="180">
        <v>47856</v>
      </c>
    </row>
    <row r="48" spans="1:17" ht="14.1" customHeight="1">
      <c r="A48" s="11">
        <v>512362914</v>
      </c>
      <c r="B48">
        <v>7206</v>
      </c>
      <c r="C48" s="11" t="s">
        <v>1213</v>
      </c>
      <c r="D48" s="11" t="s">
        <v>3087</v>
      </c>
      <c r="E48" s="11" t="s">
        <v>3392</v>
      </c>
      <c r="F48" s="27" t="s">
        <v>34</v>
      </c>
      <c r="G48" t="s">
        <v>3379</v>
      </c>
      <c r="H48">
        <v>666110341</v>
      </c>
      <c r="I48" s="11" t="s">
        <v>34</v>
      </c>
      <c r="J48" s="11" t="s">
        <v>159</v>
      </c>
      <c r="K48" s="179">
        <v>44679</v>
      </c>
      <c r="L48" s="186">
        <v>30</v>
      </c>
      <c r="M48" s="178">
        <v>112.77</v>
      </c>
      <c r="N48" s="186">
        <v>15.6</v>
      </c>
      <c r="O48" s="178">
        <v>58.6404</v>
      </c>
      <c r="P48" s="175">
        <v>0.52</v>
      </c>
      <c r="Q48" s="180">
        <v>47784</v>
      </c>
    </row>
    <row r="49" spans="1:17" ht="14.1" customHeight="1">
      <c r="A49" s="11">
        <v>512362914</v>
      </c>
      <c r="B49">
        <v>7206</v>
      </c>
      <c r="C49" s="11" t="s">
        <v>1213</v>
      </c>
      <c r="D49" s="11" t="s">
        <v>3117</v>
      </c>
      <c r="E49" s="11" t="s">
        <v>3401</v>
      </c>
      <c r="F49" s="27" t="s">
        <v>34</v>
      </c>
      <c r="G49" t="s">
        <v>3381</v>
      </c>
      <c r="H49">
        <v>666107446</v>
      </c>
      <c r="I49" s="11" t="s">
        <v>34</v>
      </c>
      <c r="J49" s="11" t="s">
        <v>35</v>
      </c>
      <c r="K49" s="179">
        <v>43730</v>
      </c>
      <c r="L49" s="178">
        <v>300</v>
      </c>
      <c r="M49" s="178">
        <v>300</v>
      </c>
      <c r="N49" s="176">
        <v>124.67908</v>
      </c>
      <c r="O49" s="178">
        <v>124.67908</v>
      </c>
      <c r="P49" s="175">
        <v>0.41559693333333331</v>
      </c>
      <c r="Q49" s="180">
        <v>46415</v>
      </c>
    </row>
    <row r="50" spans="1:17" ht="14.1" customHeight="1">
      <c r="A50" s="11">
        <v>512362914</v>
      </c>
      <c r="B50">
        <v>7206</v>
      </c>
      <c r="C50" s="11" t="s">
        <v>1216</v>
      </c>
      <c r="D50" s="11" t="s">
        <v>3156</v>
      </c>
      <c r="E50" s="11" t="s">
        <v>3157</v>
      </c>
      <c r="F50" s="27" t="s">
        <v>34</v>
      </c>
      <c r="G50" t="s">
        <v>3382</v>
      </c>
      <c r="H50">
        <v>666109236</v>
      </c>
      <c r="I50" s="11" t="s">
        <v>34</v>
      </c>
      <c r="J50" s="11" t="s">
        <v>159</v>
      </c>
      <c r="K50" s="179">
        <v>44370</v>
      </c>
      <c r="L50" s="186">
        <v>40</v>
      </c>
      <c r="M50" s="178">
        <v>150.36000000000001</v>
      </c>
      <c r="N50" s="186">
        <v>0</v>
      </c>
      <c r="O50" s="178">
        <v>0</v>
      </c>
      <c r="P50" s="175">
        <v>0</v>
      </c>
      <c r="Q50" s="180">
        <v>46771</v>
      </c>
    </row>
    <row r="51" spans="1:17" ht="14.1" customHeight="1">
      <c r="A51" s="11">
        <v>512362914</v>
      </c>
      <c r="B51">
        <v>7206</v>
      </c>
      <c r="C51" s="11" t="s">
        <v>1216</v>
      </c>
      <c r="D51" s="11" t="s">
        <v>3134</v>
      </c>
      <c r="E51" s="11" t="s">
        <v>3388</v>
      </c>
      <c r="F51" s="27" t="s">
        <v>34</v>
      </c>
      <c r="G51" t="s">
        <v>3383</v>
      </c>
      <c r="H51">
        <v>666109723</v>
      </c>
      <c r="I51" s="11" t="s">
        <v>34</v>
      </c>
      <c r="J51" s="11" t="s">
        <v>169</v>
      </c>
      <c r="K51" s="179">
        <v>44448</v>
      </c>
      <c r="L51" s="185">
        <v>40</v>
      </c>
      <c r="M51" s="178">
        <v>160.80799999999999</v>
      </c>
      <c r="N51" s="185">
        <v>10.6</v>
      </c>
      <c r="O51" s="178">
        <v>42.61412</v>
      </c>
      <c r="P51" s="175">
        <v>0.26500000000000001</v>
      </c>
      <c r="Q51" s="180">
        <v>47410</v>
      </c>
    </row>
    <row r="52" spans="1:17" ht="14.1" customHeight="1">
      <c r="A52" s="11">
        <v>512362914</v>
      </c>
      <c r="B52">
        <v>7206</v>
      </c>
      <c r="C52" s="11" t="s">
        <v>1216</v>
      </c>
      <c r="D52" s="11" t="s">
        <v>3166</v>
      </c>
      <c r="E52" s="11" t="s">
        <v>3400</v>
      </c>
      <c r="F52" s="27" t="s">
        <v>34</v>
      </c>
      <c r="G52" t="s">
        <v>3384</v>
      </c>
      <c r="H52">
        <v>666109954</v>
      </c>
      <c r="I52" s="11" t="s">
        <v>34</v>
      </c>
      <c r="J52" s="11" t="s">
        <v>159</v>
      </c>
      <c r="K52" s="179">
        <v>44545</v>
      </c>
      <c r="L52" s="186">
        <v>40</v>
      </c>
      <c r="M52" s="178">
        <v>150.36000000000001</v>
      </c>
      <c r="N52" s="186">
        <v>9.3492666666666668</v>
      </c>
      <c r="O52" s="178">
        <v>35.143893400000003</v>
      </c>
      <c r="P52" s="175">
        <v>0.23373166666666667</v>
      </c>
      <c r="Q52" s="180">
        <v>48333</v>
      </c>
    </row>
    <row r="53" spans="1:17" ht="14.1" customHeight="1">
      <c r="A53" s="11">
        <v>512362914</v>
      </c>
      <c r="B53">
        <v>7206</v>
      </c>
      <c r="C53" s="11" t="s">
        <v>1217</v>
      </c>
      <c r="D53" s="11" t="s">
        <v>3125</v>
      </c>
      <c r="E53" s="11" t="s">
        <v>3126</v>
      </c>
      <c r="F53" s="27" t="s">
        <v>1552</v>
      </c>
      <c r="G53" t="s">
        <v>3385</v>
      </c>
      <c r="H53">
        <v>666109921</v>
      </c>
      <c r="I53" s="11" t="s">
        <v>34</v>
      </c>
      <c r="J53" s="11" t="s">
        <v>35</v>
      </c>
      <c r="K53" s="179">
        <v>44560</v>
      </c>
      <c r="L53" s="178">
        <v>300</v>
      </c>
      <c r="M53" s="178">
        <v>300</v>
      </c>
      <c r="N53" s="176">
        <v>186.40255999999999</v>
      </c>
      <c r="O53" s="178">
        <v>186.40255999999999</v>
      </c>
      <c r="P53" s="175">
        <v>0.62134186666666669</v>
      </c>
      <c r="Q53" s="180">
        <v>46021</v>
      </c>
    </row>
    <row r="54" spans="1:17" ht="14.1" customHeight="1">
      <c r="A54" s="11">
        <v>512362914</v>
      </c>
      <c r="B54">
        <v>7206</v>
      </c>
      <c r="C54" s="11" t="s">
        <v>1216</v>
      </c>
      <c r="D54" s="11" t="s">
        <v>3139</v>
      </c>
      <c r="E54" s="11" t="s">
        <v>3402</v>
      </c>
      <c r="F54" s="27" t="s">
        <v>504</v>
      </c>
      <c r="G54" t="s">
        <v>3386</v>
      </c>
      <c r="H54">
        <v>666110408</v>
      </c>
      <c r="I54" s="11" t="s">
        <v>34</v>
      </c>
      <c r="J54" s="11" t="s">
        <v>159</v>
      </c>
      <c r="K54" s="180">
        <v>44680</v>
      </c>
      <c r="L54" s="186">
        <v>30</v>
      </c>
      <c r="M54" s="178">
        <v>112.77</v>
      </c>
      <c r="N54" s="186">
        <v>5.7695400000000001</v>
      </c>
      <c r="O54" s="178">
        <v>21.68770086</v>
      </c>
      <c r="P54" s="175">
        <v>0.19231799999999999</v>
      </c>
      <c r="Q54" s="180">
        <v>46640</v>
      </c>
    </row>
    <row r="55" spans="1:17" ht="14.1" customHeight="1">
      <c r="A55" s="11">
        <v>512362914</v>
      </c>
      <c r="B55">
        <v>7206</v>
      </c>
      <c r="C55" s="11" t="s">
        <v>1216</v>
      </c>
      <c r="D55" s="11" t="s">
        <v>3149</v>
      </c>
      <c r="E55" s="11" t="s">
        <v>3394</v>
      </c>
      <c r="F55" s="27" t="s">
        <v>505</v>
      </c>
      <c r="G55" t="s">
        <v>3151</v>
      </c>
      <c r="H55">
        <v>666109798</v>
      </c>
      <c r="I55" s="11" t="s">
        <v>34</v>
      </c>
      <c r="J55" s="11" t="s">
        <v>159</v>
      </c>
      <c r="K55" s="180">
        <v>44559</v>
      </c>
      <c r="L55" s="186">
        <v>40</v>
      </c>
      <c r="M55" s="178">
        <v>150.36000000000001</v>
      </c>
      <c r="N55" s="186">
        <v>29.36</v>
      </c>
      <c r="O55" s="178">
        <v>110.36424</v>
      </c>
      <c r="P55" s="175">
        <v>0.73399999999999999</v>
      </c>
      <c r="Q55" s="180">
        <v>47666</v>
      </c>
    </row>
    <row r="56" spans="1:17" ht="14.1" customHeight="1">
      <c r="A56" s="11">
        <v>512362914</v>
      </c>
      <c r="B56">
        <v>7206</v>
      </c>
      <c r="C56" s="11" t="s">
        <v>1216</v>
      </c>
      <c r="D56" s="11" t="s">
        <v>3161</v>
      </c>
      <c r="E56" s="11" t="s">
        <v>3399</v>
      </c>
      <c r="F56" s="11" t="s">
        <v>34</v>
      </c>
      <c r="G56" t="s">
        <v>3387</v>
      </c>
      <c r="H56">
        <v>666110754</v>
      </c>
      <c r="I56" s="11" t="s">
        <v>34</v>
      </c>
      <c r="J56" s="11" t="s">
        <v>159</v>
      </c>
      <c r="K56" s="180">
        <v>44796</v>
      </c>
      <c r="L56" s="186">
        <v>50</v>
      </c>
      <c r="M56" s="178">
        <v>187.95</v>
      </c>
      <c r="N56" s="186">
        <v>40.264200000000002</v>
      </c>
      <c r="O56" s="178">
        <v>151.35312780000001</v>
      </c>
      <c r="P56" s="175">
        <v>0.805284</v>
      </c>
      <c r="Q56" s="180">
        <v>48519</v>
      </c>
    </row>
    <row r="57" spans="1:17" ht="14.1" customHeight="1">
      <c r="A57" s="11">
        <v>512362914</v>
      </c>
      <c r="B57">
        <v>7206</v>
      </c>
      <c r="C57" s="11" t="s">
        <v>1213</v>
      </c>
      <c r="D57" s="11" t="s">
        <v>3142</v>
      </c>
      <c r="E57" s="11" t="s">
        <v>3390</v>
      </c>
      <c r="F57" s="11" t="s">
        <v>34</v>
      </c>
      <c r="G57" t="s">
        <v>3144</v>
      </c>
      <c r="H57">
        <v>666110800</v>
      </c>
      <c r="I57" s="11" t="s">
        <v>34</v>
      </c>
      <c r="J57" s="11" t="s">
        <v>159</v>
      </c>
      <c r="K57" s="180">
        <v>44893</v>
      </c>
      <c r="L57" s="186">
        <v>99.999999999999972</v>
      </c>
      <c r="M57" s="178">
        <v>375.9</v>
      </c>
      <c r="N57" s="186">
        <v>92.999999999999986</v>
      </c>
      <c r="O57" s="178">
        <v>349.58699999999993</v>
      </c>
      <c r="P57" s="175">
        <v>0.93</v>
      </c>
      <c r="Q57" s="180">
        <v>49457</v>
      </c>
    </row>
    <row r="58" spans="1:17" ht="14.1" customHeight="1">
      <c r="A58" s="11">
        <v>512362914</v>
      </c>
      <c r="B58">
        <v>7206</v>
      </c>
      <c r="C58" s="11" t="s">
        <v>1216</v>
      </c>
      <c r="D58" s="11" t="s">
        <v>3169</v>
      </c>
      <c r="E58" s="11" t="s">
        <v>3391</v>
      </c>
      <c r="F58" s="11" t="s">
        <v>34</v>
      </c>
      <c r="G58" t="s">
        <v>3171</v>
      </c>
      <c r="H58">
        <v>666110801</v>
      </c>
      <c r="I58" s="11" t="s">
        <v>34</v>
      </c>
      <c r="J58" s="11" t="s">
        <v>159</v>
      </c>
      <c r="K58" s="180">
        <v>45007</v>
      </c>
      <c r="L58" s="186">
        <v>80</v>
      </c>
      <c r="M58" s="178">
        <v>300.72000000000003</v>
      </c>
      <c r="N58" s="186">
        <v>53.015946666666672</v>
      </c>
      <c r="O58" s="178">
        <v>199.28694351999999</v>
      </c>
      <c r="P58" s="175">
        <v>0.66269933333333331</v>
      </c>
      <c r="Q58" s="180">
        <v>48304</v>
      </c>
    </row>
    <row r="59" spans="1:17" ht="14.1" customHeight="1">
      <c r="A59" s="11">
        <v>512362914</v>
      </c>
      <c r="B59">
        <v>7207</v>
      </c>
      <c r="C59" s="11" t="s">
        <v>1217</v>
      </c>
      <c r="D59" s="11" t="s">
        <v>3098</v>
      </c>
      <c r="E59" s="11" t="s">
        <v>3397</v>
      </c>
      <c r="F59" s="27" t="s">
        <v>34</v>
      </c>
      <c r="G59" t="s">
        <v>3377</v>
      </c>
      <c r="H59">
        <v>666107438</v>
      </c>
      <c r="I59" s="11" t="s">
        <v>34</v>
      </c>
      <c r="J59" s="11" t="s">
        <v>159</v>
      </c>
      <c r="K59" s="179">
        <v>43900</v>
      </c>
      <c r="L59" s="186">
        <v>67</v>
      </c>
      <c r="M59" s="178">
        <v>251.85300000000001</v>
      </c>
      <c r="N59" s="186">
        <v>15.9801365</v>
      </c>
      <c r="O59" s="178">
        <v>60.0693331035</v>
      </c>
      <c r="P59" s="175">
        <v>0.23850950000000001</v>
      </c>
      <c r="Q59" s="180">
        <v>46989</v>
      </c>
    </row>
    <row r="60" spans="1:17" ht="14.1" customHeight="1">
      <c r="A60" s="11">
        <v>512362914</v>
      </c>
      <c r="B60">
        <v>7207</v>
      </c>
      <c r="C60" s="11" t="s">
        <v>1216</v>
      </c>
      <c r="D60" s="11" t="s">
        <v>3098</v>
      </c>
      <c r="E60" s="11" t="s">
        <v>3397</v>
      </c>
      <c r="F60" s="27" t="s">
        <v>34</v>
      </c>
      <c r="G60" t="s">
        <v>3378</v>
      </c>
      <c r="H60">
        <v>666110671</v>
      </c>
      <c r="I60" s="11" t="s">
        <v>34</v>
      </c>
      <c r="J60" s="11" t="s">
        <v>159</v>
      </c>
      <c r="K60" s="179">
        <v>44781</v>
      </c>
      <c r="L60" s="186">
        <v>140</v>
      </c>
      <c r="M60" s="178">
        <v>526.26</v>
      </c>
      <c r="N60" s="186">
        <v>77.790486666666666</v>
      </c>
      <c r="O60" s="178">
        <v>292.41443937999998</v>
      </c>
      <c r="P60" s="175">
        <v>0.55564633333333335</v>
      </c>
      <c r="Q60" s="180">
        <v>47856</v>
      </c>
    </row>
    <row r="61" spans="1:17" ht="14.1" customHeight="1">
      <c r="A61" s="11">
        <v>512362914</v>
      </c>
      <c r="B61">
        <v>7207</v>
      </c>
      <c r="C61" s="11" t="s">
        <v>1213</v>
      </c>
      <c r="D61" s="11" t="s">
        <v>3087</v>
      </c>
      <c r="E61" s="11" t="s">
        <v>3392</v>
      </c>
      <c r="F61" s="27" t="s">
        <v>34</v>
      </c>
      <c r="G61" t="s">
        <v>3379</v>
      </c>
      <c r="H61">
        <v>666110341</v>
      </c>
      <c r="I61" s="11" t="s">
        <v>34</v>
      </c>
      <c r="J61" s="11" t="s">
        <v>159</v>
      </c>
      <c r="K61" s="179">
        <v>44679</v>
      </c>
      <c r="L61" s="186">
        <v>60</v>
      </c>
      <c r="M61" s="178">
        <v>225.54</v>
      </c>
      <c r="N61" s="186">
        <v>31.2</v>
      </c>
      <c r="O61" s="178">
        <v>117.2808</v>
      </c>
      <c r="P61" s="175">
        <v>0.52</v>
      </c>
      <c r="Q61" s="180">
        <v>47784</v>
      </c>
    </row>
    <row r="62" spans="1:17" ht="14.1" customHeight="1">
      <c r="A62" s="11">
        <v>512362914</v>
      </c>
      <c r="B62">
        <v>7207</v>
      </c>
      <c r="C62" s="11" t="s">
        <v>1213</v>
      </c>
      <c r="D62" s="11" t="s">
        <v>3117</v>
      </c>
      <c r="E62" s="11" t="s">
        <v>3401</v>
      </c>
      <c r="F62" s="27" t="s">
        <v>34</v>
      </c>
      <c r="G62" t="s">
        <v>3381</v>
      </c>
      <c r="H62">
        <v>666107446</v>
      </c>
      <c r="I62" s="11" t="s">
        <v>34</v>
      </c>
      <c r="J62" s="11" t="s">
        <v>35</v>
      </c>
      <c r="K62" s="179">
        <v>43730</v>
      </c>
      <c r="L62" s="178">
        <v>600</v>
      </c>
      <c r="M62" s="178">
        <v>600</v>
      </c>
      <c r="N62" s="176">
        <v>249.35816</v>
      </c>
      <c r="O62" s="178">
        <v>249.35816</v>
      </c>
      <c r="P62" s="175">
        <v>0.41559693333333331</v>
      </c>
      <c r="Q62" s="180">
        <v>46415</v>
      </c>
    </row>
    <row r="63" spans="1:17" ht="14.1" customHeight="1">
      <c r="A63" s="11">
        <v>512362914</v>
      </c>
      <c r="B63">
        <v>7207</v>
      </c>
      <c r="C63" s="11" t="s">
        <v>1216</v>
      </c>
      <c r="D63" s="11" t="s">
        <v>3156</v>
      </c>
      <c r="E63" s="11" t="s">
        <v>3157</v>
      </c>
      <c r="F63" s="27" t="s">
        <v>34</v>
      </c>
      <c r="G63" t="s">
        <v>3382</v>
      </c>
      <c r="H63">
        <v>666109236</v>
      </c>
      <c r="I63" s="11" t="s">
        <v>34</v>
      </c>
      <c r="J63" s="11" t="s">
        <v>159</v>
      </c>
      <c r="K63" s="179">
        <v>44370</v>
      </c>
      <c r="L63" s="186">
        <v>80.000000000000185</v>
      </c>
      <c r="M63" s="178">
        <v>300.72000000000071</v>
      </c>
      <c r="N63" s="186">
        <v>0</v>
      </c>
      <c r="O63" s="178">
        <v>0</v>
      </c>
      <c r="P63" s="175">
        <v>0</v>
      </c>
      <c r="Q63" s="180">
        <v>46771</v>
      </c>
    </row>
    <row r="64" spans="1:17" ht="14.1" customHeight="1">
      <c r="A64" s="11">
        <v>512362914</v>
      </c>
      <c r="B64">
        <v>7207</v>
      </c>
      <c r="C64" s="11" t="s">
        <v>1216</v>
      </c>
      <c r="D64" s="11" t="s">
        <v>3134</v>
      </c>
      <c r="E64" s="11" t="s">
        <v>3388</v>
      </c>
      <c r="F64" s="27" t="s">
        <v>34</v>
      </c>
      <c r="G64" t="s">
        <v>3383</v>
      </c>
      <c r="H64">
        <v>666109723</v>
      </c>
      <c r="I64" s="11" t="s">
        <v>34</v>
      </c>
      <c r="J64" s="11" t="s">
        <v>169</v>
      </c>
      <c r="K64" s="179">
        <v>44448</v>
      </c>
      <c r="L64" s="185">
        <v>60.00000000000005</v>
      </c>
      <c r="M64" s="178">
        <v>241.21200000000022</v>
      </c>
      <c r="N64" s="185">
        <v>15.900000000000015</v>
      </c>
      <c r="O64" s="178">
        <v>63.921180000000057</v>
      </c>
      <c r="P64" s="175">
        <v>0.26500000000000001</v>
      </c>
      <c r="Q64" s="180">
        <v>47410</v>
      </c>
    </row>
    <row r="65" spans="1:17" ht="14.1" customHeight="1">
      <c r="A65" s="11">
        <v>512362914</v>
      </c>
      <c r="B65">
        <v>7207</v>
      </c>
      <c r="C65" s="11" t="s">
        <v>1216</v>
      </c>
      <c r="D65" s="11" t="s">
        <v>3166</v>
      </c>
      <c r="E65" s="11" t="s">
        <v>3400</v>
      </c>
      <c r="F65" s="27" t="s">
        <v>34</v>
      </c>
      <c r="G65" t="s">
        <v>3384</v>
      </c>
      <c r="H65">
        <v>666109954</v>
      </c>
      <c r="I65" s="11" t="s">
        <v>34</v>
      </c>
      <c r="J65" s="11" t="s">
        <v>159</v>
      </c>
      <c r="K65" s="179">
        <v>44545</v>
      </c>
      <c r="L65" s="186">
        <v>80</v>
      </c>
      <c r="M65" s="178">
        <v>300.72000000000003</v>
      </c>
      <c r="N65" s="186">
        <v>18.698533333333334</v>
      </c>
      <c r="O65" s="178">
        <v>70.287786800000006</v>
      </c>
      <c r="P65" s="175">
        <v>0.23373166666666667</v>
      </c>
      <c r="Q65" s="180">
        <v>48333</v>
      </c>
    </row>
    <row r="66" spans="1:17" ht="14.1" customHeight="1">
      <c r="A66" s="11">
        <v>512362914</v>
      </c>
      <c r="B66">
        <v>7207</v>
      </c>
      <c r="C66" s="11" t="s">
        <v>1217</v>
      </c>
      <c r="D66" s="11" t="s">
        <v>3125</v>
      </c>
      <c r="E66" s="11" t="s">
        <v>3126</v>
      </c>
      <c r="F66" s="27" t="s">
        <v>1552</v>
      </c>
      <c r="G66" t="s">
        <v>3385</v>
      </c>
      <c r="H66">
        <v>666109921</v>
      </c>
      <c r="I66" s="11" t="s">
        <v>34</v>
      </c>
      <c r="J66" s="11" t="s">
        <v>35</v>
      </c>
      <c r="K66" s="179">
        <v>44560</v>
      </c>
      <c r="L66" s="178">
        <v>500</v>
      </c>
      <c r="M66" s="178">
        <v>500</v>
      </c>
      <c r="N66" s="176">
        <v>310.67093333333332</v>
      </c>
      <c r="O66" s="178">
        <v>310.67093333333332</v>
      </c>
      <c r="P66" s="175">
        <v>0.62134186666666669</v>
      </c>
      <c r="Q66" s="180">
        <v>46021</v>
      </c>
    </row>
    <row r="67" spans="1:17" ht="14.1" customHeight="1">
      <c r="A67" s="11">
        <v>512362914</v>
      </c>
      <c r="B67">
        <v>7207</v>
      </c>
      <c r="C67" s="11" t="s">
        <v>1216</v>
      </c>
      <c r="D67" s="11" t="s">
        <v>3139</v>
      </c>
      <c r="E67" s="11" t="s">
        <v>3402</v>
      </c>
      <c r="F67" s="27" t="s">
        <v>504</v>
      </c>
      <c r="G67" t="s">
        <v>3386</v>
      </c>
      <c r="H67">
        <v>666110408</v>
      </c>
      <c r="I67" s="11" t="s">
        <v>34</v>
      </c>
      <c r="J67" s="11" t="s">
        <v>159</v>
      </c>
      <c r="K67" s="180">
        <v>44680</v>
      </c>
      <c r="L67" s="186">
        <v>60</v>
      </c>
      <c r="M67" s="178">
        <v>225.54</v>
      </c>
      <c r="N67" s="186">
        <v>11.53908</v>
      </c>
      <c r="O67" s="178">
        <v>43.375401719999999</v>
      </c>
      <c r="P67" s="175">
        <v>0.19231799999999999</v>
      </c>
      <c r="Q67" s="180">
        <v>46640</v>
      </c>
    </row>
    <row r="68" spans="1:17" ht="14.1" customHeight="1">
      <c r="A68" s="11">
        <v>512362914</v>
      </c>
      <c r="B68">
        <v>7207</v>
      </c>
      <c r="C68" s="11" t="s">
        <v>1216</v>
      </c>
      <c r="D68" s="11" t="s">
        <v>3149</v>
      </c>
      <c r="E68" s="11" t="s">
        <v>3394</v>
      </c>
      <c r="F68" s="27" t="s">
        <v>505</v>
      </c>
      <c r="G68" t="s">
        <v>3151</v>
      </c>
      <c r="H68">
        <v>666109798</v>
      </c>
      <c r="I68" s="11" t="s">
        <v>34</v>
      </c>
      <c r="J68" s="11" t="s">
        <v>159</v>
      </c>
      <c r="K68" s="180">
        <v>44559</v>
      </c>
      <c r="L68" s="186">
        <v>60</v>
      </c>
      <c r="M68" s="178">
        <v>225.54</v>
      </c>
      <c r="N68" s="186">
        <v>44.04</v>
      </c>
      <c r="O68" s="178">
        <v>165.54635999999999</v>
      </c>
      <c r="P68" s="175">
        <v>0.73399999999999999</v>
      </c>
      <c r="Q68" s="180">
        <v>47666</v>
      </c>
    </row>
    <row r="69" spans="1:17" ht="14.1" customHeight="1">
      <c r="A69" s="11">
        <v>512362914</v>
      </c>
      <c r="B69">
        <v>7207</v>
      </c>
      <c r="C69" s="11" t="s">
        <v>1216</v>
      </c>
      <c r="D69" s="11" t="s">
        <v>3161</v>
      </c>
      <c r="E69" s="11" t="s">
        <v>3399</v>
      </c>
      <c r="F69" s="11" t="s">
        <v>34</v>
      </c>
      <c r="G69" t="s">
        <v>3387</v>
      </c>
      <c r="H69">
        <v>666110754</v>
      </c>
      <c r="I69" s="11" t="s">
        <v>34</v>
      </c>
      <c r="J69" s="11" t="s">
        <v>159</v>
      </c>
      <c r="K69" s="180">
        <v>44796</v>
      </c>
      <c r="L69" s="186">
        <v>100</v>
      </c>
      <c r="M69" s="178">
        <v>375.9</v>
      </c>
      <c r="N69" s="186">
        <v>80.528400000000005</v>
      </c>
      <c r="O69" s="178">
        <v>302.70625560000002</v>
      </c>
      <c r="P69" s="175">
        <v>0.805284</v>
      </c>
      <c r="Q69" s="180">
        <v>48519</v>
      </c>
    </row>
    <row r="70" spans="1:17" ht="14.1" customHeight="1">
      <c r="A70" s="11">
        <v>512362914</v>
      </c>
      <c r="B70">
        <v>7207</v>
      </c>
      <c r="C70" s="11" t="s">
        <v>1213</v>
      </c>
      <c r="D70" s="11" t="s">
        <v>3142</v>
      </c>
      <c r="E70" s="11" t="s">
        <v>3390</v>
      </c>
      <c r="F70" s="11" t="s">
        <v>34</v>
      </c>
      <c r="G70" t="s">
        <v>3144</v>
      </c>
      <c r="H70">
        <v>666110800</v>
      </c>
      <c r="I70" s="11" t="s">
        <v>34</v>
      </c>
      <c r="J70" s="11" t="s">
        <v>159</v>
      </c>
      <c r="K70" s="180">
        <v>44893</v>
      </c>
      <c r="L70" s="186">
        <v>150</v>
      </c>
      <c r="M70" s="178">
        <v>563.85</v>
      </c>
      <c r="N70" s="186">
        <v>139.5</v>
      </c>
      <c r="O70" s="176">
        <v>524.38049999999998</v>
      </c>
      <c r="P70" s="175">
        <v>0.93</v>
      </c>
      <c r="Q70" s="180">
        <v>49457</v>
      </c>
    </row>
    <row r="71" spans="1:17" ht="14.1" customHeight="1">
      <c r="A71" s="11">
        <v>512362914</v>
      </c>
      <c r="B71">
        <v>7207</v>
      </c>
      <c r="C71" s="11" t="s">
        <v>1216</v>
      </c>
      <c r="D71" s="11" t="s">
        <v>3169</v>
      </c>
      <c r="E71" s="11" t="s">
        <v>3391</v>
      </c>
      <c r="F71" s="11" t="s">
        <v>34</v>
      </c>
      <c r="G71" t="s">
        <v>3171</v>
      </c>
      <c r="H71">
        <v>666110801</v>
      </c>
      <c r="I71" s="11" t="s">
        <v>34</v>
      </c>
      <c r="J71" s="11" t="s">
        <v>159</v>
      </c>
      <c r="K71" s="180">
        <v>45007</v>
      </c>
      <c r="L71" s="186">
        <v>140</v>
      </c>
      <c r="M71" s="178">
        <v>526.26</v>
      </c>
      <c r="N71" s="186">
        <v>92.777906666666681</v>
      </c>
      <c r="O71" s="176">
        <v>348.75215115999998</v>
      </c>
      <c r="P71" s="175">
        <v>0.66269933333333331</v>
      </c>
      <c r="Q71" s="180">
        <v>48304</v>
      </c>
    </row>
  </sheetData>
  <sheetProtection formatColumns="0"/>
  <dataConsolidate/>
  <conditionalFormatting sqref="G24:H71">
    <cfRule type="cellIs" dxfId="0" priority="17" stopIfTrue="1" operator="lessThan">
      <formula>0</formula>
    </cfRule>
  </conditionalFormatting>
  <dataValidations count="2">
    <dataValidation type="list" allowBlank="1" showInputMessage="1" showErrorMessage="1" sqref="F25 F27:F42 F5:F20 F46:F55 F2:F3 F59:F68" xr:uid="{00000000-0002-0000-1E00-000000000000}">
      <formula1>Issuer_Number_Fund</formula1>
    </dataValidation>
    <dataValidation type="list" allowBlank="1" showInputMessage="1" showErrorMessage="1" sqref="I2:I17" xr:uid="{9EDFBCC1-5992-4EB3-8ED9-184F09C90E84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BE314-D46D-4EA4-998E-A647453A92C5}">
          <x14:formula1>
            <xm:f>'I:\EXCEL\account\Name\ALL\PDF דוחות לאוצר 2024אקסל\אקסל רשימות ניע 032024\Mahog\[512362914_gm_0124.xlsx]אפשרויות בחירה'!#REF!</xm:f>
          </x14:formula1>
          <xm:sqref>C2:C3 C25 C16:C19 C38:C41 C51:C54 C64:C67 C5:C7 C27:C29 C9:C14 C31:C36 C46:C49 C59:C62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4"/>
  <cols>
    <col min="1" max="1" width="29.44140625" style="11" customWidth="1"/>
    <col min="2" max="2" width="30.33203125" customWidth="1"/>
    <col min="3" max="3" width="90.88671875" style="15" customWidth="1"/>
    <col min="4" max="4" width="68.88671875" style="11" customWidth="1"/>
    <col min="5" max="5" width="17.33203125" customWidth="1"/>
    <col min="6" max="6" width="59.6640625" customWidth="1"/>
    <col min="7" max="7" width="63.44140625" customWidth="1"/>
    <col min="8" max="8" width="38.77734375" customWidth="1"/>
    <col min="9" max="9" width="9" customWidth="1"/>
  </cols>
  <sheetData>
    <row r="1" spans="1:5" s="51" customFormat="1" ht="41.4">
      <c r="A1" s="50" t="s">
        <v>395</v>
      </c>
      <c r="B1" s="50" t="s">
        <v>396</v>
      </c>
      <c r="C1" s="50" t="s">
        <v>397</v>
      </c>
      <c r="D1" s="50" t="s">
        <v>398</v>
      </c>
    </row>
    <row r="2" spans="1:5">
      <c r="A2" s="85"/>
      <c r="B2" s="85" t="s">
        <v>399</v>
      </c>
      <c r="C2" s="21" t="s">
        <v>31</v>
      </c>
      <c r="D2" s="21"/>
    </row>
    <row r="3" spans="1:5">
      <c r="A3" s="86"/>
      <c r="B3" s="86"/>
      <c r="C3" s="21" t="s">
        <v>154</v>
      </c>
      <c r="D3" s="21"/>
    </row>
    <row r="4" spans="1:5" ht="43.2">
      <c r="A4" s="78"/>
      <c r="B4" s="99" t="s">
        <v>400</v>
      </c>
      <c r="C4" s="22" t="s">
        <v>31</v>
      </c>
      <c r="D4" s="22"/>
    </row>
    <row r="5" spans="1:5">
      <c r="A5" s="79"/>
      <c r="B5" s="100"/>
      <c r="C5" s="22" t="s">
        <v>401</v>
      </c>
      <c r="D5" s="22"/>
    </row>
    <row r="6" spans="1:5">
      <c r="A6" s="79"/>
      <c r="B6" s="100"/>
      <c r="C6" s="22" t="s">
        <v>402</v>
      </c>
      <c r="D6" s="22"/>
    </row>
    <row r="7" spans="1:5">
      <c r="A7" s="79"/>
      <c r="B7" s="100"/>
      <c r="C7" s="22" t="s">
        <v>403</v>
      </c>
      <c r="D7" s="22"/>
    </row>
    <row r="8" spans="1:5">
      <c r="A8" s="79"/>
      <c r="B8" s="100"/>
      <c r="C8" s="22" t="s">
        <v>404</v>
      </c>
      <c r="D8" s="22"/>
    </row>
    <row r="9" spans="1:5">
      <c r="A9" s="79"/>
      <c r="B9" s="100"/>
      <c r="C9" s="22" t="s">
        <v>405</v>
      </c>
      <c r="D9" s="22"/>
    </row>
    <row r="10" spans="1:5">
      <c r="A10" s="79"/>
      <c r="B10" s="100"/>
      <c r="C10" s="22" t="s">
        <v>406</v>
      </c>
      <c r="D10" s="22"/>
    </row>
    <row r="11" spans="1:5">
      <c r="A11" s="79"/>
      <c r="B11" s="100"/>
      <c r="C11" s="22" t="s">
        <v>407</v>
      </c>
      <c r="D11" s="22"/>
      <c r="E11" t="s">
        <v>408</v>
      </c>
    </row>
    <row r="12" spans="1:5">
      <c r="A12" s="79"/>
      <c r="B12" s="100"/>
      <c r="C12" s="22" t="s">
        <v>409</v>
      </c>
      <c r="D12" s="22"/>
      <c r="E12" t="s">
        <v>408</v>
      </c>
    </row>
    <row r="13" spans="1:5">
      <c r="A13" s="79"/>
      <c r="B13" s="100"/>
      <c r="C13" s="22" t="s">
        <v>410</v>
      </c>
      <c r="D13" s="22"/>
    </row>
    <row r="14" spans="1:5">
      <c r="A14" s="79"/>
      <c r="B14" s="100"/>
      <c r="C14" s="22" t="s">
        <v>411</v>
      </c>
      <c r="D14" s="22"/>
    </row>
    <row r="15" spans="1:5">
      <c r="A15" s="79"/>
      <c r="B15" s="100"/>
      <c r="C15" s="22" t="s">
        <v>412</v>
      </c>
      <c r="D15" s="22"/>
    </row>
    <row r="16" spans="1:5">
      <c r="A16" s="79"/>
      <c r="B16" s="100"/>
      <c r="C16" s="22" t="s">
        <v>413</v>
      </c>
      <c r="D16" s="22"/>
    </row>
    <row r="17" spans="1:4">
      <c r="A17" s="79"/>
      <c r="B17" s="100"/>
      <c r="C17" s="22" t="s">
        <v>414</v>
      </c>
      <c r="D17" s="22"/>
    </row>
    <row r="18" spans="1:4">
      <c r="A18" s="79"/>
      <c r="B18" s="100"/>
      <c r="C18" s="22" t="s">
        <v>415</v>
      </c>
      <c r="D18" s="22"/>
    </row>
    <row r="19" spans="1:4">
      <c r="A19" s="79"/>
      <c r="B19" s="100"/>
      <c r="C19" s="22" t="s">
        <v>416</v>
      </c>
      <c r="D19" s="22"/>
    </row>
    <row r="20" spans="1:4">
      <c r="A20" s="79"/>
      <c r="B20" s="100"/>
      <c r="C20" s="22" t="s">
        <v>417</v>
      </c>
      <c r="D20" s="22"/>
    </row>
    <row r="21" spans="1:4">
      <c r="A21" s="79"/>
      <c r="B21" s="100"/>
      <c r="C21" s="22" t="s">
        <v>155</v>
      </c>
      <c r="D21" s="22"/>
    </row>
    <row r="22" spans="1:4">
      <c r="A22" s="79"/>
      <c r="B22" s="100"/>
      <c r="C22" s="22" t="s">
        <v>418</v>
      </c>
      <c r="D22" s="22"/>
    </row>
    <row r="23" spans="1:4">
      <c r="A23" s="79"/>
      <c r="B23" s="100"/>
      <c r="C23" s="22" t="s">
        <v>419</v>
      </c>
      <c r="D23" s="22"/>
    </row>
    <row r="24" spans="1:4">
      <c r="A24" s="79"/>
      <c r="B24" s="100"/>
      <c r="C24" s="22" t="s">
        <v>420</v>
      </c>
      <c r="D24" s="22"/>
    </row>
    <row r="25" spans="1:4">
      <c r="A25" s="79"/>
      <c r="B25" s="100"/>
      <c r="C25" s="22" t="s">
        <v>421</v>
      </c>
      <c r="D25" s="22"/>
    </row>
    <row r="26" spans="1:4">
      <c r="A26" s="79"/>
      <c r="B26" s="100"/>
      <c r="C26" s="22" t="s">
        <v>422</v>
      </c>
      <c r="D26" s="22"/>
    </row>
    <row r="27" spans="1:4">
      <c r="A27" s="79"/>
      <c r="B27" s="100"/>
      <c r="C27" s="22" t="s">
        <v>423</v>
      </c>
      <c r="D27" s="22"/>
    </row>
    <row r="28" spans="1:4">
      <c r="A28" s="79"/>
      <c r="B28" s="100"/>
      <c r="C28" s="22" t="s">
        <v>424</v>
      </c>
      <c r="D28" s="22"/>
    </row>
    <row r="29" spans="1:4">
      <c r="A29" s="79"/>
      <c r="B29" s="100"/>
      <c r="C29" s="22" t="s">
        <v>425</v>
      </c>
      <c r="D29" s="22"/>
    </row>
    <row r="30" spans="1:4">
      <c r="A30" s="79"/>
      <c r="B30" s="100"/>
      <c r="C30" s="22" t="s">
        <v>426</v>
      </c>
      <c r="D30" s="22"/>
    </row>
    <row r="31" spans="1:4">
      <c r="A31" s="79"/>
      <c r="B31" s="100"/>
      <c r="C31" s="22" t="s">
        <v>427</v>
      </c>
      <c r="D31" s="22"/>
    </row>
    <row r="32" spans="1:4">
      <c r="A32" s="79"/>
      <c r="B32" s="100"/>
      <c r="C32" s="22" t="s">
        <v>428</v>
      </c>
      <c r="D32" s="22"/>
    </row>
    <row r="33" spans="1:5">
      <c r="A33" s="79"/>
      <c r="B33" s="100"/>
      <c r="C33" s="22" t="s">
        <v>429</v>
      </c>
      <c r="D33" s="22"/>
    </row>
    <row r="34" spans="1:5">
      <c r="A34" s="79"/>
      <c r="B34" s="100"/>
      <c r="C34" s="22" t="s">
        <v>430</v>
      </c>
      <c r="D34" s="22"/>
    </row>
    <row r="35" spans="1:5">
      <c r="A35" s="79"/>
      <c r="B35" s="100"/>
      <c r="C35" s="22" t="s">
        <v>431</v>
      </c>
      <c r="D35" s="22"/>
    </row>
    <row r="36" spans="1:5">
      <c r="A36" s="79"/>
      <c r="B36" s="100"/>
      <c r="C36" s="22" t="s">
        <v>432</v>
      </c>
      <c r="D36" s="22"/>
      <c r="E36" t="s">
        <v>408</v>
      </c>
    </row>
    <row r="37" spans="1:5">
      <c r="A37" s="79"/>
      <c r="B37" s="100"/>
      <c r="C37" s="11" t="s">
        <v>433</v>
      </c>
      <c r="D37" s="22"/>
      <c r="E37" t="s">
        <v>408</v>
      </c>
    </row>
    <row r="38" spans="1:5">
      <c r="A38" s="79"/>
      <c r="B38" s="100"/>
      <c r="C38" s="22" t="s">
        <v>434</v>
      </c>
      <c r="D38" s="22"/>
    </row>
    <row r="39" spans="1:5">
      <c r="A39" s="79"/>
      <c r="B39" s="100"/>
      <c r="C39" s="22" t="s">
        <v>435</v>
      </c>
      <c r="D39" s="22"/>
    </row>
    <row r="40" spans="1:5">
      <c r="A40" s="79"/>
      <c r="B40" s="100"/>
      <c r="C40" s="22" t="s">
        <v>436</v>
      </c>
      <c r="D40" s="22"/>
      <c r="E40" t="s">
        <v>408</v>
      </c>
    </row>
    <row r="41" spans="1:5">
      <c r="A41" s="79"/>
      <c r="B41" s="100"/>
      <c r="C41" s="22" t="s">
        <v>437</v>
      </c>
      <c r="D41" s="22"/>
    </row>
    <row r="42" spans="1:5">
      <c r="A42" s="79"/>
      <c r="B42" s="100"/>
      <c r="C42" s="22" t="s">
        <v>438</v>
      </c>
      <c r="D42" s="22"/>
    </row>
    <row r="43" spans="1:5">
      <c r="A43" s="79"/>
      <c r="B43" s="100"/>
      <c r="C43" s="22" t="s">
        <v>439</v>
      </c>
      <c r="D43" s="22"/>
    </row>
    <row r="44" spans="1:5">
      <c r="A44" s="79"/>
      <c r="B44" s="100"/>
      <c r="C44" s="22" t="s">
        <v>440</v>
      </c>
      <c r="D44" s="22"/>
    </row>
    <row r="45" spans="1:5">
      <c r="A45" s="79"/>
      <c r="B45" s="100"/>
      <c r="C45" s="22" t="s">
        <v>441</v>
      </c>
      <c r="D45" s="22"/>
    </row>
    <row r="46" spans="1:5">
      <c r="A46" s="79"/>
      <c r="B46" s="100"/>
      <c r="C46" s="22" t="s">
        <v>442</v>
      </c>
      <c r="D46" s="22"/>
      <c r="E46" t="s">
        <v>408</v>
      </c>
    </row>
    <row r="47" spans="1:5">
      <c r="A47" s="79"/>
      <c r="B47" s="100"/>
      <c r="C47" s="22" t="s">
        <v>443</v>
      </c>
      <c r="D47" s="22"/>
    </row>
    <row r="48" spans="1:5">
      <c r="A48" s="79"/>
      <c r="B48" s="100"/>
      <c r="C48" s="22" t="s">
        <v>444</v>
      </c>
      <c r="D48" s="22"/>
    </row>
    <row r="49" spans="1:5">
      <c r="A49" s="79"/>
      <c r="B49" s="100"/>
      <c r="C49" s="22" t="s">
        <v>445</v>
      </c>
      <c r="D49" s="22"/>
    </row>
    <row r="50" spans="1:5">
      <c r="A50" s="79"/>
      <c r="B50" s="100"/>
      <c r="C50" s="22" t="s">
        <v>446</v>
      </c>
      <c r="D50" s="22"/>
    </row>
    <row r="51" spans="1:5">
      <c r="A51" s="79"/>
      <c r="B51" s="100"/>
      <c r="C51" s="22" t="s">
        <v>447</v>
      </c>
      <c r="D51" s="22"/>
    </row>
    <row r="52" spans="1:5">
      <c r="A52" s="79"/>
      <c r="B52" s="100"/>
      <c r="C52" s="22" t="s">
        <v>448</v>
      </c>
      <c r="D52" s="22"/>
    </row>
    <row r="53" spans="1:5">
      <c r="A53" s="79"/>
      <c r="B53" s="100"/>
      <c r="C53" s="22" t="s">
        <v>449</v>
      </c>
      <c r="D53" s="22"/>
    </row>
    <row r="54" spans="1:5">
      <c r="A54" s="79"/>
      <c r="B54" s="100"/>
      <c r="C54" s="22" t="s">
        <v>450</v>
      </c>
      <c r="D54" s="22"/>
    </row>
    <row r="55" spans="1:5">
      <c r="A55" s="79"/>
      <c r="B55" s="100"/>
      <c r="C55" s="22" t="s">
        <v>451</v>
      </c>
      <c r="D55" s="22"/>
    </row>
    <row r="56" spans="1:5">
      <c r="A56" s="79"/>
      <c r="B56" s="100"/>
      <c r="C56" s="22" t="s">
        <v>452</v>
      </c>
      <c r="D56" s="22"/>
    </row>
    <row r="57" spans="1:5">
      <c r="A57" s="79"/>
      <c r="B57" s="100"/>
      <c r="C57" s="22" t="s">
        <v>453</v>
      </c>
      <c r="D57" s="22"/>
    </row>
    <row r="58" spans="1:5">
      <c r="A58" s="79"/>
      <c r="B58" s="100"/>
      <c r="C58" s="22" t="s">
        <v>454</v>
      </c>
      <c r="D58" s="22"/>
    </row>
    <row r="59" spans="1:5">
      <c r="A59" s="79"/>
      <c r="B59" s="100"/>
      <c r="C59" s="22" t="s">
        <v>455</v>
      </c>
      <c r="D59" s="22"/>
    </row>
    <row r="60" spans="1:5">
      <c r="A60" s="79"/>
      <c r="B60" s="100"/>
      <c r="C60" s="22" t="s">
        <v>456</v>
      </c>
      <c r="D60" s="22"/>
    </row>
    <row r="61" spans="1:5">
      <c r="A61" s="79"/>
      <c r="B61" s="100"/>
      <c r="C61" s="22" t="s">
        <v>457</v>
      </c>
      <c r="D61" s="22"/>
    </row>
    <row r="62" spans="1:5">
      <c r="A62" s="79"/>
      <c r="B62" s="100"/>
      <c r="C62" s="22" t="s">
        <v>458</v>
      </c>
      <c r="D62" s="22"/>
    </row>
    <row r="63" spans="1:5">
      <c r="A63" s="79"/>
      <c r="B63" s="100"/>
      <c r="C63" s="22" t="s">
        <v>459</v>
      </c>
      <c r="D63" s="22"/>
      <c r="E63" t="s">
        <v>408</v>
      </c>
    </row>
    <row r="64" spans="1:5">
      <c r="A64" s="79"/>
      <c r="B64" s="100"/>
      <c r="C64" s="22" t="s">
        <v>460</v>
      </c>
      <c r="D64" s="22"/>
    </row>
    <row r="65" spans="1:4">
      <c r="A65" s="79"/>
      <c r="B65" s="100"/>
      <c r="C65" s="22" t="s">
        <v>461</v>
      </c>
      <c r="D65" s="22"/>
    </row>
    <row r="66" spans="1:4">
      <c r="A66" s="79"/>
      <c r="B66" s="100"/>
      <c r="C66" s="22" t="s">
        <v>462</v>
      </c>
      <c r="D66" s="22"/>
    </row>
    <row r="67" spans="1:4">
      <c r="A67" s="79"/>
      <c r="B67" s="100"/>
      <c r="C67" s="22" t="s">
        <v>463</v>
      </c>
      <c r="D67" s="22"/>
    </row>
    <row r="68" spans="1:4">
      <c r="A68" s="79"/>
      <c r="B68" s="100"/>
      <c r="C68" s="22" t="s">
        <v>464</v>
      </c>
      <c r="D68" s="22"/>
    </row>
    <row r="69" spans="1:4">
      <c r="A69" s="79"/>
      <c r="B69" s="100"/>
      <c r="C69" s="22" t="s">
        <v>465</v>
      </c>
      <c r="D69" s="22"/>
    </row>
    <row r="70" spans="1:4">
      <c r="A70" s="79"/>
      <c r="B70" s="100"/>
      <c r="C70" s="22" t="s">
        <v>466</v>
      </c>
      <c r="D70" s="22"/>
    </row>
    <row r="71" spans="1:4">
      <c r="A71" s="79"/>
      <c r="B71" s="100"/>
      <c r="C71" s="22" t="s">
        <v>467</v>
      </c>
      <c r="D71" s="22"/>
    </row>
    <row r="72" spans="1:4">
      <c r="A72" s="79"/>
      <c r="B72" s="100"/>
      <c r="C72" s="22" t="s">
        <v>468</v>
      </c>
      <c r="D72" s="22"/>
    </row>
    <row r="73" spans="1:4">
      <c r="A73" s="79"/>
      <c r="B73" s="100"/>
      <c r="C73" s="22" t="s">
        <v>469</v>
      </c>
      <c r="D73" s="22"/>
    </row>
    <row r="74" spans="1:4">
      <c r="A74" s="79"/>
      <c r="B74" s="100"/>
      <c r="C74" s="22" t="s">
        <v>470</v>
      </c>
      <c r="D74" s="22"/>
    </row>
    <row r="75" spans="1:4">
      <c r="A75" s="79"/>
      <c r="B75" s="100"/>
      <c r="C75" s="22" t="s">
        <v>471</v>
      </c>
      <c r="D75" s="22"/>
    </row>
    <row r="76" spans="1:4">
      <c r="A76" s="79"/>
      <c r="B76" s="100"/>
      <c r="C76" s="22" t="s">
        <v>472</v>
      </c>
      <c r="D76" s="22"/>
    </row>
    <row r="77" spans="1:4">
      <c r="A77" s="79"/>
      <c r="B77" s="100"/>
      <c r="C77" s="22" t="s">
        <v>473</v>
      </c>
      <c r="D77" s="22"/>
    </row>
    <row r="78" spans="1:4">
      <c r="A78" s="79"/>
      <c r="B78" s="100"/>
      <c r="C78" s="22" t="s">
        <v>474</v>
      </c>
      <c r="D78" s="22"/>
    </row>
    <row r="79" spans="1:4">
      <c r="A79" s="79"/>
      <c r="B79" s="100"/>
      <c r="C79" s="22" t="s">
        <v>475</v>
      </c>
      <c r="D79" s="22"/>
    </row>
    <row r="80" spans="1:4">
      <c r="A80" s="79"/>
      <c r="B80" s="100"/>
      <c r="C80" s="22" t="s">
        <v>476</v>
      </c>
      <c r="D80" s="22"/>
    </row>
    <row r="81" spans="1:5">
      <c r="A81" s="79"/>
      <c r="B81" s="100"/>
      <c r="C81" s="22" t="s">
        <v>477</v>
      </c>
      <c r="D81" s="22"/>
    </row>
    <row r="82" spans="1:5">
      <c r="A82" s="79"/>
      <c r="B82" s="100"/>
      <c r="C82" s="22" t="s">
        <v>478</v>
      </c>
      <c r="D82" s="22"/>
    </row>
    <row r="83" spans="1:5">
      <c r="A83" s="79"/>
      <c r="B83" s="100"/>
      <c r="C83" s="22" t="s">
        <v>479</v>
      </c>
      <c r="D83" s="22"/>
    </row>
    <row r="84" spans="1:5">
      <c r="A84" s="79"/>
      <c r="B84" s="100"/>
      <c r="C84" s="22" t="s">
        <v>480</v>
      </c>
      <c r="D84" s="22"/>
    </row>
    <row r="85" spans="1:5">
      <c r="A85" s="79"/>
      <c r="B85" s="100"/>
      <c r="C85" s="22" t="s">
        <v>481</v>
      </c>
      <c r="D85" s="22"/>
    </row>
    <row r="86" spans="1:5">
      <c r="A86" s="79"/>
      <c r="B86" s="100"/>
      <c r="C86" s="22" t="s">
        <v>482</v>
      </c>
      <c r="D86" s="22"/>
    </row>
    <row r="87" spans="1:5">
      <c r="A87" s="79"/>
      <c r="B87" s="100"/>
      <c r="C87" s="22" t="s">
        <v>483</v>
      </c>
      <c r="D87" s="22"/>
    </row>
    <row r="88" spans="1:5">
      <c r="A88" s="79"/>
      <c r="B88" s="100"/>
      <c r="C88" s="22" t="s">
        <v>484</v>
      </c>
      <c r="D88" s="22"/>
    </row>
    <row r="89" spans="1:5">
      <c r="A89" s="79"/>
      <c r="B89" s="100"/>
      <c r="C89" s="22" t="s">
        <v>485</v>
      </c>
      <c r="D89" s="22"/>
    </row>
    <row r="90" spans="1:5">
      <c r="A90" s="79"/>
      <c r="B90" s="100"/>
      <c r="C90" s="22" t="s">
        <v>486</v>
      </c>
      <c r="D90" s="22"/>
    </row>
    <row r="91" spans="1:5">
      <c r="A91" s="79"/>
      <c r="B91" s="100"/>
      <c r="C91" s="22" t="s">
        <v>487</v>
      </c>
      <c r="D91" s="22"/>
    </row>
    <row r="92" spans="1:5">
      <c r="A92" s="79"/>
      <c r="B92" s="100"/>
      <c r="C92" s="22" t="s">
        <v>488</v>
      </c>
      <c r="D92" s="22"/>
    </row>
    <row r="93" spans="1:5">
      <c r="A93" s="79"/>
      <c r="B93" s="100"/>
      <c r="C93" s="22" t="s">
        <v>489</v>
      </c>
      <c r="D93" s="22"/>
    </row>
    <row r="94" spans="1:5">
      <c r="A94" s="79"/>
      <c r="B94" s="100"/>
      <c r="C94" s="22" t="s">
        <v>490</v>
      </c>
      <c r="D94" s="22" t="s">
        <v>491</v>
      </c>
      <c r="E94" t="s">
        <v>408</v>
      </c>
    </row>
    <row r="95" spans="1:5">
      <c r="A95" s="79"/>
      <c r="B95" s="100"/>
      <c r="C95" s="22" t="s">
        <v>492</v>
      </c>
      <c r="D95" s="22" t="s">
        <v>493</v>
      </c>
      <c r="E95" t="s">
        <v>408</v>
      </c>
    </row>
    <row r="96" spans="1:5">
      <c r="A96" s="79"/>
      <c r="B96" s="100"/>
      <c r="C96" s="22" t="s">
        <v>494</v>
      </c>
      <c r="D96" s="22" t="s">
        <v>493</v>
      </c>
      <c r="E96" t="s">
        <v>408</v>
      </c>
    </row>
    <row r="97" spans="1:5">
      <c r="A97" s="79"/>
      <c r="B97" s="100"/>
      <c r="C97" s="22" t="s">
        <v>495</v>
      </c>
      <c r="D97" s="22" t="s">
        <v>493</v>
      </c>
      <c r="E97" t="s">
        <v>408</v>
      </c>
    </row>
    <row r="98" spans="1:5">
      <c r="A98" s="79"/>
      <c r="B98" s="100"/>
      <c r="C98" s="22" t="s">
        <v>496</v>
      </c>
      <c r="D98" s="22" t="s">
        <v>493</v>
      </c>
      <c r="E98" t="s">
        <v>408</v>
      </c>
    </row>
    <row r="99" spans="1:5">
      <c r="A99" s="79"/>
      <c r="B99" s="100"/>
      <c r="C99" s="22" t="s">
        <v>497</v>
      </c>
      <c r="D99" s="22" t="s">
        <v>493</v>
      </c>
      <c r="E99" t="s">
        <v>408</v>
      </c>
    </row>
    <row r="100" spans="1:5">
      <c r="A100" s="79"/>
      <c r="B100" s="100"/>
      <c r="C100" s="22" t="s">
        <v>498</v>
      </c>
      <c r="D100" s="22" t="s">
        <v>493</v>
      </c>
      <c r="E100" t="s">
        <v>408</v>
      </c>
    </row>
    <row r="101" spans="1:5">
      <c r="A101" s="79"/>
      <c r="B101" s="100"/>
      <c r="C101" s="22" t="s">
        <v>499</v>
      </c>
      <c r="D101" s="22" t="s">
        <v>493</v>
      </c>
      <c r="E101" t="s">
        <v>408</v>
      </c>
    </row>
    <row r="102" spans="1:5">
      <c r="A102" s="79"/>
      <c r="B102" s="100"/>
      <c r="C102" s="22" t="s">
        <v>500</v>
      </c>
      <c r="D102" s="22" t="s">
        <v>493</v>
      </c>
      <c r="E102" t="s">
        <v>408</v>
      </c>
    </row>
    <row r="103" spans="1:5">
      <c r="A103" s="79"/>
      <c r="B103" s="100"/>
      <c r="C103" s="22" t="s">
        <v>501</v>
      </c>
      <c r="D103" s="22" t="s">
        <v>493</v>
      </c>
      <c r="E103" t="s">
        <v>408</v>
      </c>
    </row>
    <row r="104" spans="1:5">
      <c r="A104" s="74"/>
      <c r="B104" s="74" t="s">
        <v>320</v>
      </c>
      <c r="C104" s="21" t="s">
        <v>502</v>
      </c>
      <c r="D104" s="21"/>
    </row>
    <row r="105" spans="1:5">
      <c r="A105" s="75"/>
      <c r="B105" s="75"/>
      <c r="C105" s="21" t="s">
        <v>319</v>
      </c>
      <c r="D105" s="21"/>
    </row>
    <row r="106" spans="1:5">
      <c r="A106" s="75"/>
      <c r="B106" s="75"/>
      <c r="C106" s="21" t="s">
        <v>503</v>
      </c>
      <c r="D106" s="21"/>
    </row>
    <row r="107" spans="1:5">
      <c r="A107" s="75"/>
      <c r="B107" s="75"/>
      <c r="C107" s="21" t="s">
        <v>504</v>
      </c>
      <c r="D107" s="21"/>
    </row>
    <row r="108" spans="1:5">
      <c r="A108" s="75"/>
      <c r="B108" s="75"/>
      <c r="C108" s="21" t="s">
        <v>34</v>
      </c>
      <c r="D108" s="21"/>
    </row>
    <row r="109" spans="1:5">
      <c r="A109" s="75"/>
      <c r="B109" s="75"/>
      <c r="C109" s="21" t="s">
        <v>505</v>
      </c>
      <c r="D109" s="21"/>
    </row>
    <row r="110" spans="1:5">
      <c r="A110" s="76"/>
      <c r="B110" s="76"/>
      <c r="C110" s="21" t="s">
        <v>342</v>
      </c>
      <c r="D110" s="21"/>
    </row>
    <row r="111" spans="1:5">
      <c r="A111" s="79"/>
      <c r="B111" s="65" t="s">
        <v>348</v>
      </c>
      <c r="C111" s="22" t="s">
        <v>502</v>
      </c>
      <c r="D111" s="22"/>
    </row>
    <row r="112" spans="1:5">
      <c r="A112" s="79"/>
      <c r="B112" s="66"/>
      <c r="C112" s="22" t="s">
        <v>354</v>
      </c>
      <c r="D112" s="22"/>
    </row>
    <row r="113" spans="1:4">
      <c r="A113" s="79"/>
      <c r="B113" s="67"/>
      <c r="C113" s="22" t="s">
        <v>506</v>
      </c>
      <c r="D113" s="22"/>
    </row>
    <row r="114" spans="1:4">
      <c r="A114" s="92"/>
      <c r="B114" s="92" t="s">
        <v>507</v>
      </c>
      <c r="C114" s="21" t="s">
        <v>502</v>
      </c>
      <c r="D114" s="21"/>
    </row>
    <row r="115" spans="1:4">
      <c r="A115" s="92"/>
      <c r="B115" s="92"/>
      <c r="C115" s="21" t="s">
        <v>503</v>
      </c>
      <c r="D115" s="21"/>
    </row>
    <row r="116" spans="1:4">
      <c r="A116" s="92"/>
      <c r="B116" s="92"/>
      <c r="C116" s="21" t="s">
        <v>504</v>
      </c>
      <c r="D116" s="21"/>
    </row>
    <row r="117" spans="1:4">
      <c r="A117" s="92"/>
      <c r="B117" s="92"/>
      <c r="C117" s="21" t="s">
        <v>505</v>
      </c>
      <c r="D117" s="21"/>
    </row>
    <row r="118" spans="1:4">
      <c r="A118" s="78"/>
      <c r="B118" s="93" t="s">
        <v>294</v>
      </c>
      <c r="C118" s="22" t="s">
        <v>502</v>
      </c>
      <c r="D118" s="22"/>
    </row>
    <row r="119" spans="1:4">
      <c r="A119" s="12"/>
      <c r="B119" s="112"/>
      <c r="C119" s="22" t="s">
        <v>508</v>
      </c>
      <c r="D119" s="22"/>
    </row>
    <row r="120" spans="1:4">
      <c r="A120" s="12"/>
      <c r="B120" s="112"/>
      <c r="C120" s="22" t="s">
        <v>504</v>
      </c>
      <c r="D120" s="22"/>
    </row>
    <row r="121" spans="1:4">
      <c r="A121" s="12"/>
      <c r="B121" s="112"/>
      <c r="C121" s="22" t="s">
        <v>34</v>
      </c>
      <c r="D121" s="22"/>
    </row>
    <row r="122" spans="1:4">
      <c r="A122" s="12"/>
      <c r="B122" s="112"/>
      <c r="C122" s="22" t="s">
        <v>503</v>
      </c>
      <c r="D122" s="22"/>
    </row>
    <row r="123" spans="1:4">
      <c r="A123" s="12"/>
      <c r="B123" s="112"/>
      <c r="C123" s="22" t="s">
        <v>509</v>
      </c>
      <c r="D123" s="22"/>
    </row>
    <row r="124" spans="1:4">
      <c r="A124" s="12"/>
      <c r="B124" s="112"/>
      <c r="C124" s="22" t="s">
        <v>510</v>
      </c>
      <c r="D124" s="22"/>
    </row>
    <row r="125" spans="1:4">
      <c r="A125" s="12"/>
      <c r="B125" s="112"/>
      <c r="C125" s="22" t="s">
        <v>505</v>
      </c>
      <c r="D125" s="22"/>
    </row>
    <row r="126" spans="1:4">
      <c r="A126" s="79"/>
      <c r="B126" s="94"/>
      <c r="C126" s="22" t="s">
        <v>342</v>
      </c>
      <c r="D126" s="22"/>
    </row>
    <row r="127" spans="1:4">
      <c r="A127" s="74"/>
      <c r="B127" s="74" t="s">
        <v>321</v>
      </c>
      <c r="C127" s="21" t="s">
        <v>511</v>
      </c>
      <c r="D127" s="21"/>
    </row>
    <row r="128" spans="1:4">
      <c r="A128" s="75"/>
      <c r="B128" s="75"/>
      <c r="C128" s="21" t="s">
        <v>512</v>
      </c>
      <c r="D128" s="21"/>
    </row>
    <row r="129" spans="1:5">
      <c r="A129" s="75"/>
      <c r="B129" s="75"/>
      <c r="C129" s="21" t="s">
        <v>513</v>
      </c>
      <c r="D129" s="21"/>
    </row>
    <row r="130" spans="1:5">
      <c r="A130" s="75"/>
      <c r="B130" s="75"/>
      <c r="C130" s="21" t="s">
        <v>514</v>
      </c>
      <c r="D130" s="21"/>
    </row>
    <row r="131" spans="1:5">
      <c r="A131" s="75"/>
      <c r="B131" s="75"/>
      <c r="C131" s="21" t="s">
        <v>34</v>
      </c>
      <c r="D131" s="21"/>
    </row>
    <row r="132" spans="1:5">
      <c r="A132" s="79"/>
      <c r="B132" s="66" t="s">
        <v>515</v>
      </c>
      <c r="C132" s="22" t="s">
        <v>511</v>
      </c>
      <c r="D132" s="22"/>
    </row>
    <row r="133" spans="1:5">
      <c r="A133" s="79"/>
      <c r="B133" s="66"/>
      <c r="C133" s="22" t="s">
        <v>34</v>
      </c>
      <c r="D133" s="22"/>
    </row>
    <row r="134" spans="1:5">
      <c r="A134" s="80"/>
      <c r="B134" s="67"/>
      <c r="C134" s="22" t="s">
        <v>342</v>
      </c>
      <c r="D134" s="22"/>
    </row>
    <row r="135" spans="1:5">
      <c r="A135" s="81"/>
      <c r="B135" s="81" t="s">
        <v>516</v>
      </c>
      <c r="C135" s="21" t="s">
        <v>517</v>
      </c>
      <c r="D135" s="21"/>
    </row>
    <row r="136" spans="1:5">
      <c r="A136" s="82"/>
      <c r="B136" s="82"/>
      <c r="C136" s="21" t="s">
        <v>518</v>
      </c>
      <c r="D136" s="21"/>
      <c r="E136" t="s">
        <v>408</v>
      </c>
    </row>
    <row r="137" spans="1:5">
      <c r="A137" s="82"/>
      <c r="B137" s="82"/>
      <c r="C137" s="21" t="s">
        <v>519</v>
      </c>
      <c r="D137" s="21" t="s">
        <v>520</v>
      </c>
    </row>
    <row r="138" spans="1:5">
      <c r="A138" s="82"/>
      <c r="B138" s="82"/>
      <c r="C138" s="21" t="s">
        <v>521</v>
      </c>
      <c r="D138" s="21" t="s">
        <v>522</v>
      </c>
    </row>
    <row r="139" spans="1:5">
      <c r="A139" s="82"/>
      <c r="B139" s="82"/>
      <c r="C139" s="21" t="s">
        <v>523</v>
      </c>
      <c r="D139" s="21"/>
    </row>
    <row r="140" spans="1:5">
      <c r="A140" s="82"/>
      <c r="B140" s="82"/>
      <c r="C140" s="21" t="s">
        <v>524</v>
      </c>
      <c r="D140" s="21"/>
    </row>
    <row r="141" spans="1:5">
      <c r="A141" s="82"/>
      <c r="B141" s="82"/>
      <c r="C141" s="21" t="s">
        <v>525</v>
      </c>
      <c r="D141" s="21"/>
    </row>
    <row r="142" spans="1:5">
      <c r="A142" s="82"/>
      <c r="B142" s="82"/>
      <c r="C142" s="21" t="s">
        <v>526</v>
      </c>
      <c r="D142" s="21"/>
    </row>
    <row r="143" spans="1:5">
      <c r="A143" s="82"/>
      <c r="B143" s="82"/>
      <c r="C143" s="21" t="s">
        <v>527</v>
      </c>
      <c r="D143" s="21"/>
    </row>
    <row r="144" spans="1:5">
      <c r="A144" s="82"/>
      <c r="B144" s="82"/>
      <c r="C144" s="21" t="s">
        <v>528</v>
      </c>
      <c r="D144" s="21"/>
    </row>
    <row r="145" spans="1:4">
      <c r="A145" s="82"/>
      <c r="B145" s="82"/>
      <c r="C145" s="21" t="s">
        <v>342</v>
      </c>
      <c r="D145" s="21"/>
    </row>
    <row r="146" spans="1:4">
      <c r="A146" s="78"/>
      <c r="B146" s="71" t="s">
        <v>529</v>
      </c>
      <c r="C146" s="22" t="s">
        <v>530</v>
      </c>
      <c r="D146" s="22"/>
    </row>
    <row r="147" spans="1:4">
      <c r="A147" s="80"/>
      <c r="B147" s="73"/>
      <c r="C147" s="22" t="s">
        <v>312</v>
      </c>
      <c r="D147" s="22"/>
    </row>
    <row r="148" spans="1:4">
      <c r="A148" s="60"/>
      <c r="B148" s="111" t="s">
        <v>8</v>
      </c>
      <c r="C148" s="21" t="s">
        <v>32</v>
      </c>
      <c r="D148" s="21" t="s">
        <v>531</v>
      </c>
    </row>
    <row r="149" spans="1:4">
      <c r="A149" s="61"/>
      <c r="B149" s="61"/>
      <c r="C149" s="21" t="s">
        <v>532</v>
      </c>
      <c r="D149" s="21" t="s">
        <v>533</v>
      </c>
    </row>
    <row r="150" spans="1:4">
      <c r="A150" s="61"/>
      <c r="B150" s="61"/>
      <c r="C150" s="21" t="s">
        <v>156</v>
      </c>
      <c r="D150" s="21" t="s">
        <v>534</v>
      </c>
    </row>
    <row r="151" spans="1:4">
      <c r="A151" s="61"/>
      <c r="B151" s="61"/>
      <c r="C151" s="21" t="s">
        <v>535</v>
      </c>
      <c r="D151" s="21" t="s">
        <v>536</v>
      </c>
    </row>
    <row r="152" spans="1:4">
      <c r="A152" s="61"/>
      <c r="B152" s="61"/>
      <c r="C152" s="21" t="s">
        <v>537</v>
      </c>
      <c r="D152" s="21" t="s">
        <v>538</v>
      </c>
    </row>
    <row r="153" spans="1:4">
      <c r="A153" s="61"/>
      <c r="B153" s="61"/>
      <c r="C153" s="21" t="s">
        <v>539</v>
      </c>
      <c r="D153" s="21" t="s">
        <v>540</v>
      </c>
    </row>
    <row r="154" spans="1:4">
      <c r="A154" s="61"/>
      <c r="B154" s="61"/>
      <c r="C154" s="21" t="s">
        <v>541</v>
      </c>
      <c r="D154" s="21" t="s">
        <v>542</v>
      </c>
    </row>
    <row r="155" spans="1:4">
      <c r="A155" s="61"/>
      <c r="B155" s="61"/>
      <c r="C155" s="21" t="s">
        <v>543</v>
      </c>
      <c r="D155" s="21" t="s">
        <v>544</v>
      </c>
    </row>
    <row r="156" spans="1:4">
      <c r="A156" s="61"/>
      <c r="B156" s="61"/>
      <c r="C156" s="21" t="s">
        <v>545</v>
      </c>
      <c r="D156" s="21" t="s">
        <v>546</v>
      </c>
    </row>
    <row r="157" spans="1:4">
      <c r="A157" s="61"/>
      <c r="B157" s="61"/>
      <c r="C157" s="21" t="s">
        <v>547</v>
      </c>
      <c r="D157" s="21" t="s">
        <v>548</v>
      </c>
    </row>
    <row r="158" spans="1:4">
      <c r="A158" s="61"/>
      <c r="B158" s="61"/>
      <c r="C158" s="21" t="s">
        <v>549</v>
      </c>
      <c r="D158" s="21" t="s">
        <v>550</v>
      </c>
    </row>
    <row r="159" spans="1:4">
      <c r="A159" s="61"/>
      <c r="B159" s="61"/>
      <c r="C159" s="21" t="s">
        <v>551</v>
      </c>
      <c r="D159" s="21" t="s">
        <v>552</v>
      </c>
    </row>
    <row r="160" spans="1:4">
      <c r="A160" s="61"/>
      <c r="B160" s="61"/>
      <c r="C160" s="21" t="s">
        <v>553</v>
      </c>
      <c r="D160" s="21" t="s">
        <v>554</v>
      </c>
    </row>
    <row r="161" spans="1:4">
      <c r="A161" s="61"/>
      <c r="B161" s="61"/>
      <c r="C161" s="21" t="s">
        <v>555</v>
      </c>
      <c r="D161" s="21" t="s">
        <v>556</v>
      </c>
    </row>
    <row r="162" spans="1:4">
      <c r="A162" s="61"/>
      <c r="B162" s="61"/>
      <c r="C162" s="21" t="s">
        <v>557</v>
      </c>
      <c r="D162" s="21" t="s">
        <v>558</v>
      </c>
    </row>
    <row r="163" spans="1:4">
      <c r="A163" s="61"/>
      <c r="B163" s="61"/>
      <c r="C163" s="21" t="s">
        <v>559</v>
      </c>
      <c r="D163" s="21" t="s">
        <v>560</v>
      </c>
    </row>
    <row r="164" spans="1:4">
      <c r="A164" s="61"/>
      <c r="B164" s="61"/>
      <c r="C164" s="21" t="s">
        <v>561</v>
      </c>
      <c r="D164" s="21" t="s">
        <v>562</v>
      </c>
    </row>
    <row r="165" spans="1:4">
      <c r="A165" s="61"/>
      <c r="B165" s="61"/>
      <c r="C165" s="21" t="s">
        <v>563</v>
      </c>
      <c r="D165" s="21" t="s">
        <v>564</v>
      </c>
    </row>
    <row r="166" spans="1:4">
      <c r="A166" s="61"/>
      <c r="B166" s="61"/>
      <c r="C166" s="21" t="s">
        <v>565</v>
      </c>
      <c r="D166" s="21" t="s">
        <v>566</v>
      </c>
    </row>
    <row r="167" spans="1:4">
      <c r="A167" s="61"/>
      <c r="B167" s="61"/>
      <c r="C167" s="21" t="s">
        <v>567</v>
      </c>
      <c r="D167" s="21" t="s">
        <v>568</v>
      </c>
    </row>
    <row r="168" spans="1:4">
      <c r="A168" s="61"/>
      <c r="B168" s="61"/>
      <c r="C168" s="21" t="s">
        <v>569</v>
      </c>
      <c r="D168" s="21" t="s">
        <v>570</v>
      </c>
    </row>
    <row r="169" spans="1:4">
      <c r="A169" s="61"/>
      <c r="B169" s="61"/>
      <c r="C169" s="21" t="s">
        <v>571</v>
      </c>
      <c r="D169" s="21" t="s">
        <v>572</v>
      </c>
    </row>
    <row r="170" spans="1:4">
      <c r="A170" s="61"/>
      <c r="B170" s="61"/>
      <c r="C170" s="21" t="s">
        <v>573</v>
      </c>
      <c r="D170" s="21" t="s">
        <v>574</v>
      </c>
    </row>
    <row r="171" spans="1:4">
      <c r="A171" s="61"/>
      <c r="B171" s="61"/>
      <c r="C171" s="21" t="s">
        <v>575</v>
      </c>
      <c r="D171" s="21" t="s">
        <v>576</v>
      </c>
    </row>
    <row r="172" spans="1:4">
      <c r="A172" s="61"/>
      <c r="B172" s="61"/>
      <c r="C172" s="21" t="s">
        <v>577</v>
      </c>
      <c r="D172" s="21" t="s">
        <v>578</v>
      </c>
    </row>
    <row r="173" spans="1:4">
      <c r="A173" s="61"/>
      <c r="B173" s="61"/>
      <c r="C173" s="21" t="s">
        <v>579</v>
      </c>
      <c r="D173" s="21" t="s">
        <v>580</v>
      </c>
    </row>
    <row r="174" spans="1:4">
      <c r="A174" s="61"/>
      <c r="B174" s="61"/>
      <c r="C174" s="21" t="s">
        <v>581</v>
      </c>
      <c r="D174" s="21" t="s">
        <v>582</v>
      </c>
    </row>
    <row r="175" spans="1:4">
      <c r="A175" s="61"/>
      <c r="B175" s="61"/>
      <c r="C175" s="21" t="s">
        <v>583</v>
      </c>
      <c r="D175" s="21" t="s">
        <v>584</v>
      </c>
    </row>
    <row r="176" spans="1:4">
      <c r="A176" s="61"/>
      <c r="B176" s="61"/>
      <c r="C176" s="21" t="s">
        <v>585</v>
      </c>
      <c r="D176" s="21" t="s">
        <v>586</v>
      </c>
    </row>
    <row r="177" spans="1:5">
      <c r="A177" s="61"/>
      <c r="B177" s="61"/>
      <c r="C177" s="21" t="s">
        <v>587</v>
      </c>
      <c r="D177" s="21" t="s">
        <v>588</v>
      </c>
    </row>
    <row r="178" spans="1:5">
      <c r="A178" s="61"/>
      <c r="B178" s="61"/>
      <c r="C178" s="21" t="s">
        <v>589</v>
      </c>
      <c r="D178" s="21" t="s">
        <v>590</v>
      </c>
    </row>
    <row r="179" spans="1:5">
      <c r="A179" s="61"/>
      <c r="B179" s="61"/>
      <c r="C179" s="21" t="s">
        <v>591</v>
      </c>
      <c r="D179" s="21" t="s">
        <v>592</v>
      </c>
    </row>
    <row r="180" spans="1:5">
      <c r="A180" s="61"/>
      <c r="B180" s="61"/>
      <c r="C180" s="21" t="s">
        <v>593</v>
      </c>
      <c r="D180" s="21" t="s">
        <v>594</v>
      </c>
      <c r="E180" t="s">
        <v>408</v>
      </c>
    </row>
    <row r="181" spans="1:5">
      <c r="A181" s="61"/>
      <c r="B181" s="61"/>
      <c r="C181" s="21" t="s">
        <v>342</v>
      </c>
      <c r="D181" s="21" t="s">
        <v>342</v>
      </c>
    </row>
    <row r="182" spans="1:5">
      <c r="A182" s="78"/>
      <c r="B182" s="71" t="s">
        <v>595</v>
      </c>
      <c r="C182" s="53" t="s">
        <v>596</v>
      </c>
      <c r="D182" s="53"/>
    </row>
    <row r="183" spans="1:5">
      <c r="A183" s="79"/>
      <c r="B183" s="72"/>
      <c r="C183" s="53" t="s">
        <v>597</v>
      </c>
      <c r="D183" s="53"/>
    </row>
    <row r="184" spans="1:5">
      <c r="A184" s="79"/>
      <c r="B184" s="72"/>
      <c r="C184" s="53" t="s">
        <v>598</v>
      </c>
      <c r="D184" s="53"/>
    </row>
    <row r="185" spans="1:5">
      <c r="A185" s="80"/>
      <c r="B185" s="73"/>
      <c r="C185" s="54" t="s">
        <v>599</v>
      </c>
      <c r="D185" s="54"/>
    </row>
    <row r="186" spans="1:5">
      <c r="A186" s="74"/>
      <c r="B186" s="74" t="s">
        <v>600</v>
      </c>
      <c r="C186" s="52" t="s">
        <v>601</v>
      </c>
      <c r="D186" s="52"/>
    </row>
    <row r="187" spans="1:5">
      <c r="A187" s="75"/>
      <c r="B187" s="75"/>
      <c r="C187" s="52" t="s">
        <v>602</v>
      </c>
      <c r="D187" s="52"/>
    </row>
    <row r="188" spans="1:5">
      <c r="A188" s="78"/>
      <c r="B188" s="71" t="s">
        <v>10</v>
      </c>
      <c r="C188" s="54" t="s">
        <v>358</v>
      </c>
      <c r="D188" s="54" t="s">
        <v>603</v>
      </c>
    </row>
    <row r="189" spans="1:5">
      <c r="A189" s="79"/>
      <c r="B189" s="72"/>
      <c r="C189" s="54" t="s">
        <v>604</v>
      </c>
      <c r="D189" s="54" t="s">
        <v>605</v>
      </c>
    </row>
    <row r="190" spans="1:5">
      <c r="A190" s="79"/>
      <c r="B190" s="72"/>
      <c r="C190" s="54" t="s">
        <v>34</v>
      </c>
      <c r="D190" s="54" t="s">
        <v>34</v>
      </c>
    </row>
    <row r="191" spans="1:5">
      <c r="A191" s="79"/>
      <c r="B191" s="72"/>
      <c r="C191" s="54" t="s">
        <v>606</v>
      </c>
      <c r="D191" s="54" t="s">
        <v>607</v>
      </c>
    </row>
    <row r="192" spans="1:5">
      <c r="A192" s="79"/>
      <c r="B192" s="72"/>
      <c r="C192" s="54" t="s">
        <v>608</v>
      </c>
      <c r="D192" s="54" t="s">
        <v>609</v>
      </c>
    </row>
    <row r="193" spans="1:4">
      <c r="A193" s="79"/>
      <c r="B193" s="72"/>
      <c r="C193" s="54" t="s">
        <v>610</v>
      </c>
      <c r="D193" s="54" t="s">
        <v>611</v>
      </c>
    </row>
    <row r="194" spans="1:4">
      <c r="A194" s="79"/>
      <c r="B194" s="72"/>
      <c r="C194" s="54" t="s">
        <v>612</v>
      </c>
      <c r="D194" s="54" t="s">
        <v>613</v>
      </c>
    </row>
    <row r="195" spans="1:4">
      <c r="A195" s="79"/>
      <c r="B195" s="72"/>
      <c r="C195" s="54" t="s">
        <v>614</v>
      </c>
      <c r="D195" s="54" t="s">
        <v>615</v>
      </c>
    </row>
    <row r="196" spans="1:4">
      <c r="A196" s="79"/>
      <c r="B196" s="72"/>
      <c r="C196" s="54" t="s">
        <v>616</v>
      </c>
      <c r="D196" s="54" t="s">
        <v>617</v>
      </c>
    </row>
    <row r="197" spans="1:4">
      <c r="A197" s="79"/>
      <c r="B197" s="72"/>
      <c r="C197" s="54" t="s">
        <v>618</v>
      </c>
      <c r="D197" s="54" t="s">
        <v>619</v>
      </c>
    </row>
    <row r="198" spans="1:4">
      <c r="A198" s="79"/>
      <c r="B198" s="72"/>
      <c r="C198" s="54" t="s">
        <v>158</v>
      </c>
      <c r="D198" s="54" t="s">
        <v>620</v>
      </c>
    </row>
    <row r="199" spans="1:4">
      <c r="A199" s="79"/>
      <c r="B199" s="72"/>
      <c r="C199" s="54" t="s">
        <v>621</v>
      </c>
      <c r="D199" s="54" t="s">
        <v>622</v>
      </c>
    </row>
    <row r="200" spans="1:4">
      <c r="A200" s="79"/>
      <c r="B200" s="72"/>
      <c r="C200" s="54" t="s">
        <v>342</v>
      </c>
      <c r="D200" s="54" t="s">
        <v>342</v>
      </c>
    </row>
    <row r="201" spans="1:4">
      <c r="A201" s="80"/>
      <c r="B201" s="73"/>
      <c r="C201" s="54" t="s">
        <v>599</v>
      </c>
      <c r="D201" s="54" t="s">
        <v>623</v>
      </c>
    </row>
    <row r="202" spans="1:4">
      <c r="A202" s="111"/>
      <c r="B202" s="111" t="s">
        <v>322</v>
      </c>
      <c r="C202" s="21" t="s">
        <v>624</v>
      </c>
      <c r="D202" s="21"/>
    </row>
    <row r="203" spans="1:4">
      <c r="A203" s="61"/>
      <c r="B203" s="61"/>
      <c r="C203" s="21" t="s">
        <v>625</v>
      </c>
      <c r="D203" s="21"/>
    </row>
    <row r="204" spans="1:4">
      <c r="A204" s="61"/>
      <c r="B204" s="61"/>
      <c r="C204" s="21" t="s">
        <v>626</v>
      </c>
      <c r="D204" s="21"/>
    </row>
    <row r="205" spans="1:4">
      <c r="A205" s="61"/>
      <c r="B205" s="61"/>
      <c r="C205" s="21" t="s">
        <v>627</v>
      </c>
      <c r="D205" s="21"/>
    </row>
    <row r="206" spans="1:4">
      <c r="A206" s="61"/>
      <c r="B206" s="61"/>
      <c r="C206" s="21" t="s">
        <v>628</v>
      </c>
      <c r="D206" s="21"/>
    </row>
    <row r="207" spans="1:4">
      <c r="A207" s="61"/>
      <c r="B207" s="61"/>
      <c r="C207" s="21" t="s">
        <v>629</v>
      </c>
      <c r="D207" s="21"/>
    </row>
    <row r="208" spans="1:4">
      <c r="A208" s="61"/>
      <c r="B208" s="61"/>
      <c r="C208" s="21" t="s">
        <v>630</v>
      </c>
      <c r="D208" s="21"/>
    </row>
    <row r="209" spans="1:5">
      <c r="A209" s="61"/>
      <c r="B209" s="61"/>
      <c r="C209" s="21" t="s">
        <v>631</v>
      </c>
      <c r="D209" s="21"/>
    </row>
    <row r="210" spans="1:5">
      <c r="A210" s="61"/>
      <c r="B210" s="61"/>
      <c r="C210" s="21" t="s">
        <v>632</v>
      </c>
      <c r="D210" s="21"/>
    </row>
    <row r="211" spans="1:5">
      <c r="A211" s="61"/>
      <c r="B211" s="61"/>
      <c r="C211" s="21" t="s">
        <v>633</v>
      </c>
      <c r="D211" s="21"/>
    </row>
    <row r="212" spans="1:5">
      <c r="A212" s="61"/>
      <c r="B212" s="61"/>
      <c r="C212" s="21" t="s">
        <v>634</v>
      </c>
      <c r="D212" s="21"/>
    </row>
    <row r="213" spans="1:5">
      <c r="A213" s="61"/>
      <c r="B213" s="61"/>
      <c r="C213" s="21" t="s">
        <v>635</v>
      </c>
      <c r="D213" s="21"/>
    </row>
    <row r="214" spans="1:5">
      <c r="A214" s="61"/>
      <c r="B214" s="61"/>
      <c r="C214" s="21" t="s">
        <v>636</v>
      </c>
      <c r="D214" s="21"/>
    </row>
    <row r="215" spans="1:5">
      <c r="A215" s="61"/>
      <c r="B215" s="61"/>
      <c r="C215" s="21" t="s">
        <v>637</v>
      </c>
      <c r="D215" s="21"/>
    </row>
    <row r="216" spans="1:5">
      <c r="A216" s="61"/>
      <c r="B216" s="61"/>
      <c r="C216" s="21" t="s">
        <v>638</v>
      </c>
      <c r="D216" s="21"/>
    </row>
    <row r="217" spans="1:5">
      <c r="A217" s="61"/>
      <c r="B217" s="61"/>
      <c r="C217" s="21" t="s">
        <v>639</v>
      </c>
      <c r="D217" s="21"/>
    </row>
    <row r="218" spans="1:5">
      <c r="A218" s="61"/>
      <c r="B218" s="61"/>
      <c r="C218" s="21" t="s">
        <v>640</v>
      </c>
      <c r="D218" s="21" t="s">
        <v>641</v>
      </c>
      <c r="E218" t="s">
        <v>408</v>
      </c>
    </row>
    <row r="219" spans="1:5">
      <c r="A219" s="61"/>
      <c r="B219" s="61"/>
      <c r="C219" s="21" t="s">
        <v>642</v>
      </c>
      <c r="D219" s="21"/>
    </row>
    <row r="220" spans="1:5">
      <c r="A220" s="61"/>
      <c r="B220" s="61"/>
      <c r="C220" s="21" t="s">
        <v>643</v>
      </c>
      <c r="D220" s="21"/>
    </row>
    <row r="221" spans="1:5">
      <c r="A221" s="61"/>
      <c r="B221" s="61"/>
      <c r="C221" s="21" t="s">
        <v>644</v>
      </c>
      <c r="D221" s="21"/>
    </row>
    <row r="222" spans="1:5">
      <c r="A222" s="61"/>
      <c r="B222" s="61"/>
      <c r="C222" s="21" t="s">
        <v>645</v>
      </c>
      <c r="D222" s="21"/>
    </row>
    <row r="223" spans="1:5">
      <c r="A223" s="61"/>
      <c r="B223" s="61"/>
      <c r="C223" s="21" t="s">
        <v>646</v>
      </c>
      <c r="D223" s="21"/>
    </row>
    <row r="224" spans="1:5">
      <c r="A224" s="61"/>
      <c r="B224" s="61"/>
      <c r="C224" s="21" t="s">
        <v>647</v>
      </c>
      <c r="D224" s="21"/>
    </row>
    <row r="225" spans="1:4">
      <c r="A225" s="61"/>
      <c r="B225" s="61"/>
      <c r="C225" s="21" t="s">
        <v>648</v>
      </c>
      <c r="D225" s="21"/>
    </row>
    <row r="226" spans="1:4">
      <c r="A226" s="61"/>
      <c r="B226" s="61"/>
      <c r="C226" s="21" t="s">
        <v>649</v>
      </c>
      <c r="D226" s="21"/>
    </row>
    <row r="227" spans="1:4">
      <c r="A227" s="61"/>
      <c r="B227" s="61"/>
      <c r="C227" s="21" t="s">
        <v>650</v>
      </c>
      <c r="D227" s="21"/>
    </row>
    <row r="228" spans="1:4">
      <c r="A228" s="61"/>
      <c r="B228" s="61"/>
      <c r="C228" s="21" t="s">
        <v>651</v>
      </c>
      <c r="D228" s="21"/>
    </row>
    <row r="229" spans="1:4">
      <c r="A229" s="61"/>
      <c r="B229" s="61"/>
      <c r="C229" s="21" t="s">
        <v>652</v>
      </c>
      <c r="D229" s="21"/>
    </row>
    <row r="230" spans="1:4">
      <c r="A230" s="61"/>
      <c r="B230" s="61"/>
      <c r="C230" s="21" t="s">
        <v>653</v>
      </c>
      <c r="D230" s="21"/>
    </row>
    <row r="231" spans="1:4">
      <c r="A231" s="61"/>
      <c r="B231" s="61"/>
      <c r="C231" s="21" t="s">
        <v>654</v>
      </c>
      <c r="D231" s="21"/>
    </row>
    <row r="232" spans="1:4">
      <c r="A232" s="61"/>
      <c r="B232" s="61"/>
      <c r="C232" s="21" t="s">
        <v>655</v>
      </c>
      <c r="D232" s="21"/>
    </row>
    <row r="233" spans="1:4">
      <c r="A233" s="61"/>
      <c r="B233" s="61"/>
      <c r="C233" s="21" t="s">
        <v>656</v>
      </c>
      <c r="D233" s="21"/>
    </row>
    <row r="234" spans="1:4">
      <c r="A234" s="61"/>
      <c r="B234" s="61"/>
      <c r="C234" s="21" t="s">
        <v>657</v>
      </c>
      <c r="D234" s="21"/>
    </row>
    <row r="235" spans="1:4">
      <c r="A235" s="61"/>
      <c r="B235" s="61"/>
      <c r="C235" s="21" t="s">
        <v>658</v>
      </c>
      <c r="D235" s="21"/>
    </row>
    <row r="236" spans="1:4">
      <c r="A236" s="61"/>
      <c r="B236" s="61"/>
      <c r="C236" s="21" t="s">
        <v>659</v>
      </c>
      <c r="D236" s="21"/>
    </row>
    <row r="237" spans="1:4">
      <c r="A237" s="61"/>
      <c r="B237" s="61"/>
      <c r="C237" s="21" t="s">
        <v>660</v>
      </c>
      <c r="D237" s="21"/>
    </row>
    <row r="238" spans="1:4">
      <c r="A238" s="61"/>
      <c r="B238" s="61"/>
      <c r="C238" s="21" t="s">
        <v>661</v>
      </c>
      <c r="D238" s="21"/>
    </row>
    <row r="239" spans="1:4">
      <c r="A239" s="61"/>
      <c r="B239" s="61"/>
      <c r="C239" s="21" t="s">
        <v>662</v>
      </c>
      <c r="D239" s="21"/>
    </row>
    <row r="240" spans="1:4">
      <c r="A240" s="61"/>
      <c r="B240" s="61"/>
      <c r="C240" s="21" t="s">
        <v>663</v>
      </c>
      <c r="D240" s="21"/>
    </row>
    <row r="241" spans="1:4">
      <c r="A241" s="61"/>
      <c r="B241" s="61"/>
      <c r="C241" s="21" t="s">
        <v>664</v>
      </c>
      <c r="D241" s="21"/>
    </row>
    <row r="242" spans="1:4">
      <c r="A242" s="61"/>
      <c r="B242" s="61"/>
      <c r="C242" s="21" t="s">
        <v>665</v>
      </c>
      <c r="D242" s="21"/>
    </row>
    <row r="243" spans="1:4">
      <c r="A243" s="61"/>
      <c r="B243" s="61"/>
      <c r="C243" s="21" t="s">
        <v>666</v>
      </c>
      <c r="D243" s="21"/>
    </row>
    <row r="244" spans="1:4">
      <c r="A244" s="61"/>
      <c r="B244" s="61"/>
      <c r="C244" s="21" t="s">
        <v>667</v>
      </c>
      <c r="D244" s="21"/>
    </row>
    <row r="245" spans="1:4">
      <c r="A245" s="61"/>
      <c r="B245" s="61"/>
      <c r="C245" s="21" t="s">
        <v>668</v>
      </c>
      <c r="D245" s="21"/>
    </row>
    <row r="246" spans="1:4">
      <c r="A246" s="61"/>
      <c r="B246" s="61"/>
      <c r="C246" s="21" t="s">
        <v>669</v>
      </c>
      <c r="D246" s="21"/>
    </row>
    <row r="247" spans="1:4">
      <c r="A247" s="61"/>
      <c r="B247" s="61"/>
      <c r="C247" s="21" t="s">
        <v>670</v>
      </c>
      <c r="D247" s="21"/>
    </row>
    <row r="248" spans="1:4">
      <c r="A248" s="61"/>
      <c r="B248" s="61"/>
      <c r="C248" s="21" t="s">
        <v>671</v>
      </c>
      <c r="D248" s="21"/>
    </row>
    <row r="249" spans="1:4">
      <c r="A249" s="61"/>
      <c r="B249" s="61"/>
      <c r="C249" s="21" t="s">
        <v>672</v>
      </c>
      <c r="D249" s="21"/>
    </row>
    <row r="250" spans="1:4">
      <c r="A250" s="61"/>
      <c r="B250" s="61"/>
      <c r="C250" s="21" t="s">
        <v>673</v>
      </c>
      <c r="D250" s="21"/>
    </row>
    <row r="251" spans="1:4">
      <c r="A251" s="61"/>
      <c r="B251" s="61"/>
      <c r="C251" s="21" t="s">
        <v>674</v>
      </c>
      <c r="D251" s="21"/>
    </row>
    <row r="252" spans="1:4">
      <c r="A252" s="61"/>
      <c r="B252" s="61"/>
      <c r="C252" s="21" t="s">
        <v>342</v>
      </c>
      <c r="D252" s="21"/>
    </row>
    <row r="253" spans="1:4">
      <c r="A253" s="61"/>
      <c r="B253" s="61"/>
      <c r="C253" s="21" t="s">
        <v>675</v>
      </c>
      <c r="D253" s="21"/>
    </row>
    <row r="254" spans="1:4">
      <c r="A254" s="61"/>
      <c r="B254" s="61"/>
      <c r="C254" s="21" t="s">
        <v>676</v>
      </c>
      <c r="D254" s="21"/>
    </row>
    <row r="255" spans="1:4">
      <c r="A255" s="61"/>
      <c r="B255" s="61"/>
      <c r="C255" s="21" t="s">
        <v>677</v>
      </c>
      <c r="D255" s="21"/>
    </row>
    <row r="256" spans="1:4">
      <c r="A256" s="61"/>
      <c r="B256" s="61"/>
      <c r="C256" s="21" t="s">
        <v>678</v>
      </c>
      <c r="D256" s="21"/>
    </row>
    <row r="257" spans="1:5">
      <c r="A257" s="61"/>
      <c r="B257" s="61"/>
      <c r="C257" s="21" t="s">
        <v>679</v>
      </c>
      <c r="D257" s="21"/>
    </row>
    <row r="258" spans="1:5">
      <c r="A258" s="61"/>
      <c r="B258" s="61"/>
      <c r="C258" s="21" t="s">
        <v>680</v>
      </c>
      <c r="D258" s="21"/>
    </row>
    <row r="259" spans="1:5">
      <c r="A259" s="61"/>
      <c r="B259" s="61"/>
      <c r="C259" s="21" t="s">
        <v>681</v>
      </c>
      <c r="D259" s="21"/>
    </row>
    <row r="260" spans="1:5">
      <c r="A260" s="61"/>
      <c r="B260" s="61"/>
      <c r="C260" s="21" t="s">
        <v>682</v>
      </c>
      <c r="D260" s="21"/>
    </row>
    <row r="261" spans="1:5">
      <c r="A261" s="61"/>
      <c r="B261" s="61"/>
      <c r="C261" s="21" t="s">
        <v>683</v>
      </c>
      <c r="D261" s="21"/>
    </row>
    <row r="262" spans="1:5">
      <c r="A262" s="61"/>
      <c r="B262" s="61"/>
      <c r="C262" s="21" t="s">
        <v>684</v>
      </c>
      <c r="D262" s="21"/>
    </row>
    <row r="263" spans="1:5">
      <c r="A263" s="61"/>
      <c r="B263" s="61"/>
      <c r="C263" s="21" t="s">
        <v>685</v>
      </c>
      <c r="D263" s="21"/>
    </row>
    <row r="264" spans="1:5">
      <c r="A264" s="61"/>
      <c r="B264" s="61"/>
      <c r="C264" s="21" t="s">
        <v>686</v>
      </c>
      <c r="D264" s="21"/>
    </row>
    <row r="265" spans="1:5">
      <c r="A265" s="61"/>
      <c r="B265" s="61"/>
      <c r="C265" s="21" t="s">
        <v>687</v>
      </c>
      <c r="D265" s="21"/>
    </row>
    <row r="266" spans="1:5">
      <c r="A266" s="61"/>
      <c r="B266" s="61"/>
      <c r="C266" s="21" t="s">
        <v>688</v>
      </c>
      <c r="D266" s="21"/>
    </row>
    <row r="267" spans="1:5">
      <c r="A267" s="61"/>
      <c r="B267" s="61"/>
      <c r="C267" s="21" t="s">
        <v>689</v>
      </c>
      <c r="D267" s="21"/>
    </row>
    <row r="268" spans="1:5">
      <c r="A268" s="61"/>
      <c r="B268" s="61"/>
      <c r="C268" s="21" t="s">
        <v>690</v>
      </c>
      <c r="D268" s="21"/>
    </row>
    <row r="269" spans="1:5">
      <c r="A269" s="61"/>
      <c r="B269" s="61"/>
      <c r="C269" s="21" t="s">
        <v>691</v>
      </c>
      <c r="D269" s="21"/>
    </row>
    <row r="270" spans="1:5">
      <c r="A270" s="61"/>
      <c r="B270" s="61"/>
      <c r="C270" s="21" t="s">
        <v>692</v>
      </c>
      <c r="D270" s="21" t="s">
        <v>693</v>
      </c>
      <c r="E270" t="s">
        <v>408</v>
      </c>
    </row>
    <row r="271" spans="1:5">
      <c r="A271" s="61"/>
      <c r="B271" s="61"/>
      <c r="C271" s="21" t="s">
        <v>694</v>
      </c>
      <c r="D271" s="21" t="s">
        <v>695</v>
      </c>
      <c r="E271" t="s">
        <v>408</v>
      </c>
    </row>
    <row r="272" spans="1:5">
      <c r="A272" s="61"/>
      <c r="B272" s="61"/>
      <c r="C272" s="21" t="s">
        <v>696</v>
      </c>
      <c r="D272" s="21" t="s">
        <v>697</v>
      </c>
      <c r="E272" t="s">
        <v>408</v>
      </c>
    </row>
    <row r="273" spans="1:5">
      <c r="A273" s="61"/>
      <c r="B273" s="61"/>
      <c r="C273" s="21" t="s">
        <v>698</v>
      </c>
      <c r="D273" s="21"/>
    </row>
    <row r="274" spans="1:5">
      <c r="A274" s="61"/>
      <c r="B274" s="61"/>
      <c r="C274" s="21" t="s">
        <v>699</v>
      </c>
      <c r="D274" s="21" t="s">
        <v>700</v>
      </c>
      <c r="E274" t="s">
        <v>408</v>
      </c>
    </row>
    <row r="275" spans="1:5">
      <c r="A275" s="61"/>
      <c r="B275" s="61"/>
      <c r="C275" s="21" t="s">
        <v>701</v>
      </c>
      <c r="D275" s="21"/>
    </row>
    <row r="276" spans="1:5">
      <c r="A276" s="61"/>
      <c r="B276" s="61"/>
      <c r="C276" s="21" t="s">
        <v>702</v>
      </c>
      <c r="D276" s="21"/>
    </row>
    <row r="277" spans="1:5">
      <c r="A277" s="61"/>
      <c r="B277" s="61"/>
      <c r="C277" s="21" t="s">
        <v>703</v>
      </c>
      <c r="D277" s="21"/>
    </row>
    <row r="278" spans="1:5">
      <c r="A278" s="61"/>
      <c r="B278" s="61"/>
      <c r="C278" s="21" t="s">
        <v>704</v>
      </c>
      <c r="D278" s="21"/>
    </row>
    <row r="279" spans="1:5">
      <c r="A279" s="61"/>
      <c r="B279" s="61"/>
      <c r="C279" s="21" t="s">
        <v>705</v>
      </c>
      <c r="D279" s="21"/>
    </row>
    <row r="280" spans="1:5">
      <c r="A280" s="61"/>
      <c r="B280" s="61"/>
      <c r="C280" s="21" t="s">
        <v>706</v>
      </c>
      <c r="D280" s="21"/>
    </row>
    <row r="281" spans="1:5">
      <c r="A281" s="61"/>
      <c r="B281" s="61"/>
      <c r="C281" s="21" t="s">
        <v>707</v>
      </c>
      <c r="D281" s="21"/>
    </row>
    <row r="282" spans="1:5">
      <c r="A282" s="61"/>
      <c r="B282" s="61"/>
      <c r="C282" s="21" t="s">
        <v>708</v>
      </c>
      <c r="D282" s="21" t="s">
        <v>709</v>
      </c>
      <c r="E282" t="s">
        <v>408</v>
      </c>
    </row>
    <row r="283" spans="1:5">
      <c r="A283" s="61"/>
      <c r="B283" s="61"/>
      <c r="C283" s="21" t="s">
        <v>710</v>
      </c>
      <c r="D283" s="21"/>
    </row>
    <row r="284" spans="1:5">
      <c r="A284" s="61"/>
      <c r="B284" s="61"/>
      <c r="C284" s="21" t="s">
        <v>711</v>
      </c>
      <c r="D284" s="21" t="s">
        <v>712</v>
      </c>
      <c r="E284" t="s">
        <v>408</v>
      </c>
    </row>
    <row r="285" spans="1:5">
      <c r="A285" s="61"/>
      <c r="B285" s="61"/>
      <c r="C285" s="21" t="s">
        <v>713</v>
      </c>
      <c r="D285" s="21"/>
    </row>
    <row r="286" spans="1:5">
      <c r="A286" s="61"/>
      <c r="B286" s="61"/>
      <c r="C286" s="21" t="s">
        <v>714</v>
      </c>
      <c r="D286" s="21"/>
    </row>
    <row r="287" spans="1:5">
      <c r="A287" s="61"/>
      <c r="B287" s="61"/>
      <c r="C287" s="21" t="s">
        <v>715</v>
      </c>
      <c r="D287" s="21"/>
    </row>
    <row r="288" spans="1:5">
      <c r="A288" s="61"/>
      <c r="B288" s="61"/>
      <c r="C288" s="21" t="s">
        <v>716</v>
      </c>
      <c r="D288" s="21"/>
    </row>
    <row r="289" spans="1:5">
      <c r="A289" s="61"/>
      <c r="B289" s="61"/>
      <c r="C289" s="21" t="s">
        <v>717</v>
      </c>
      <c r="D289" s="21" t="s">
        <v>718</v>
      </c>
      <c r="E289" t="s">
        <v>408</v>
      </c>
    </row>
    <row r="290" spans="1:5">
      <c r="A290" s="61"/>
      <c r="B290" s="61"/>
      <c r="C290" s="21" t="s">
        <v>719</v>
      </c>
      <c r="D290" s="21"/>
    </row>
    <row r="291" spans="1:5">
      <c r="A291" s="61"/>
      <c r="B291" s="61"/>
      <c r="C291" s="21" t="s">
        <v>720</v>
      </c>
      <c r="D291" s="21"/>
    </row>
    <row r="292" spans="1:5">
      <c r="A292" s="61"/>
      <c r="B292" s="61"/>
      <c r="C292" s="21" t="s">
        <v>721</v>
      </c>
      <c r="D292" s="21"/>
    </row>
    <row r="293" spans="1:5">
      <c r="A293" s="61"/>
      <c r="B293" s="61"/>
      <c r="C293" s="21" t="s">
        <v>722</v>
      </c>
      <c r="D293" s="21"/>
    </row>
    <row r="294" spans="1:5">
      <c r="A294" s="61"/>
      <c r="B294" s="61"/>
      <c r="C294" s="21" t="s">
        <v>723</v>
      </c>
      <c r="D294" s="21"/>
    </row>
    <row r="295" spans="1:5">
      <c r="A295" s="61"/>
      <c r="B295" s="61"/>
      <c r="C295" s="21" t="s">
        <v>724</v>
      </c>
      <c r="D295" s="21"/>
    </row>
    <row r="296" spans="1:5">
      <c r="A296" s="61"/>
      <c r="B296" s="61"/>
      <c r="C296" s="21" t="s">
        <v>725</v>
      </c>
      <c r="D296" s="21"/>
    </row>
    <row r="297" spans="1:5">
      <c r="A297" s="61"/>
      <c r="B297" s="61"/>
      <c r="C297" s="21" t="s">
        <v>726</v>
      </c>
      <c r="D297" s="21" t="s">
        <v>727</v>
      </c>
      <c r="E297" t="s">
        <v>408</v>
      </c>
    </row>
    <row r="298" spans="1:5">
      <c r="A298" s="61"/>
      <c r="B298" s="61"/>
      <c r="C298" s="21" t="s">
        <v>728</v>
      </c>
      <c r="D298" s="21"/>
    </row>
    <row r="299" spans="1:5">
      <c r="A299" s="61"/>
      <c r="B299" s="61"/>
      <c r="C299" s="21" t="s">
        <v>729</v>
      </c>
      <c r="D299" s="21"/>
    </row>
    <row r="300" spans="1:5">
      <c r="A300" s="61"/>
      <c r="B300" s="61"/>
      <c r="C300" s="130" t="s">
        <v>730</v>
      </c>
      <c r="D300" s="21"/>
      <c r="E300" t="s">
        <v>408</v>
      </c>
    </row>
    <row r="301" spans="1:5">
      <c r="A301" s="61"/>
      <c r="B301" s="61"/>
      <c r="C301" s="21" t="s">
        <v>731</v>
      </c>
      <c r="D301" s="21"/>
    </row>
    <row r="302" spans="1:5">
      <c r="A302" s="61"/>
      <c r="B302" s="61"/>
      <c r="C302" s="21" t="s">
        <v>732</v>
      </c>
      <c r="D302" s="21"/>
    </row>
    <row r="303" spans="1:5">
      <c r="A303" s="61"/>
      <c r="B303" s="61"/>
      <c r="C303" s="21" t="s">
        <v>733</v>
      </c>
      <c r="D303" s="21"/>
    </row>
    <row r="304" spans="1:5">
      <c r="A304" s="61"/>
      <c r="B304" s="61"/>
      <c r="C304" s="21" t="s">
        <v>734</v>
      </c>
      <c r="D304" s="21"/>
    </row>
    <row r="305" spans="1:5">
      <c r="A305" s="61"/>
      <c r="B305" s="61"/>
      <c r="C305" s="21" t="s">
        <v>735</v>
      </c>
      <c r="D305" s="21"/>
    </row>
    <row r="306" spans="1:5">
      <c r="A306" s="61"/>
      <c r="B306" s="61"/>
      <c r="C306" s="21" t="s">
        <v>736</v>
      </c>
      <c r="D306" s="21"/>
    </row>
    <row r="307" spans="1:5">
      <c r="A307" s="61"/>
      <c r="B307" s="61"/>
      <c r="C307" s="21" t="s">
        <v>737</v>
      </c>
      <c r="D307" s="21"/>
    </row>
    <row r="308" spans="1:5">
      <c r="A308" s="61"/>
      <c r="B308" s="61"/>
      <c r="C308" s="21" t="s">
        <v>738</v>
      </c>
      <c r="D308" s="21"/>
    </row>
    <row r="309" spans="1:5">
      <c r="A309" s="61"/>
      <c r="B309" s="61"/>
      <c r="C309" s="21" t="s">
        <v>739</v>
      </c>
      <c r="D309" s="21"/>
    </row>
    <row r="310" spans="1:5">
      <c r="A310" s="61"/>
      <c r="B310" s="61"/>
      <c r="C310" s="130" t="s">
        <v>740</v>
      </c>
      <c r="D310" s="21"/>
      <c r="E310" t="s">
        <v>408</v>
      </c>
    </row>
    <row r="311" spans="1:5">
      <c r="A311" s="61"/>
      <c r="B311" s="61"/>
      <c r="C311" s="130" t="s">
        <v>741</v>
      </c>
      <c r="D311" s="21"/>
      <c r="E311" t="s">
        <v>408</v>
      </c>
    </row>
    <row r="312" spans="1:5">
      <c r="A312" s="61"/>
      <c r="B312" s="61"/>
      <c r="C312" s="130" t="s">
        <v>742</v>
      </c>
      <c r="D312" s="21"/>
      <c r="E312" t="s">
        <v>408</v>
      </c>
    </row>
    <row r="313" spans="1:5">
      <c r="A313" s="61"/>
      <c r="B313" s="61"/>
      <c r="C313" s="21" t="s">
        <v>743</v>
      </c>
      <c r="D313" s="21"/>
    </row>
    <row r="314" spans="1:5">
      <c r="A314" s="61"/>
      <c r="B314" s="61"/>
      <c r="C314" s="21" t="s">
        <v>744</v>
      </c>
      <c r="D314" s="21"/>
    </row>
    <row r="315" spans="1:5">
      <c r="A315" s="61"/>
      <c r="B315" s="61"/>
      <c r="C315" s="21" t="s">
        <v>745</v>
      </c>
      <c r="D315" s="21"/>
    </row>
    <row r="316" spans="1:5">
      <c r="A316" s="61"/>
      <c r="B316" s="61"/>
      <c r="C316" s="21" t="s">
        <v>746</v>
      </c>
      <c r="D316" s="21"/>
    </row>
    <row r="317" spans="1:5">
      <c r="A317" s="61"/>
      <c r="B317" s="61"/>
      <c r="C317" s="21" t="s">
        <v>747</v>
      </c>
      <c r="D317" s="21"/>
    </row>
    <row r="318" spans="1:5">
      <c r="A318" s="61"/>
      <c r="B318" s="61"/>
      <c r="C318" s="21" t="s">
        <v>748</v>
      </c>
      <c r="D318" s="125" t="s">
        <v>749</v>
      </c>
      <c r="E318" t="s">
        <v>408</v>
      </c>
    </row>
    <row r="319" spans="1:5">
      <c r="A319" s="61"/>
      <c r="B319" s="61"/>
      <c r="C319" s="21" t="s">
        <v>750</v>
      </c>
      <c r="D319" s="21"/>
    </row>
    <row r="320" spans="1:5">
      <c r="A320" s="61"/>
      <c r="B320" s="61"/>
      <c r="C320" s="21" t="s">
        <v>751</v>
      </c>
      <c r="D320" s="21"/>
    </row>
    <row r="321" spans="1:5">
      <c r="A321" s="61"/>
      <c r="B321" s="61"/>
      <c r="C321" s="21" t="s">
        <v>752</v>
      </c>
      <c r="D321" s="21"/>
    </row>
    <row r="322" spans="1:5">
      <c r="A322" s="61"/>
      <c r="B322" s="61"/>
      <c r="C322" s="21" t="s">
        <v>753</v>
      </c>
      <c r="D322" s="21"/>
    </row>
    <row r="323" spans="1:5">
      <c r="A323" s="61"/>
      <c r="B323" s="61"/>
      <c r="C323" s="21" t="s">
        <v>754</v>
      </c>
      <c r="D323" s="21"/>
    </row>
    <row r="324" spans="1:5">
      <c r="A324" s="61"/>
      <c r="B324" s="61"/>
      <c r="C324" s="21" t="s">
        <v>755</v>
      </c>
      <c r="D324" s="21"/>
    </row>
    <row r="325" spans="1:5">
      <c r="A325" s="61"/>
      <c r="B325" s="61"/>
      <c r="C325" s="21" t="s">
        <v>756</v>
      </c>
      <c r="D325" s="21"/>
    </row>
    <row r="326" spans="1:5">
      <c r="A326" s="61"/>
      <c r="B326" s="61"/>
      <c r="C326" s="21" t="s">
        <v>757</v>
      </c>
      <c r="D326" s="21"/>
    </row>
    <row r="327" spans="1:5">
      <c r="A327" s="61"/>
      <c r="B327" s="61"/>
      <c r="C327" s="21" t="s">
        <v>758</v>
      </c>
      <c r="D327" s="21"/>
    </row>
    <row r="328" spans="1:5">
      <c r="A328" s="78"/>
      <c r="B328" s="68" t="s">
        <v>759</v>
      </c>
      <c r="C328" s="54" t="s">
        <v>760</v>
      </c>
      <c r="D328" s="54"/>
      <c r="E328" t="s">
        <v>408</v>
      </c>
    </row>
    <row r="329" spans="1:5">
      <c r="A329" s="79"/>
      <c r="B329" s="69"/>
      <c r="C329" s="54" t="s">
        <v>761</v>
      </c>
      <c r="D329" s="54"/>
      <c r="E329" t="s">
        <v>408</v>
      </c>
    </row>
    <row r="330" spans="1:5">
      <c r="A330" s="79"/>
      <c r="B330" s="69"/>
      <c r="C330" s="127" t="s">
        <v>762</v>
      </c>
      <c r="D330" s="54"/>
      <c r="E330" t="s">
        <v>408</v>
      </c>
    </row>
    <row r="331" spans="1:5">
      <c r="A331" s="79"/>
      <c r="B331" s="69"/>
      <c r="C331" s="126" t="s">
        <v>763</v>
      </c>
      <c r="D331" s="54"/>
      <c r="E331" t="s">
        <v>408</v>
      </c>
    </row>
    <row r="332" spans="1:5">
      <c r="A332" s="79"/>
      <c r="B332" s="69"/>
      <c r="C332" s="126" t="s">
        <v>764</v>
      </c>
      <c r="D332" s="54"/>
      <c r="E332" t="s">
        <v>408</v>
      </c>
    </row>
    <row r="333" spans="1:5">
      <c r="A333" s="79"/>
      <c r="B333" s="69"/>
      <c r="C333" s="126" t="s">
        <v>765</v>
      </c>
      <c r="D333" s="54"/>
      <c r="E333" t="s">
        <v>408</v>
      </c>
    </row>
    <row r="334" spans="1:5">
      <c r="A334" s="79"/>
      <c r="B334" s="69"/>
      <c r="C334" s="126" t="s">
        <v>766</v>
      </c>
      <c r="D334" s="54"/>
      <c r="E334" t="s">
        <v>408</v>
      </c>
    </row>
    <row r="335" spans="1:5">
      <c r="A335" s="79"/>
      <c r="B335" s="69"/>
      <c r="C335" s="54" t="s">
        <v>767</v>
      </c>
      <c r="D335" s="54"/>
      <c r="E335" t="s">
        <v>408</v>
      </c>
    </row>
    <row r="336" spans="1:5">
      <c r="A336" s="79"/>
      <c r="B336" s="69"/>
      <c r="C336" s="54" t="s">
        <v>768</v>
      </c>
      <c r="D336" s="54"/>
      <c r="E336" t="s">
        <v>408</v>
      </c>
    </row>
    <row r="337" spans="1:5">
      <c r="A337" s="79"/>
      <c r="B337" s="69"/>
      <c r="C337" s="54" t="s">
        <v>769</v>
      </c>
      <c r="D337" s="54"/>
      <c r="E337" t="s">
        <v>408</v>
      </c>
    </row>
    <row r="338" spans="1:5">
      <c r="A338" s="79"/>
      <c r="B338" s="69"/>
      <c r="C338" s="54" t="s">
        <v>770</v>
      </c>
      <c r="D338" s="54"/>
      <c r="E338" t="s">
        <v>408</v>
      </c>
    </row>
    <row r="339" spans="1:5">
      <c r="A339" s="79"/>
      <c r="B339" s="69"/>
      <c r="C339" s="54" t="s">
        <v>771</v>
      </c>
      <c r="D339" s="54"/>
      <c r="E339" t="s">
        <v>408</v>
      </c>
    </row>
    <row r="340" spans="1:5">
      <c r="A340" s="79"/>
      <c r="B340" s="69"/>
      <c r="C340" s="54" t="s">
        <v>772</v>
      </c>
      <c r="D340" s="54"/>
      <c r="E340" t="s">
        <v>408</v>
      </c>
    </row>
    <row r="341" spans="1:5">
      <c r="A341" s="79"/>
      <c r="B341" s="69"/>
      <c r="C341" s="54" t="s">
        <v>773</v>
      </c>
      <c r="D341" s="54"/>
      <c r="E341" t="s">
        <v>408</v>
      </c>
    </row>
    <row r="342" spans="1:5">
      <c r="A342" s="79"/>
      <c r="B342" s="69"/>
      <c r="C342" s="54" t="s">
        <v>774</v>
      </c>
      <c r="D342" s="54"/>
      <c r="E342" t="s">
        <v>408</v>
      </c>
    </row>
    <row r="343" spans="1:5">
      <c r="A343" s="79"/>
      <c r="B343" s="69"/>
      <c r="C343" s="54" t="s">
        <v>775</v>
      </c>
      <c r="D343" s="54"/>
      <c r="E343" t="s">
        <v>408</v>
      </c>
    </row>
    <row r="344" spans="1:5">
      <c r="A344" s="79"/>
      <c r="B344" s="69"/>
      <c r="C344" s="54" t="s">
        <v>776</v>
      </c>
      <c r="D344" s="54"/>
      <c r="E344" t="s">
        <v>408</v>
      </c>
    </row>
    <row r="345" spans="1:5">
      <c r="A345" s="79"/>
      <c r="B345" s="69"/>
      <c r="C345" s="54" t="s">
        <v>777</v>
      </c>
      <c r="D345" s="54"/>
      <c r="E345" t="s">
        <v>408</v>
      </c>
    </row>
    <row r="346" spans="1:5">
      <c r="A346" s="79"/>
      <c r="B346" s="69"/>
      <c r="C346" s="54" t="s">
        <v>778</v>
      </c>
      <c r="D346" s="54"/>
      <c r="E346" t="s">
        <v>408</v>
      </c>
    </row>
    <row r="347" spans="1:5">
      <c r="A347" s="79"/>
      <c r="B347" s="69"/>
      <c r="C347" s="54" t="s">
        <v>779</v>
      </c>
      <c r="D347" s="54"/>
      <c r="E347" t="s">
        <v>408</v>
      </c>
    </row>
    <row r="348" spans="1:5">
      <c r="A348" s="79"/>
      <c r="B348" s="69"/>
      <c r="C348" s="54" t="s">
        <v>780</v>
      </c>
      <c r="D348" s="54"/>
      <c r="E348" t="s">
        <v>408</v>
      </c>
    </row>
    <row r="349" spans="1:5">
      <c r="A349" s="79"/>
      <c r="B349" s="69"/>
      <c r="C349" s="54" t="s">
        <v>781</v>
      </c>
      <c r="D349" s="54"/>
      <c r="E349" t="s">
        <v>408</v>
      </c>
    </row>
    <row r="350" spans="1:5">
      <c r="A350" s="79"/>
      <c r="B350" s="69"/>
      <c r="C350" s="54" t="s">
        <v>782</v>
      </c>
      <c r="D350" s="54"/>
      <c r="E350" t="s">
        <v>408</v>
      </c>
    </row>
    <row r="351" spans="1:5">
      <c r="A351" s="79"/>
      <c r="B351" s="69"/>
      <c r="C351" s="54" t="s">
        <v>783</v>
      </c>
      <c r="D351" s="54"/>
      <c r="E351" t="s">
        <v>408</v>
      </c>
    </row>
    <row r="352" spans="1:5">
      <c r="A352" s="79"/>
      <c r="B352" s="69"/>
      <c r="C352" s="54" t="s">
        <v>784</v>
      </c>
      <c r="D352" s="54"/>
      <c r="E352" t="s">
        <v>408</v>
      </c>
    </row>
    <row r="353" spans="1:5">
      <c r="A353" s="79"/>
      <c r="B353" s="69"/>
      <c r="C353" s="54" t="s">
        <v>785</v>
      </c>
      <c r="D353" s="54"/>
      <c r="E353" t="s">
        <v>408</v>
      </c>
    </row>
    <row r="354" spans="1:5">
      <c r="A354" s="79"/>
      <c r="B354" s="69"/>
      <c r="C354" s="54" t="s">
        <v>786</v>
      </c>
      <c r="D354" s="54"/>
      <c r="E354" t="s">
        <v>408</v>
      </c>
    </row>
    <row r="355" spans="1:5">
      <c r="A355" s="79"/>
      <c r="B355" s="69"/>
      <c r="C355" s="54" t="s">
        <v>787</v>
      </c>
      <c r="D355" s="54"/>
      <c r="E355" t="s">
        <v>408</v>
      </c>
    </row>
    <row r="356" spans="1:5">
      <c r="A356" s="79"/>
      <c r="B356" s="69"/>
      <c r="C356" s="54" t="s">
        <v>788</v>
      </c>
      <c r="D356" s="54"/>
      <c r="E356" t="s">
        <v>408</v>
      </c>
    </row>
    <row r="357" spans="1:5">
      <c r="A357" s="79"/>
      <c r="B357" s="69"/>
      <c r="C357" s="54" t="s">
        <v>789</v>
      </c>
      <c r="D357" s="54"/>
      <c r="E357" t="s">
        <v>408</v>
      </c>
    </row>
    <row r="358" spans="1:5">
      <c r="A358" s="79"/>
      <c r="B358" s="69"/>
      <c r="C358" s="54" t="s">
        <v>790</v>
      </c>
      <c r="D358" s="54"/>
      <c r="E358" t="s">
        <v>408</v>
      </c>
    </row>
    <row r="359" spans="1:5">
      <c r="A359" s="79"/>
      <c r="B359" s="69"/>
      <c r="C359" s="54" t="s">
        <v>791</v>
      </c>
      <c r="D359" s="54"/>
      <c r="E359" t="s">
        <v>408</v>
      </c>
    </row>
    <row r="360" spans="1:5">
      <c r="A360" s="79"/>
      <c r="B360" s="69"/>
      <c r="C360" s="54" t="s">
        <v>792</v>
      </c>
      <c r="D360" s="54"/>
      <c r="E360" t="s">
        <v>408</v>
      </c>
    </row>
    <row r="361" spans="1:5">
      <c r="A361" s="79"/>
      <c r="B361" s="69"/>
      <c r="C361" s="54" t="s">
        <v>793</v>
      </c>
      <c r="D361" s="54"/>
      <c r="E361" t="s">
        <v>408</v>
      </c>
    </row>
    <row r="362" spans="1:5">
      <c r="A362" s="79"/>
      <c r="B362" s="69"/>
      <c r="C362" s="54" t="s">
        <v>794</v>
      </c>
      <c r="D362" s="54"/>
      <c r="E362" t="s">
        <v>408</v>
      </c>
    </row>
    <row r="363" spans="1:5">
      <c r="A363" s="79"/>
      <c r="B363" s="69"/>
      <c r="C363" s="54" t="s">
        <v>795</v>
      </c>
      <c r="D363" s="54"/>
      <c r="E363" t="s">
        <v>408</v>
      </c>
    </row>
    <row r="364" spans="1:5">
      <c r="A364" s="79"/>
      <c r="B364" s="69"/>
      <c r="C364" s="54" t="s">
        <v>796</v>
      </c>
      <c r="D364" s="54"/>
      <c r="E364" t="s">
        <v>408</v>
      </c>
    </row>
    <row r="365" spans="1:5">
      <c r="A365" s="79"/>
      <c r="B365" s="69"/>
      <c r="C365" s="54" t="s">
        <v>797</v>
      </c>
      <c r="D365" s="54"/>
      <c r="E365" t="s">
        <v>408</v>
      </c>
    </row>
    <row r="366" spans="1:5">
      <c r="A366" s="79"/>
      <c r="B366" s="69"/>
      <c r="C366" s="54" t="s">
        <v>798</v>
      </c>
      <c r="D366" s="54"/>
      <c r="E366" t="s">
        <v>408</v>
      </c>
    </row>
    <row r="367" spans="1:5">
      <c r="A367" s="79"/>
      <c r="B367" s="69"/>
      <c r="C367" s="54" t="s">
        <v>799</v>
      </c>
      <c r="D367" s="54"/>
      <c r="E367" t="s">
        <v>408</v>
      </c>
    </row>
    <row r="368" spans="1:5">
      <c r="A368" s="79"/>
      <c r="B368" s="69"/>
      <c r="C368" s="54" t="s">
        <v>800</v>
      </c>
      <c r="D368" s="54"/>
      <c r="E368" t="s">
        <v>408</v>
      </c>
    </row>
    <row r="369" spans="1:5">
      <c r="A369" s="79"/>
      <c r="B369" s="69"/>
      <c r="C369" s="54" t="s">
        <v>801</v>
      </c>
      <c r="D369" s="54"/>
      <c r="E369" t="s">
        <v>408</v>
      </c>
    </row>
    <row r="370" spans="1:5">
      <c r="A370" s="79"/>
      <c r="B370" s="69"/>
      <c r="C370" s="54" t="s">
        <v>802</v>
      </c>
      <c r="D370" s="54"/>
      <c r="E370" t="s">
        <v>408</v>
      </c>
    </row>
    <row r="371" spans="1:5">
      <c r="A371" s="79"/>
      <c r="B371" s="69"/>
      <c r="C371" s="54" t="s">
        <v>803</v>
      </c>
      <c r="D371" s="54"/>
      <c r="E371" t="s">
        <v>408</v>
      </c>
    </row>
    <row r="372" spans="1:5">
      <c r="A372" s="79"/>
      <c r="B372" s="69"/>
      <c r="C372" s="54" t="s">
        <v>804</v>
      </c>
      <c r="D372" s="54"/>
      <c r="E372" t="s">
        <v>408</v>
      </c>
    </row>
    <row r="373" spans="1:5">
      <c r="A373" s="79"/>
      <c r="B373" s="69"/>
      <c r="C373" s="54" t="s">
        <v>805</v>
      </c>
      <c r="D373" s="54"/>
      <c r="E373" t="s">
        <v>408</v>
      </c>
    </row>
    <row r="374" spans="1:5">
      <c r="A374" s="79"/>
      <c r="B374" s="69"/>
      <c r="C374" s="54" t="s">
        <v>806</v>
      </c>
      <c r="D374" s="54"/>
      <c r="E374" t="s">
        <v>408</v>
      </c>
    </row>
    <row r="375" spans="1:5">
      <c r="A375" s="79"/>
      <c r="B375" s="69"/>
      <c r="C375" s="54" t="s">
        <v>807</v>
      </c>
      <c r="D375" s="54"/>
      <c r="E375" t="s">
        <v>408</v>
      </c>
    </row>
    <row r="376" spans="1:5">
      <c r="A376" s="79"/>
      <c r="B376" s="69"/>
      <c r="C376" s="54" t="s">
        <v>808</v>
      </c>
      <c r="D376" s="54"/>
      <c r="E376" t="s">
        <v>408</v>
      </c>
    </row>
    <row r="377" spans="1:5">
      <c r="A377" s="79"/>
      <c r="B377" s="69"/>
      <c r="C377" s="54" t="s">
        <v>809</v>
      </c>
      <c r="D377" s="54"/>
      <c r="E377" t="s">
        <v>408</v>
      </c>
    </row>
    <row r="378" spans="1:5">
      <c r="A378" s="79"/>
      <c r="B378" s="69"/>
      <c r="C378" s="54" t="s">
        <v>810</v>
      </c>
      <c r="D378" s="54"/>
      <c r="E378" t="s">
        <v>408</v>
      </c>
    </row>
    <row r="379" spans="1:5">
      <c r="A379" s="79"/>
      <c r="B379" s="69"/>
      <c r="C379" s="54" t="s">
        <v>811</v>
      </c>
      <c r="D379" s="54"/>
      <c r="E379" t="s">
        <v>408</v>
      </c>
    </row>
    <row r="380" spans="1:5">
      <c r="A380" s="79"/>
      <c r="B380" s="69"/>
      <c r="C380" s="54" t="s">
        <v>812</v>
      </c>
      <c r="D380" s="54"/>
      <c r="E380" t="s">
        <v>408</v>
      </c>
    </row>
    <row r="381" spans="1:5">
      <c r="A381" s="79"/>
      <c r="B381" s="69"/>
      <c r="C381" s="54" t="s">
        <v>813</v>
      </c>
      <c r="D381" s="54"/>
      <c r="E381" t="s">
        <v>408</v>
      </c>
    </row>
    <row r="382" spans="1:5">
      <c r="A382" s="79"/>
      <c r="B382" s="69"/>
      <c r="C382" s="54" t="s">
        <v>814</v>
      </c>
      <c r="D382" s="54"/>
      <c r="E382" t="s">
        <v>408</v>
      </c>
    </row>
    <row r="383" spans="1:5">
      <c r="A383" s="79"/>
      <c r="B383" s="69"/>
      <c r="C383" s="54" t="s">
        <v>815</v>
      </c>
      <c r="D383" s="54"/>
      <c r="E383" t="s">
        <v>408</v>
      </c>
    </row>
    <row r="384" spans="1:5">
      <c r="A384" s="79"/>
      <c r="B384" s="69"/>
      <c r="C384" s="54" t="s">
        <v>816</v>
      </c>
      <c r="D384" s="54"/>
      <c r="E384" t="s">
        <v>408</v>
      </c>
    </row>
    <row r="385" spans="1:5">
      <c r="A385" s="79"/>
      <c r="B385" s="69"/>
      <c r="C385" s="54" t="s">
        <v>817</v>
      </c>
      <c r="D385" s="54"/>
      <c r="E385" t="s">
        <v>408</v>
      </c>
    </row>
    <row r="386" spans="1:5">
      <c r="A386" s="79"/>
      <c r="B386" s="69"/>
      <c r="C386" s="54" t="s">
        <v>818</v>
      </c>
      <c r="D386" s="54"/>
      <c r="E386" t="s">
        <v>408</v>
      </c>
    </row>
    <row r="387" spans="1:5">
      <c r="A387" s="79"/>
      <c r="B387" s="69"/>
      <c r="C387" s="54" t="s">
        <v>819</v>
      </c>
      <c r="D387" s="54"/>
      <c r="E387" t="s">
        <v>408</v>
      </c>
    </row>
    <row r="388" spans="1:5">
      <c r="A388" s="79"/>
      <c r="B388" s="69"/>
      <c r="C388" s="54" t="s">
        <v>820</v>
      </c>
      <c r="D388" s="54"/>
      <c r="E388" t="s">
        <v>408</v>
      </c>
    </row>
    <row r="389" spans="1:5">
      <c r="A389" s="79"/>
      <c r="B389" s="69"/>
      <c r="C389" s="54" t="s">
        <v>821</v>
      </c>
      <c r="D389" s="54"/>
      <c r="E389" t="s">
        <v>408</v>
      </c>
    </row>
    <row r="390" spans="1:5">
      <c r="A390" s="79"/>
      <c r="B390" s="69"/>
      <c r="C390" s="54" t="s">
        <v>822</v>
      </c>
      <c r="D390" s="54"/>
      <c r="E390" t="s">
        <v>408</v>
      </c>
    </row>
    <row r="391" spans="1:5">
      <c r="A391" s="79"/>
      <c r="B391" s="69"/>
      <c r="C391" s="54" t="s">
        <v>823</v>
      </c>
      <c r="D391" s="54"/>
      <c r="E391" t="s">
        <v>408</v>
      </c>
    </row>
    <row r="392" spans="1:5">
      <c r="A392" s="79"/>
      <c r="B392" s="69"/>
      <c r="C392" s="54" t="s">
        <v>824</v>
      </c>
      <c r="D392" s="54"/>
      <c r="E392" t="s">
        <v>408</v>
      </c>
    </row>
    <row r="393" spans="1:5">
      <c r="A393" s="79"/>
      <c r="B393" s="69"/>
      <c r="C393" s="54" t="s">
        <v>825</v>
      </c>
      <c r="D393" s="54"/>
      <c r="E393" t="s">
        <v>408</v>
      </c>
    </row>
    <row r="394" spans="1:5">
      <c r="A394" s="79"/>
      <c r="B394" s="69"/>
      <c r="C394" s="54" t="s">
        <v>826</v>
      </c>
      <c r="D394" s="54"/>
      <c r="E394" t="s">
        <v>408</v>
      </c>
    </row>
    <row r="395" spans="1:5">
      <c r="A395" s="79"/>
      <c r="B395" s="69"/>
      <c r="C395" s="54" t="s">
        <v>827</v>
      </c>
      <c r="D395" s="54"/>
      <c r="E395" t="s">
        <v>408</v>
      </c>
    </row>
    <row r="396" spans="1:5">
      <c r="A396" s="79"/>
      <c r="B396" s="69"/>
      <c r="C396" s="54" t="s">
        <v>828</v>
      </c>
      <c r="D396" s="54"/>
      <c r="E396" t="s">
        <v>408</v>
      </c>
    </row>
    <row r="397" spans="1:5">
      <c r="A397" s="79"/>
      <c r="B397" s="69"/>
      <c r="C397" s="54" t="s">
        <v>829</v>
      </c>
      <c r="D397" s="54"/>
      <c r="E397" t="s">
        <v>408</v>
      </c>
    </row>
    <row r="398" spans="1:5">
      <c r="A398" s="79"/>
      <c r="B398" s="69"/>
      <c r="C398" s="54" t="s">
        <v>830</v>
      </c>
      <c r="D398" s="54"/>
      <c r="E398" t="s">
        <v>408</v>
      </c>
    </row>
    <row r="399" spans="1:5">
      <c r="A399" s="79"/>
      <c r="B399" s="69"/>
      <c r="C399" s="54" t="s">
        <v>831</v>
      </c>
      <c r="D399" s="54"/>
      <c r="E399" t="s">
        <v>408</v>
      </c>
    </row>
    <row r="400" spans="1:5">
      <c r="A400" s="79"/>
      <c r="B400" s="69"/>
      <c r="C400" s="54" t="s">
        <v>832</v>
      </c>
      <c r="D400" s="54"/>
      <c r="E400" t="s">
        <v>408</v>
      </c>
    </row>
    <row r="401" spans="1:5">
      <c r="A401" s="79"/>
      <c r="B401" s="69"/>
      <c r="C401" s="54" t="s">
        <v>833</v>
      </c>
      <c r="D401" s="54"/>
      <c r="E401" t="s">
        <v>408</v>
      </c>
    </row>
    <row r="402" spans="1:5">
      <c r="A402" s="79"/>
      <c r="B402" s="69"/>
      <c r="C402" s="54" t="s">
        <v>834</v>
      </c>
      <c r="D402" s="54"/>
      <c r="E402" t="s">
        <v>408</v>
      </c>
    </row>
    <row r="403" spans="1:5">
      <c r="A403" s="79"/>
      <c r="B403" s="69"/>
      <c r="C403" s="54" t="s">
        <v>835</v>
      </c>
      <c r="D403" s="54"/>
      <c r="E403" t="s">
        <v>408</v>
      </c>
    </row>
    <row r="404" spans="1:5">
      <c r="A404" s="79"/>
      <c r="B404" s="69"/>
      <c r="C404" s="54" t="s">
        <v>836</v>
      </c>
      <c r="D404" s="54"/>
      <c r="E404" t="s">
        <v>408</v>
      </c>
    </row>
    <row r="405" spans="1:5">
      <c r="A405" s="79"/>
      <c r="B405" s="69"/>
      <c r="C405" s="54" t="s">
        <v>837</v>
      </c>
      <c r="D405" s="54"/>
      <c r="E405" t="s">
        <v>408</v>
      </c>
    </row>
    <row r="406" spans="1:5">
      <c r="A406" s="79"/>
      <c r="B406" s="69"/>
      <c r="C406" s="54" t="s">
        <v>838</v>
      </c>
      <c r="D406" s="54"/>
      <c r="E406" t="s">
        <v>408</v>
      </c>
    </row>
    <row r="407" spans="1:5">
      <c r="A407" s="79"/>
      <c r="B407" s="69"/>
      <c r="C407" s="54" t="s">
        <v>839</v>
      </c>
      <c r="D407" s="54"/>
      <c r="E407" t="s">
        <v>408</v>
      </c>
    </row>
    <row r="408" spans="1:5">
      <c r="A408" s="79"/>
      <c r="B408" s="69"/>
      <c r="C408" s="54" t="s">
        <v>840</v>
      </c>
      <c r="D408" s="54"/>
      <c r="E408" t="s">
        <v>408</v>
      </c>
    </row>
    <row r="409" spans="1:5">
      <c r="A409" s="79"/>
      <c r="B409" s="69"/>
      <c r="C409" s="54" t="s">
        <v>841</v>
      </c>
      <c r="D409" s="54"/>
      <c r="E409" t="s">
        <v>408</v>
      </c>
    </row>
    <row r="410" spans="1:5">
      <c r="A410" s="79"/>
      <c r="B410" s="69"/>
      <c r="C410" s="54" t="s">
        <v>842</v>
      </c>
      <c r="D410" s="54"/>
      <c r="E410" t="s">
        <v>408</v>
      </c>
    </row>
    <row r="411" spans="1:5">
      <c r="A411" s="79"/>
      <c r="B411" s="69"/>
      <c r="C411" s="54" t="s">
        <v>843</v>
      </c>
      <c r="D411" s="54"/>
      <c r="E411" t="s">
        <v>408</v>
      </c>
    </row>
    <row r="412" spans="1:5">
      <c r="A412" s="79"/>
      <c r="B412" s="69"/>
      <c r="C412" s="54" t="s">
        <v>844</v>
      </c>
      <c r="D412" s="54"/>
      <c r="E412" t="s">
        <v>408</v>
      </c>
    </row>
    <row r="413" spans="1:5">
      <c r="A413" s="79"/>
      <c r="B413" s="69"/>
      <c r="C413" s="54" t="s">
        <v>845</v>
      </c>
      <c r="D413" s="54"/>
      <c r="E413" t="s">
        <v>408</v>
      </c>
    </row>
    <row r="414" spans="1:5">
      <c r="A414" s="79"/>
      <c r="B414" s="69"/>
      <c r="C414" s="54" t="s">
        <v>846</v>
      </c>
      <c r="D414" s="54"/>
      <c r="E414" t="s">
        <v>408</v>
      </c>
    </row>
    <row r="415" spans="1:5">
      <c r="A415" s="79"/>
      <c r="B415" s="69"/>
      <c r="C415" s="54" t="s">
        <v>847</v>
      </c>
      <c r="D415" s="54"/>
      <c r="E415" t="s">
        <v>408</v>
      </c>
    </row>
    <row r="416" spans="1:5">
      <c r="A416" s="79"/>
      <c r="B416" s="69"/>
      <c r="C416" s="54" t="s">
        <v>848</v>
      </c>
      <c r="D416" s="54"/>
      <c r="E416" t="s">
        <v>408</v>
      </c>
    </row>
    <row r="417" spans="1:5">
      <c r="A417" s="79"/>
      <c r="B417" s="69"/>
      <c r="C417" s="54" t="s">
        <v>849</v>
      </c>
      <c r="D417" s="54"/>
      <c r="E417" t="s">
        <v>408</v>
      </c>
    </row>
    <row r="418" spans="1:5">
      <c r="A418" s="79"/>
      <c r="B418" s="69"/>
      <c r="C418" s="54" t="s">
        <v>850</v>
      </c>
      <c r="D418" s="54"/>
      <c r="E418" t="s">
        <v>408</v>
      </c>
    </row>
    <row r="419" spans="1:5">
      <c r="A419" s="79"/>
      <c r="B419" s="69"/>
      <c r="C419" s="54" t="s">
        <v>851</v>
      </c>
      <c r="D419" s="54"/>
      <c r="E419" t="s">
        <v>408</v>
      </c>
    </row>
    <row r="420" spans="1:5">
      <c r="A420" s="79"/>
      <c r="B420" s="69"/>
      <c r="C420" s="54" t="s">
        <v>852</v>
      </c>
      <c r="D420" s="54"/>
      <c r="E420" t="s">
        <v>408</v>
      </c>
    </row>
    <row r="421" spans="1:5">
      <c r="A421" s="79"/>
      <c r="B421" s="69"/>
      <c r="C421" s="54" t="s">
        <v>853</v>
      </c>
      <c r="D421" s="54"/>
      <c r="E421" t="s">
        <v>408</v>
      </c>
    </row>
    <row r="422" spans="1:5">
      <c r="A422" s="79"/>
      <c r="B422" s="69"/>
      <c r="C422" s="54" t="s">
        <v>854</v>
      </c>
      <c r="D422" s="54"/>
      <c r="E422" t="s">
        <v>408</v>
      </c>
    </row>
    <row r="423" spans="1:5">
      <c r="A423" s="79"/>
      <c r="B423" s="69"/>
      <c r="C423" s="54" t="s">
        <v>855</v>
      </c>
      <c r="D423" s="54"/>
      <c r="E423" t="s">
        <v>408</v>
      </c>
    </row>
    <row r="424" spans="1:5">
      <c r="A424" s="79"/>
      <c r="B424" s="69"/>
      <c r="C424" s="54" t="s">
        <v>856</v>
      </c>
      <c r="D424" s="54"/>
      <c r="E424" t="s">
        <v>408</v>
      </c>
    </row>
    <row r="425" spans="1:5">
      <c r="A425" s="79"/>
      <c r="B425" s="69"/>
      <c r="C425" s="54" t="s">
        <v>857</v>
      </c>
      <c r="D425" s="54"/>
      <c r="E425" t="s">
        <v>408</v>
      </c>
    </row>
    <row r="426" spans="1:5">
      <c r="A426" s="79"/>
      <c r="B426" s="69"/>
      <c r="C426" s="54" t="s">
        <v>858</v>
      </c>
      <c r="D426" s="54"/>
      <c r="E426" t="s">
        <v>408</v>
      </c>
    </row>
    <row r="427" spans="1:5">
      <c r="A427" s="79"/>
      <c r="B427" s="69"/>
      <c r="C427" s="54" t="s">
        <v>859</v>
      </c>
      <c r="D427" s="54"/>
      <c r="E427" t="s">
        <v>408</v>
      </c>
    </row>
    <row r="428" spans="1:5">
      <c r="A428" s="79"/>
      <c r="B428" s="69"/>
      <c r="C428" s="54" t="s">
        <v>860</v>
      </c>
      <c r="D428" s="54"/>
      <c r="E428" t="s">
        <v>408</v>
      </c>
    </row>
    <row r="429" spans="1:5">
      <c r="A429" s="79"/>
      <c r="B429" s="69"/>
      <c r="C429" s="54" t="s">
        <v>861</v>
      </c>
      <c r="D429" s="54"/>
      <c r="E429" t="s">
        <v>408</v>
      </c>
    </row>
    <row r="430" spans="1:5">
      <c r="A430" s="79"/>
      <c r="B430" s="69"/>
      <c r="C430" s="54" t="s">
        <v>862</v>
      </c>
      <c r="D430" s="54"/>
      <c r="E430" t="s">
        <v>408</v>
      </c>
    </row>
    <row r="431" spans="1:5">
      <c r="A431" s="79"/>
      <c r="B431" s="69"/>
      <c r="C431" s="54" t="s">
        <v>863</v>
      </c>
      <c r="D431" s="54"/>
      <c r="E431" t="s">
        <v>408</v>
      </c>
    </row>
    <row r="432" spans="1:5">
      <c r="A432" s="79"/>
      <c r="B432" s="69"/>
      <c r="C432" s="54" t="s">
        <v>864</v>
      </c>
      <c r="D432" s="54"/>
      <c r="E432" t="s">
        <v>408</v>
      </c>
    </row>
    <row r="433" spans="1:5">
      <c r="A433" s="79"/>
      <c r="B433" s="69"/>
      <c r="C433" s="54" t="s">
        <v>865</v>
      </c>
      <c r="D433" s="54"/>
      <c r="E433" t="s">
        <v>408</v>
      </c>
    </row>
    <row r="434" spans="1:5">
      <c r="A434" s="79"/>
      <c r="B434" s="69"/>
      <c r="C434" s="54" t="s">
        <v>866</v>
      </c>
      <c r="D434" s="54"/>
      <c r="E434" t="s">
        <v>408</v>
      </c>
    </row>
    <row r="435" spans="1:5">
      <c r="A435" s="79"/>
      <c r="B435" s="69"/>
      <c r="C435" s="54" t="s">
        <v>867</v>
      </c>
      <c r="D435" s="54"/>
      <c r="E435" t="s">
        <v>408</v>
      </c>
    </row>
    <row r="436" spans="1:5">
      <c r="A436" s="79"/>
      <c r="B436" s="69"/>
      <c r="C436" s="54" t="s">
        <v>868</v>
      </c>
      <c r="D436" s="54"/>
      <c r="E436" t="s">
        <v>408</v>
      </c>
    </row>
    <row r="437" spans="1:5">
      <c r="A437" s="79"/>
      <c r="B437" s="69"/>
      <c r="C437" s="54" t="s">
        <v>869</v>
      </c>
      <c r="D437" s="54"/>
      <c r="E437" t="s">
        <v>408</v>
      </c>
    </row>
    <row r="438" spans="1:5">
      <c r="A438" s="79"/>
      <c r="B438" s="69"/>
      <c r="C438" s="54" t="s">
        <v>870</v>
      </c>
      <c r="D438" s="54"/>
      <c r="E438" t="s">
        <v>408</v>
      </c>
    </row>
    <row r="439" spans="1:5">
      <c r="A439" s="79"/>
      <c r="B439" s="69"/>
      <c r="C439" s="54" t="s">
        <v>871</v>
      </c>
      <c r="D439" s="54"/>
      <c r="E439" t="s">
        <v>408</v>
      </c>
    </row>
    <row r="440" spans="1:5">
      <c r="A440" s="79"/>
      <c r="B440" s="69"/>
      <c r="C440" s="54" t="s">
        <v>872</v>
      </c>
      <c r="D440" s="54"/>
      <c r="E440" t="s">
        <v>408</v>
      </c>
    </row>
    <row r="441" spans="1:5">
      <c r="A441" s="79"/>
      <c r="B441" s="69"/>
      <c r="C441" s="54" t="s">
        <v>873</v>
      </c>
      <c r="D441" s="54"/>
      <c r="E441" t="s">
        <v>408</v>
      </c>
    </row>
    <row r="442" spans="1:5">
      <c r="A442" s="79"/>
      <c r="B442" s="69"/>
      <c r="C442" s="54" t="s">
        <v>874</v>
      </c>
      <c r="D442" s="54"/>
      <c r="E442" t="s">
        <v>408</v>
      </c>
    </row>
    <row r="443" spans="1:5">
      <c r="A443" s="79"/>
      <c r="B443" s="69"/>
      <c r="C443" s="54" t="s">
        <v>875</v>
      </c>
      <c r="D443" s="54"/>
      <c r="E443" t="s">
        <v>408</v>
      </c>
    </row>
    <row r="444" spans="1:5">
      <c r="A444" s="79"/>
      <c r="B444" s="69"/>
      <c r="C444" s="54" t="s">
        <v>876</v>
      </c>
      <c r="D444" s="54"/>
      <c r="E444" t="s">
        <v>408</v>
      </c>
    </row>
    <row r="445" spans="1:5">
      <c r="A445" s="79"/>
      <c r="B445" s="69"/>
      <c r="C445" s="54" t="s">
        <v>877</v>
      </c>
      <c r="D445" s="54"/>
      <c r="E445" t="s">
        <v>408</v>
      </c>
    </row>
    <row r="446" spans="1:5">
      <c r="A446" s="79"/>
      <c r="B446" s="69"/>
      <c r="C446" s="54" t="s">
        <v>878</v>
      </c>
      <c r="D446" s="54"/>
      <c r="E446" t="s">
        <v>408</v>
      </c>
    </row>
    <row r="447" spans="1:5">
      <c r="A447" s="79"/>
      <c r="B447" s="69"/>
      <c r="C447" s="54" t="s">
        <v>879</v>
      </c>
      <c r="D447" s="54"/>
      <c r="E447" t="s">
        <v>408</v>
      </c>
    </row>
    <row r="448" spans="1:5">
      <c r="A448" s="79"/>
      <c r="B448" s="69"/>
      <c r="C448" s="54" t="s">
        <v>880</v>
      </c>
      <c r="D448" s="54"/>
      <c r="E448" t="s">
        <v>408</v>
      </c>
    </row>
    <row r="449" spans="1:5">
      <c r="A449" s="79"/>
      <c r="B449" s="69"/>
      <c r="C449" s="54" t="s">
        <v>881</v>
      </c>
      <c r="D449" s="54"/>
      <c r="E449" t="s">
        <v>408</v>
      </c>
    </row>
    <row r="450" spans="1:5">
      <c r="A450" s="79"/>
      <c r="B450" s="69"/>
      <c r="C450" s="54" t="s">
        <v>882</v>
      </c>
      <c r="D450" s="54"/>
      <c r="E450" t="s">
        <v>408</v>
      </c>
    </row>
    <row r="451" spans="1:5">
      <c r="A451" s="79"/>
      <c r="B451" s="69"/>
      <c r="C451" s="54" t="s">
        <v>883</v>
      </c>
      <c r="D451" s="54"/>
      <c r="E451" t="s">
        <v>408</v>
      </c>
    </row>
    <row r="452" spans="1:5">
      <c r="A452" s="79"/>
      <c r="B452" s="69"/>
      <c r="C452" s="54" t="s">
        <v>884</v>
      </c>
      <c r="D452" s="54"/>
      <c r="E452" t="s">
        <v>408</v>
      </c>
    </row>
    <row r="453" spans="1:5">
      <c r="A453" s="79"/>
      <c r="B453" s="69"/>
      <c r="C453" s="54" t="s">
        <v>885</v>
      </c>
      <c r="D453" s="54"/>
      <c r="E453" t="s">
        <v>408</v>
      </c>
    </row>
    <row r="454" spans="1:5">
      <c r="A454" s="79"/>
      <c r="B454" s="69"/>
      <c r="C454" s="54" t="s">
        <v>886</v>
      </c>
      <c r="D454" s="54"/>
      <c r="E454" t="s">
        <v>408</v>
      </c>
    </row>
    <row r="455" spans="1:5">
      <c r="A455" s="79"/>
      <c r="B455" s="69"/>
      <c r="C455" s="54" t="s">
        <v>887</v>
      </c>
      <c r="D455" s="54"/>
      <c r="E455" t="s">
        <v>408</v>
      </c>
    </row>
    <row r="456" spans="1:5">
      <c r="A456" s="79"/>
      <c r="B456" s="69"/>
      <c r="C456" s="54" t="s">
        <v>888</v>
      </c>
      <c r="D456" s="54"/>
      <c r="E456" t="s">
        <v>408</v>
      </c>
    </row>
    <row r="457" spans="1:5">
      <c r="A457" s="79"/>
      <c r="B457" s="69"/>
      <c r="C457" s="54" t="s">
        <v>889</v>
      </c>
      <c r="D457" s="54"/>
      <c r="E457" t="s">
        <v>408</v>
      </c>
    </row>
    <row r="458" spans="1:5">
      <c r="A458" s="79"/>
      <c r="B458" s="69"/>
      <c r="C458" s="54" t="s">
        <v>890</v>
      </c>
      <c r="D458" s="54"/>
      <c r="E458" t="s">
        <v>408</v>
      </c>
    </row>
    <row r="459" spans="1:5">
      <c r="A459" s="79"/>
      <c r="B459" s="69"/>
      <c r="C459" s="54" t="s">
        <v>891</v>
      </c>
      <c r="D459" s="54"/>
      <c r="E459" t="s">
        <v>408</v>
      </c>
    </row>
    <row r="460" spans="1:5">
      <c r="A460" s="79"/>
      <c r="B460" s="69"/>
      <c r="C460" s="54" t="s">
        <v>892</v>
      </c>
      <c r="D460" s="54"/>
      <c r="E460" t="s">
        <v>408</v>
      </c>
    </row>
    <row r="461" spans="1:5">
      <c r="A461" s="79"/>
      <c r="B461" s="69"/>
      <c r="C461" s="54" t="s">
        <v>893</v>
      </c>
      <c r="D461" s="54"/>
      <c r="E461" t="s">
        <v>408</v>
      </c>
    </row>
    <row r="462" spans="1:5">
      <c r="A462" s="79"/>
      <c r="B462" s="69"/>
      <c r="C462" s="54" t="s">
        <v>894</v>
      </c>
      <c r="D462" s="54"/>
      <c r="E462" t="s">
        <v>408</v>
      </c>
    </row>
    <row r="463" spans="1:5">
      <c r="A463" s="79"/>
      <c r="B463" s="69"/>
      <c r="C463" s="54" t="s">
        <v>895</v>
      </c>
      <c r="D463" s="54"/>
      <c r="E463" t="s">
        <v>408</v>
      </c>
    </row>
    <row r="464" spans="1:5">
      <c r="A464" s="79"/>
      <c r="B464" s="69"/>
      <c r="C464" s="54" t="s">
        <v>896</v>
      </c>
      <c r="D464" s="54"/>
      <c r="E464" t="s">
        <v>408</v>
      </c>
    </row>
    <row r="465" spans="1:5">
      <c r="A465" s="79"/>
      <c r="B465" s="69"/>
      <c r="C465" s="54" t="s">
        <v>897</v>
      </c>
      <c r="D465" s="54"/>
      <c r="E465" t="s">
        <v>408</v>
      </c>
    </row>
    <row r="466" spans="1:5">
      <c r="A466" s="79"/>
      <c r="B466" s="69"/>
      <c r="C466" s="54" t="s">
        <v>898</v>
      </c>
      <c r="D466" s="54"/>
      <c r="E466" t="s">
        <v>408</v>
      </c>
    </row>
    <row r="467" spans="1:5">
      <c r="A467" s="79"/>
      <c r="B467" s="69"/>
      <c r="C467" s="54" t="s">
        <v>899</v>
      </c>
      <c r="D467" s="54"/>
      <c r="E467" t="s">
        <v>408</v>
      </c>
    </row>
    <row r="468" spans="1:5">
      <c r="A468" s="79"/>
      <c r="B468" s="69"/>
      <c r="C468" s="54" t="s">
        <v>900</v>
      </c>
      <c r="D468" s="54"/>
      <c r="E468" t="s">
        <v>408</v>
      </c>
    </row>
    <row r="469" spans="1:5">
      <c r="A469" s="79"/>
      <c r="B469" s="69"/>
      <c r="C469" s="54" t="s">
        <v>901</v>
      </c>
      <c r="D469" s="54"/>
      <c r="E469" t="s">
        <v>408</v>
      </c>
    </row>
    <row r="470" spans="1:5">
      <c r="A470" s="79"/>
      <c r="B470" s="69"/>
      <c r="C470" s="54" t="s">
        <v>902</v>
      </c>
      <c r="D470" s="54"/>
      <c r="E470" t="s">
        <v>408</v>
      </c>
    </row>
    <row r="471" spans="1:5">
      <c r="A471" s="79"/>
      <c r="B471" s="69"/>
      <c r="C471" s="54" t="s">
        <v>903</v>
      </c>
      <c r="D471" s="54"/>
      <c r="E471" t="s">
        <v>408</v>
      </c>
    </row>
    <row r="472" spans="1:5">
      <c r="A472" s="79"/>
      <c r="B472" s="69"/>
      <c r="C472" s="54" t="s">
        <v>904</v>
      </c>
      <c r="D472" s="54"/>
      <c r="E472" t="s">
        <v>408</v>
      </c>
    </row>
    <row r="473" spans="1:5">
      <c r="A473" s="79"/>
      <c r="B473" s="69"/>
      <c r="C473" s="54" t="s">
        <v>905</v>
      </c>
      <c r="D473" s="54"/>
      <c r="E473" t="s">
        <v>408</v>
      </c>
    </row>
    <row r="474" spans="1:5">
      <c r="A474" s="79"/>
      <c r="B474" s="69"/>
      <c r="C474" s="54" t="s">
        <v>906</v>
      </c>
      <c r="D474" s="54"/>
      <c r="E474" t="s">
        <v>408</v>
      </c>
    </row>
    <row r="475" spans="1:5">
      <c r="A475" s="79"/>
      <c r="B475" s="69"/>
      <c r="C475" s="54" t="s">
        <v>907</v>
      </c>
      <c r="D475" s="54"/>
      <c r="E475" t="s">
        <v>408</v>
      </c>
    </row>
    <row r="476" spans="1:5">
      <c r="A476" s="79"/>
      <c r="B476" s="69"/>
      <c r="C476" s="54" t="s">
        <v>908</v>
      </c>
      <c r="D476" s="54"/>
      <c r="E476" t="s">
        <v>408</v>
      </c>
    </row>
    <row r="477" spans="1:5">
      <c r="A477" s="79"/>
      <c r="B477" s="69"/>
      <c r="C477" s="54" t="s">
        <v>909</v>
      </c>
      <c r="D477" s="54"/>
      <c r="E477" t="s">
        <v>408</v>
      </c>
    </row>
    <row r="478" spans="1:5">
      <c r="A478" s="79"/>
      <c r="B478" s="69"/>
      <c r="C478" s="54" t="s">
        <v>910</v>
      </c>
      <c r="D478" s="54"/>
      <c r="E478" t="s">
        <v>408</v>
      </c>
    </row>
    <row r="479" spans="1:5">
      <c r="A479" s="79"/>
      <c r="B479" s="69"/>
      <c r="C479" s="54" t="s">
        <v>911</v>
      </c>
      <c r="D479" s="54"/>
      <c r="E479" t="s">
        <v>408</v>
      </c>
    </row>
    <row r="480" spans="1:5">
      <c r="A480" s="79"/>
      <c r="B480" s="69"/>
      <c r="C480" s="54" t="s">
        <v>912</v>
      </c>
      <c r="D480" s="54"/>
      <c r="E480" t="s">
        <v>408</v>
      </c>
    </row>
    <row r="481" spans="1:5">
      <c r="A481" s="79"/>
      <c r="B481" s="69"/>
      <c r="C481" s="54" t="s">
        <v>913</v>
      </c>
      <c r="D481" s="54"/>
      <c r="E481" t="s">
        <v>408</v>
      </c>
    </row>
    <row r="482" spans="1:5">
      <c r="A482" s="79"/>
      <c r="B482" s="69"/>
      <c r="C482" s="54" t="s">
        <v>914</v>
      </c>
      <c r="D482" s="54"/>
      <c r="E482" t="s">
        <v>408</v>
      </c>
    </row>
    <row r="483" spans="1:5">
      <c r="A483" s="79"/>
      <c r="B483" s="69"/>
      <c r="C483" s="54" t="s">
        <v>915</v>
      </c>
      <c r="D483" s="54"/>
      <c r="E483" t="s">
        <v>408</v>
      </c>
    </row>
    <row r="484" spans="1:5">
      <c r="A484" s="79"/>
      <c r="B484" s="69"/>
      <c r="C484" s="54" t="s">
        <v>916</v>
      </c>
      <c r="D484" s="54"/>
      <c r="E484" t="s">
        <v>408</v>
      </c>
    </row>
    <row r="485" spans="1:5">
      <c r="A485" s="79"/>
      <c r="B485" s="69"/>
      <c r="C485" s="54" t="s">
        <v>917</v>
      </c>
      <c r="D485" s="54"/>
      <c r="E485" t="s">
        <v>408</v>
      </c>
    </row>
    <row r="486" spans="1:5">
      <c r="A486" s="79"/>
      <c r="B486" s="69"/>
      <c r="C486" s="54" t="s">
        <v>918</v>
      </c>
      <c r="D486" s="54"/>
      <c r="E486" t="s">
        <v>408</v>
      </c>
    </row>
    <row r="487" spans="1:5">
      <c r="A487" s="79"/>
      <c r="B487" s="69"/>
      <c r="C487" s="54" t="s">
        <v>919</v>
      </c>
      <c r="D487" s="54"/>
      <c r="E487" t="s">
        <v>408</v>
      </c>
    </row>
    <row r="488" spans="1:5">
      <c r="A488" s="79"/>
      <c r="B488" s="69"/>
      <c r="C488" s="54" t="s">
        <v>920</v>
      </c>
      <c r="D488" s="54"/>
      <c r="E488" t="s">
        <v>408</v>
      </c>
    </row>
    <row r="489" spans="1:5">
      <c r="A489" s="79"/>
      <c r="B489" s="69"/>
      <c r="C489" s="54" t="s">
        <v>342</v>
      </c>
      <c r="D489" s="54"/>
    </row>
    <row r="490" spans="1:5">
      <c r="A490" s="79"/>
      <c r="B490" s="69"/>
      <c r="C490" s="54" t="s">
        <v>921</v>
      </c>
      <c r="D490" s="54"/>
    </row>
    <row r="491" spans="1:5">
      <c r="A491" s="79"/>
      <c r="B491" s="69"/>
      <c r="C491" s="54" t="s">
        <v>922</v>
      </c>
      <c r="D491" s="54"/>
    </row>
    <row r="492" spans="1:5">
      <c r="A492" s="79"/>
      <c r="B492" s="69"/>
      <c r="C492" s="54" t="s">
        <v>923</v>
      </c>
      <c r="D492" s="54"/>
    </row>
    <row r="493" spans="1:5">
      <c r="A493" s="79"/>
      <c r="B493" s="69"/>
      <c r="C493" s="54" t="s">
        <v>924</v>
      </c>
      <c r="D493" s="54"/>
    </row>
    <row r="494" spans="1:5">
      <c r="A494" s="79"/>
      <c r="B494" s="69"/>
      <c r="C494" s="54" t="s">
        <v>925</v>
      </c>
      <c r="D494" s="54"/>
    </row>
    <row r="495" spans="1:5">
      <c r="A495" s="79"/>
      <c r="B495" s="69"/>
      <c r="C495" s="54" t="s">
        <v>926</v>
      </c>
      <c r="D495" s="54"/>
    </row>
    <row r="496" spans="1:5">
      <c r="A496" s="79"/>
      <c r="B496" s="69"/>
      <c r="C496" s="54" t="s">
        <v>927</v>
      </c>
      <c r="D496" s="54"/>
    </row>
    <row r="497" spans="1:4">
      <c r="A497" s="79"/>
      <c r="B497" s="69"/>
      <c r="C497" s="54" t="s">
        <v>928</v>
      </c>
      <c r="D497" s="54"/>
    </row>
    <row r="498" spans="1:4">
      <c r="A498" s="80"/>
      <c r="B498" s="70"/>
      <c r="C498" s="54" t="s">
        <v>758</v>
      </c>
      <c r="D498" s="54"/>
    </row>
    <row r="499" spans="1:4">
      <c r="A499" s="111"/>
      <c r="B499" s="115" t="s">
        <v>929</v>
      </c>
      <c r="C499" s="52" t="s">
        <v>628</v>
      </c>
      <c r="D499" s="52"/>
    </row>
    <row r="500" spans="1:4">
      <c r="A500" s="61"/>
      <c r="B500" s="115"/>
      <c r="C500" s="52" t="s">
        <v>930</v>
      </c>
      <c r="D500" s="52"/>
    </row>
    <row r="501" spans="1:4">
      <c r="A501" s="61"/>
      <c r="B501" s="115"/>
      <c r="C501" s="52" t="s">
        <v>931</v>
      </c>
      <c r="D501" s="52"/>
    </row>
    <row r="502" spans="1:4">
      <c r="A502" s="61"/>
      <c r="B502" s="115"/>
      <c r="C502" s="52" t="s">
        <v>932</v>
      </c>
      <c r="D502" s="52"/>
    </row>
    <row r="503" spans="1:4">
      <c r="A503" s="61"/>
      <c r="B503" s="115"/>
      <c r="C503" s="52" t="s">
        <v>933</v>
      </c>
      <c r="D503" s="52"/>
    </row>
    <row r="504" spans="1:4">
      <c r="A504" s="61"/>
      <c r="B504" s="115"/>
      <c r="C504" s="52" t="s">
        <v>934</v>
      </c>
      <c r="D504" s="52"/>
    </row>
    <row r="505" spans="1:4">
      <c r="A505" s="61"/>
      <c r="B505" s="115"/>
      <c r="C505" s="52" t="s">
        <v>935</v>
      </c>
      <c r="D505" s="52"/>
    </row>
    <row r="506" spans="1:4">
      <c r="A506" s="61"/>
      <c r="B506" s="115"/>
      <c r="C506" s="52" t="s">
        <v>936</v>
      </c>
      <c r="D506" s="52"/>
    </row>
    <row r="507" spans="1:4">
      <c r="A507" s="61"/>
      <c r="B507" s="115"/>
      <c r="C507" s="52" t="s">
        <v>937</v>
      </c>
      <c r="D507" s="52"/>
    </row>
    <row r="508" spans="1:4">
      <c r="A508" s="61"/>
      <c r="B508" s="115"/>
      <c r="C508" s="52" t="s">
        <v>938</v>
      </c>
      <c r="D508" s="52"/>
    </row>
    <row r="509" spans="1:4">
      <c r="A509" s="61"/>
      <c r="B509" s="115"/>
      <c r="C509" s="52" t="s">
        <v>939</v>
      </c>
      <c r="D509" s="52"/>
    </row>
    <row r="510" spans="1:4">
      <c r="A510" s="61"/>
      <c r="B510" s="115"/>
      <c r="C510" s="52" t="s">
        <v>940</v>
      </c>
      <c r="D510" s="52"/>
    </row>
    <row r="511" spans="1:4">
      <c r="A511" s="61"/>
      <c r="B511" s="115"/>
      <c r="C511" s="52" t="s">
        <v>941</v>
      </c>
      <c r="D511" s="52"/>
    </row>
    <row r="512" spans="1:4">
      <c r="A512" s="61"/>
      <c r="B512" s="115"/>
      <c r="C512" s="52" t="s">
        <v>674</v>
      </c>
      <c r="D512" s="52"/>
    </row>
    <row r="513" spans="1:4">
      <c r="A513" s="61"/>
      <c r="B513" s="115"/>
      <c r="C513" s="52" t="s">
        <v>342</v>
      </c>
      <c r="D513" s="52"/>
    </row>
    <row r="514" spans="1:4">
      <c r="A514" s="79"/>
      <c r="B514" s="65" t="s">
        <v>942</v>
      </c>
      <c r="C514" s="54" t="s">
        <v>530</v>
      </c>
      <c r="D514" s="54"/>
    </row>
    <row r="515" spans="1:4">
      <c r="A515" s="80"/>
      <c r="B515" s="67"/>
      <c r="C515" s="54" t="s">
        <v>312</v>
      </c>
      <c r="D515" s="54"/>
    </row>
    <row r="516" spans="1:4">
      <c r="A516" s="61"/>
      <c r="B516" s="115" t="s">
        <v>943</v>
      </c>
      <c r="C516" s="52" t="s">
        <v>944</v>
      </c>
      <c r="D516" s="52"/>
    </row>
    <row r="517" spans="1:4">
      <c r="A517" s="61"/>
      <c r="B517" s="115"/>
      <c r="C517" s="52" t="s">
        <v>945</v>
      </c>
      <c r="D517" s="52"/>
    </row>
    <row r="518" spans="1:4">
      <c r="A518" s="61"/>
      <c r="B518" s="115"/>
      <c r="C518" s="52" t="s">
        <v>364</v>
      </c>
      <c r="D518" s="52"/>
    </row>
    <row r="519" spans="1:4">
      <c r="A519" s="61"/>
      <c r="B519" s="115"/>
      <c r="C519" s="52" t="s">
        <v>946</v>
      </c>
      <c r="D519" s="52"/>
    </row>
    <row r="520" spans="1:4">
      <c r="A520" s="113"/>
      <c r="B520" s="65" t="s">
        <v>947</v>
      </c>
      <c r="C520" s="54" t="s">
        <v>948</v>
      </c>
      <c r="D520" s="54"/>
    </row>
    <row r="521" spans="1:4">
      <c r="A521" s="77"/>
      <c r="B521" s="66"/>
      <c r="C521" s="54" t="s">
        <v>949</v>
      </c>
      <c r="D521" s="54"/>
    </row>
    <row r="522" spans="1:4">
      <c r="A522" s="77"/>
      <c r="B522" s="66"/>
      <c r="C522" s="54" t="s">
        <v>950</v>
      </c>
      <c r="D522" s="54"/>
    </row>
    <row r="523" spans="1:4">
      <c r="A523" s="77"/>
      <c r="B523" s="66"/>
      <c r="C523" s="54" t="s">
        <v>951</v>
      </c>
      <c r="D523" s="54"/>
    </row>
    <row r="524" spans="1:4">
      <c r="A524" s="77"/>
      <c r="B524" s="66"/>
      <c r="C524" s="54" t="s">
        <v>952</v>
      </c>
      <c r="D524" s="54"/>
    </row>
    <row r="525" spans="1:4">
      <c r="A525" s="77"/>
      <c r="B525" s="66"/>
      <c r="C525" s="54" t="s">
        <v>953</v>
      </c>
      <c r="D525" s="54"/>
    </row>
    <row r="526" spans="1:4">
      <c r="A526" s="77"/>
      <c r="B526" s="66"/>
      <c r="C526" s="54" t="s">
        <v>954</v>
      </c>
      <c r="D526" s="54"/>
    </row>
    <row r="527" spans="1:4">
      <c r="A527" s="77"/>
      <c r="B527" s="66"/>
      <c r="C527" s="54" t="s">
        <v>955</v>
      </c>
      <c r="D527" s="54"/>
    </row>
    <row r="528" spans="1:4">
      <c r="A528" s="77"/>
      <c r="B528" s="66"/>
      <c r="C528" s="54" t="s">
        <v>956</v>
      </c>
      <c r="D528" s="54"/>
    </row>
    <row r="529" spans="1:4">
      <c r="A529" s="77"/>
      <c r="B529" s="66"/>
      <c r="C529" s="54" t="s">
        <v>938</v>
      </c>
      <c r="D529" s="54"/>
    </row>
    <row r="530" spans="1:4">
      <c r="B530" s="66"/>
      <c r="C530" s="54" t="s">
        <v>957</v>
      </c>
      <c r="D530" s="54"/>
    </row>
    <row r="531" spans="1:4">
      <c r="A531" s="77"/>
      <c r="B531" s="66"/>
      <c r="C531" s="54" t="s">
        <v>958</v>
      </c>
      <c r="D531" s="54" t="s">
        <v>959</v>
      </c>
    </row>
    <row r="532" spans="1:4">
      <c r="A532" s="77"/>
      <c r="B532" s="66"/>
      <c r="C532" s="54" t="s">
        <v>960</v>
      </c>
      <c r="D532" s="54" t="s">
        <v>959</v>
      </c>
    </row>
    <row r="533" spans="1:4">
      <c r="A533" s="77"/>
      <c r="B533" s="66"/>
      <c r="C533" s="54" t="s">
        <v>961</v>
      </c>
      <c r="D533" s="54" t="s">
        <v>959</v>
      </c>
    </row>
    <row r="534" spans="1:4">
      <c r="A534" s="77"/>
      <c r="B534" s="66"/>
      <c r="C534" s="54" t="s">
        <v>962</v>
      </c>
      <c r="D534" s="54"/>
    </row>
    <row r="535" spans="1:4">
      <c r="A535" s="77"/>
      <c r="B535" s="66"/>
      <c r="C535" s="54" t="s">
        <v>963</v>
      </c>
      <c r="D535" s="54"/>
    </row>
    <row r="536" spans="1:4">
      <c r="A536" s="77"/>
      <c r="B536" s="66"/>
      <c r="C536" s="54" t="s">
        <v>964</v>
      </c>
      <c r="D536" s="54"/>
    </row>
    <row r="537" spans="1:4">
      <c r="A537" s="77"/>
      <c r="B537" s="66"/>
      <c r="C537" s="54" t="s">
        <v>965</v>
      </c>
      <c r="D537" s="54"/>
    </row>
    <row r="538" spans="1:4">
      <c r="A538" s="77"/>
      <c r="B538" s="66"/>
      <c r="C538" s="54" t="s">
        <v>966</v>
      </c>
      <c r="D538" s="54"/>
    </row>
    <row r="539" spans="1:4">
      <c r="A539" s="77"/>
      <c r="B539" s="66"/>
      <c r="C539" s="54" t="s">
        <v>967</v>
      </c>
      <c r="D539" s="54"/>
    </row>
    <row r="540" spans="1:4">
      <c r="A540" s="77"/>
      <c r="B540" s="66"/>
      <c r="C540" s="54" t="s">
        <v>968</v>
      </c>
      <c r="D540" s="54"/>
    </row>
    <row r="541" spans="1:4">
      <c r="A541" s="77"/>
      <c r="B541" s="66"/>
      <c r="C541" s="54" t="s">
        <v>969</v>
      </c>
      <c r="D541" s="54"/>
    </row>
    <row r="542" spans="1:4">
      <c r="A542" s="77"/>
      <c r="B542" s="66"/>
      <c r="C542" s="54" t="s">
        <v>674</v>
      </c>
      <c r="D542" s="54"/>
    </row>
    <row r="543" spans="1:4">
      <c r="A543" s="77"/>
      <c r="B543" s="66"/>
      <c r="C543" s="54" t="s">
        <v>342</v>
      </c>
      <c r="D543" s="55"/>
    </row>
    <row r="544" spans="1:4">
      <c r="A544" s="83"/>
      <c r="B544" s="56" t="s">
        <v>970</v>
      </c>
      <c r="C544" s="52" t="s">
        <v>530</v>
      </c>
      <c r="D544" s="52"/>
    </row>
    <row r="545" spans="1:4">
      <c r="A545" s="84"/>
      <c r="B545" s="114"/>
      <c r="C545" s="52" t="s">
        <v>312</v>
      </c>
      <c r="D545" s="52"/>
    </row>
    <row r="546" spans="1:4">
      <c r="A546" s="77"/>
      <c r="B546" s="65" t="s">
        <v>971</v>
      </c>
      <c r="C546" s="54" t="s">
        <v>972</v>
      </c>
      <c r="D546" s="54"/>
    </row>
    <row r="547" spans="1:4">
      <c r="A547" s="77"/>
      <c r="B547" s="66"/>
      <c r="C547" s="54" t="s">
        <v>973</v>
      </c>
      <c r="D547" s="54"/>
    </row>
    <row r="548" spans="1:4">
      <c r="A548" s="77"/>
      <c r="B548" s="66"/>
      <c r="C548" s="54" t="s">
        <v>974</v>
      </c>
      <c r="D548" s="54"/>
    </row>
    <row r="549" spans="1:4">
      <c r="A549" s="77"/>
      <c r="B549" s="66"/>
      <c r="C549" s="54" t="s">
        <v>975</v>
      </c>
      <c r="D549" s="54"/>
    </row>
    <row r="550" spans="1:4">
      <c r="A550" s="77"/>
      <c r="B550" s="66"/>
      <c r="C550" s="54" t="s">
        <v>976</v>
      </c>
      <c r="D550" s="54"/>
    </row>
    <row r="551" spans="1:4">
      <c r="A551" s="83"/>
      <c r="B551" s="56" t="s">
        <v>977</v>
      </c>
      <c r="C551" s="52" t="s">
        <v>530</v>
      </c>
      <c r="D551" s="52"/>
    </row>
    <row r="552" spans="1:4">
      <c r="A552" s="84"/>
      <c r="B552" s="114"/>
      <c r="C552" s="52" t="s">
        <v>312</v>
      </c>
      <c r="D552" s="52"/>
    </row>
    <row r="553" spans="1:4">
      <c r="A553" s="62"/>
      <c r="B553" s="65" t="s">
        <v>978</v>
      </c>
      <c r="C553" s="54" t="s">
        <v>979</v>
      </c>
      <c r="D553" s="54"/>
    </row>
    <row r="554" spans="1:4">
      <c r="A554" s="63"/>
      <c r="B554" s="63"/>
      <c r="C554" s="54" t="s">
        <v>980</v>
      </c>
      <c r="D554" s="54"/>
    </row>
    <row r="555" spans="1:4">
      <c r="A555" s="63"/>
      <c r="B555" s="63"/>
      <c r="C555" s="54" t="s">
        <v>981</v>
      </c>
      <c r="D555" s="54"/>
    </row>
    <row r="556" spans="1:4">
      <c r="A556" s="63"/>
      <c r="B556" s="63"/>
      <c r="C556" s="54" t="s">
        <v>982</v>
      </c>
      <c r="D556" s="54"/>
    </row>
    <row r="557" spans="1:4">
      <c r="A557" s="63"/>
      <c r="B557" s="63"/>
      <c r="C557" s="54" t="s">
        <v>983</v>
      </c>
      <c r="D557" s="54"/>
    </row>
    <row r="558" spans="1:4">
      <c r="A558" s="63"/>
      <c r="B558" s="63"/>
      <c r="C558" s="54" t="s">
        <v>984</v>
      </c>
      <c r="D558" s="54"/>
    </row>
    <row r="559" spans="1:4">
      <c r="A559" s="63"/>
      <c r="B559" s="63"/>
      <c r="C559" s="54" t="s">
        <v>985</v>
      </c>
      <c r="D559" s="54"/>
    </row>
    <row r="560" spans="1:4">
      <c r="A560" s="63"/>
      <c r="B560" s="63"/>
      <c r="C560" s="54" t="s">
        <v>986</v>
      </c>
      <c r="D560" s="54"/>
    </row>
    <row r="561" spans="1:4">
      <c r="A561" s="63"/>
      <c r="B561" s="63"/>
      <c r="C561" s="54" t="s">
        <v>987</v>
      </c>
      <c r="D561" s="54"/>
    </row>
    <row r="562" spans="1:4">
      <c r="A562" s="63"/>
      <c r="B562" s="63"/>
      <c r="C562" s="54" t="s">
        <v>988</v>
      </c>
      <c r="D562" s="54"/>
    </row>
    <row r="563" spans="1:4">
      <c r="A563" s="63"/>
      <c r="B563" s="63"/>
      <c r="C563" s="54" t="s">
        <v>989</v>
      </c>
      <c r="D563" s="54"/>
    </row>
    <row r="564" spans="1:4">
      <c r="A564" s="63"/>
      <c r="B564" s="63"/>
      <c r="C564" s="54" t="s">
        <v>990</v>
      </c>
      <c r="D564" s="54"/>
    </row>
    <row r="565" spans="1:4">
      <c r="A565" s="63"/>
      <c r="B565" s="63"/>
      <c r="C565" s="54" t="s">
        <v>991</v>
      </c>
      <c r="D565" s="54"/>
    </row>
    <row r="566" spans="1:4">
      <c r="A566" s="63"/>
      <c r="B566" s="63"/>
      <c r="C566" s="54" t="s">
        <v>992</v>
      </c>
      <c r="D566" s="54"/>
    </row>
    <row r="567" spans="1:4">
      <c r="A567" s="63"/>
      <c r="B567" s="63"/>
      <c r="C567" s="54" t="s">
        <v>993</v>
      </c>
      <c r="D567" s="54"/>
    </row>
    <row r="568" spans="1:4">
      <c r="A568" s="63"/>
      <c r="B568" s="63"/>
      <c r="C568" s="54" t="s">
        <v>994</v>
      </c>
      <c r="D568" s="54"/>
    </row>
    <row r="569" spans="1:4">
      <c r="A569" s="63"/>
      <c r="B569" s="63"/>
      <c r="C569" s="54" t="s">
        <v>995</v>
      </c>
      <c r="D569" s="54"/>
    </row>
    <row r="570" spans="1:4">
      <c r="A570" s="63"/>
      <c r="B570" s="63"/>
      <c r="C570" s="54" t="s">
        <v>996</v>
      </c>
      <c r="D570" s="54"/>
    </row>
    <row r="571" spans="1:4">
      <c r="A571" s="63"/>
      <c r="B571" s="63"/>
      <c r="C571" s="54" t="s">
        <v>997</v>
      </c>
      <c r="D571" s="54"/>
    </row>
    <row r="572" spans="1:4">
      <c r="A572" s="63"/>
      <c r="B572" s="63"/>
      <c r="C572" s="54" t="s">
        <v>998</v>
      </c>
      <c r="D572" s="54"/>
    </row>
    <row r="573" spans="1:4">
      <c r="A573" s="63"/>
      <c r="B573" s="63"/>
      <c r="C573" s="54" t="s">
        <v>999</v>
      </c>
      <c r="D573" s="54"/>
    </row>
    <row r="574" spans="1:4">
      <c r="A574" s="63"/>
      <c r="B574" s="63"/>
      <c r="C574" s="54" t="s">
        <v>1000</v>
      </c>
      <c r="D574" s="54"/>
    </row>
    <row r="575" spans="1:4">
      <c r="A575" s="63"/>
      <c r="B575" s="63"/>
      <c r="C575" s="54" t="s">
        <v>1001</v>
      </c>
      <c r="D575" s="54"/>
    </row>
    <row r="576" spans="1:4">
      <c r="A576" s="63"/>
      <c r="B576" s="63"/>
      <c r="C576" s="54" t="s">
        <v>1002</v>
      </c>
      <c r="D576" s="54"/>
    </row>
    <row r="577" spans="1:5">
      <c r="A577" s="63"/>
      <c r="B577" s="63"/>
      <c r="C577" s="54" t="s">
        <v>1003</v>
      </c>
      <c r="D577" s="54"/>
    </row>
    <row r="578" spans="1:5">
      <c r="A578" s="63"/>
      <c r="B578" s="63"/>
      <c r="C578" s="54" t="s">
        <v>1004</v>
      </c>
      <c r="D578" s="54"/>
    </row>
    <row r="579" spans="1:5">
      <c r="A579" s="63"/>
      <c r="B579" s="63"/>
      <c r="C579" s="54" t="s">
        <v>1005</v>
      </c>
      <c r="D579" s="54"/>
    </row>
    <row r="580" spans="1:5">
      <c r="A580" s="63"/>
      <c r="B580" s="63"/>
      <c r="C580" s="54" t="s">
        <v>1006</v>
      </c>
      <c r="D580" s="54"/>
      <c r="E580" t="s">
        <v>408</v>
      </c>
    </row>
    <row r="581" spans="1:5">
      <c r="A581" s="63"/>
      <c r="B581" s="63"/>
      <c r="C581" s="54" t="s">
        <v>1007</v>
      </c>
      <c r="D581" s="54"/>
      <c r="E581" t="s">
        <v>408</v>
      </c>
    </row>
    <row r="582" spans="1:5">
      <c r="A582" s="63"/>
      <c r="B582" s="63"/>
      <c r="C582" s="54" t="s">
        <v>1008</v>
      </c>
      <c r="D582" s="54"/>
    </row>
    <row r="583" spans="1:5">
      <c r="A583" s="63"/>
      <c r="B583" s="63"/>
      <c r="C583" s="54" t="s">
        <v>1009</v>
      </c>
      <c r="D583" s="54"/>
    </row>
    <row r="584" spans="1:5">
      <c r="A584" s="63"/>
      <c r="B584" s="63"/>
      <c r="C584" s="54" t="s">
        <v>1010</v>
      </c>
      <c r="D584" s="54"/>
    </row>
    <row r="585" spans="1:5">
      <c r="A585" s="63"/>
      <c r="B585" s="63"/>
      <c r="C585" s="54" t="s">
        <v>1011</v>
      </c>
      <c r="D585" s="54"/>
    </row>
    <row r="586" spans="1:5">
      <c r="A586" s="63"/>
      <c r="B586" s="63"/>
      <c r="C586" s="54" t="s">
        <v>1012</v>
      </c>
      <c r="D586" s="54"/>
    </row>
    <row r="587" spans="1:5">
      <c r="A587" s="63"/>
      <c r="B587" s="63"/>
      <c r="C587" s="54" t="s">
        <v>1013</v>
      </c>
      <c r="D587" s="54"/>
    </row>
    <row r="588" spans="1:5">
      <c r="A588" s="63"/>
      <c r="B588" s="63"/>
      <c r="C588" s="54" t="s">
        <v>1014</v>
      </c>
      <c r="D588" s="54"/>
    </row>
    <row r="589" spans="1:5">
      <c r="A589" s="63"/>
      <c r="B589" s="63"/>
      <c r="C589" s="54" t="s">
        <v>1015</v>
      </c>
      <c r="D589" s="54"/>
    </row>
    <row r="590" spans="1:5">
      <c r="A590" s="63"/>
      <c r="B590" s="63"/>
      <c r="C590" s="54" t="s">
        <v>1016</v>
      </c>
      <c r="D590" s="54"/>
    </row>
    <row r="591" spans="1:5">
      <c r="A591" s="64"/>
      <c r="B591" s="64"/>
      <c r="C591" s="54" t="s">
        <v>1017</v>
      </c>
      <c r="D591" s="54"/>
    </row>
    <row r="592" spans="1:5">
      <c r="A592" s="61"/>
      <c r="B592" s="115" t="s">
        <v>300</v>
      </c>
      <c r="C592" s="52" t="s">
        <v>1018</v>
      </c>
      <c r="D592" s="52"/>
    </row>
    <row r="593" spans="1:4">
      <c r="A593" s="61"/>
      <c r="B593" s="115"/>
      <c r="C593" s="52" t="s">
        <v>1019</v>
      </c>
      <c r="D593" s="52"/>
    </row>
    <row r="594" spans="1:4">
      <c r="A594" s="61"/>
      <c r="B594" s="115"/>
      <c r="C594" s="52" t="s">
        <v>342</v>
      </c>
      <c r="D594" s="52"/>
    </row>
    <row r="595" spans="1:4">
      <c r="A595" s="65"/>
      <c r="B595" s="71" t="s">
        <v>1020</v>
      </c>
      <c r="C595" s="54" t="s">
        <v>530</v>
      </c>
      <c r="D595" s="54"/>
    </row>
    <row r="596" spans="1:4">
      <c r="A596" s="116"/>
      <c r="B596" s="118"/>
      <c r="C596" s="117" t="s">
        <v>312</v>
      </c>
      <c r="D596" s="54"/>
    </row>
    <row r="597" spans="1:4">
      <c r="A597" s="111"/>
      <c r="B597" s="111" t="s">
        <v>1021</v>
      </c>
      <c r="C597" s="52" t="s">
        <v>1022</v>
      </c>
      <c r="D597" s="52"/>
    </row>
    <row r="598" spans="1:4">
      <c r="A598" s="61"/>
      <c r="B598" s="61"/>
      <c r="C598" s="52" t="s">
        <v>1023</v>
      </c>
      <c r="D598" s="52"/>
    </row>
    <row r="599" spans="1:4">
      <c r="A599" s="61"/>
      <c r="B599" s="61"/>
      <c r="C599" s="52" t="s">
        <v>1024</v>
      </c>
      <c r="D599" s="52"/>
    </row>
    <row r="600" spans="1:4">
      <c r="A600" s="61"/>
      <c r="B600" s="61"/>
      <c r="C600" s="52" t="s">
        <v>1025</v>
      </c>
      <c r="D600" s="52"/>
    </row>
    <row r="601" spans="1:4">
      <c r="A601" s="61"/>
      <c r="B601" s="61"/>
      <c r="C601" s="52" t="s">
        <v>1026</v>
      </c>
      <c r="D601" s="52"/>
    </row>
    <row r="602" spans="1:4">
      <c r="A602" s="61"/>
      <c r="B602" s="61"/>
      <c r="C602" s="52" t="s">
        <v>1027</v>
      </c>
      <c r="D602" s="52"/>
    </row>
    <row r="603" spans="1:4">
      <c r="A603" s="61"/>
      <c r="B603" s="61"/>
      <c r="C603" s="52" t="s">
        <v>1028</v>
      </c>
      <c r="D603" s="52"/>
    </row>
    <row r="604" spans="1:4">
      <c r="A604" s="61"/>
      <c r="B604" s="61"/>
      <c r="C604" s="52" t="s">
        <v>1029</v>
      </c>
      <c r="D604" s="52"/>
    </row>
    <row r="605" spans="1:4">
      <c r="A605" s="61"/>
      <c r="B605" s="61"/>
      <c r="C605" s="52" t="s">
        <v>1030</v>
      </c>
      <c r="D605" s="52"/>
    </row>
    <row r="606" spans="1:4">
      <c r="A606" s="61"/>
      <c r="B606" s="61"/>
      <c r="C606" s="52" t="s">
        <v>1031</v>
      </c>
      <c r="D606" s="52"/>
    </row>
    <row r="607" spans="1:4">
      <c r="A607" s="61"/>
      <c r="B607" s="61"/>
      <c r="C607" s="52" t="s">
        <v>1032</v>
      </c>
      <c r="D607" s="52"/>
    </row>
    <row r="608" spans="1:4">
      <c r="A608" s="61"/>
      <c r="B608" s="61"/>
      <c r="C608" s="52" t="s">
        <v>1033</v>
      </c>
      <c r="D608" s="52"/>
    </row>
    <row r="609" spans="1:5">
      <c r="A609" s="61"/>
      <c r="B609" s="61"/>
      <c r="C609" s="52" t="s">
        <v>1034</v>
      </c>
      <c r="D609" s="52"/>
    </row>
    <row r="610" spans="1:5">
      <c r="A610" s="61"/>
      <c r="B610" s="61"/>
      <c r="C610" s="52" t="s">
        <v>1035</v>
      </c>
      <c r="D610" s="52"/>
    </row>
    <row r="611" spans="1:5">
      <c r="A611" s="61"/>
      <c r="B611" s="61"/>
      <c r="C611" s="52" t="s">
        <v>1036</v>
      </c>
      <c r="D611" s="52"/>
    </row>
    <row r="612" spans="1:5">
      <c r="A612" s="61"/>
      <c r="B612" s="61"/>
      <c r="C612" s="52" t="s">
        <v>1037</v>
      </c>
      <c r="D612" s="52"/>
    </row>
    <row r="613" spans="1:5">
      <c r="A613" s="61"/>
      <c r="B613" s="61"/>
      <c r="C613" s="52" t="s">
        <v>1038</v>
      </c>
      <c r="D613" s="52"/>
    </row>
    <row r="614" spans="1:5">
      <c r="A614" s="61"/>
      <c r="B614" s="61"/>
      <c r="C614" s="52" t="s">
        <v>1039</v>
      </c>
      <c r="D614" s="52"/>
    </row>
    <row r="615" spans="1:5">
      <c r="A615" s="61"/>
      <c r="B615" s="61"/>
      <c r="C615" s="52" t="s">
        <v>1040</v>
      </c>
      <c r="D615" s="52"/>
    </row>
    <row r="616" spans="1:5">
      <c r="A616" s="61"/>
      <c r="B616" s="61"/>
      <c r="C616" s="52" t="s">
        <v>1041</v>
      </c>
      <c r="D616" s="52"/>
    </row>
    <row r="617" spans="1:5">
      <c r="A617" s="61"/>
      <c r="B617" s="61"/>
      <c r="C617" s="52" t="s">
        <v>1042</v>
      </c>
      <c r="D617" s="52"/>
    </row>
    <row r="618" spans="1:5">
      <c r="A618" s="61"/>
      <c r="B618" s="61"/>
      <c r="C618" s="52" t="s">
        <v>1043</v>
      </c>
      <c r="D618" s="52"/>
    </row>
    <row r="619" spans="1:5">
      <c r="A619" s="61"/>
      <c r="B619" s="61"/>
      <c r="C619" s="52" t="s">
        <v>1044</v>
      </c>
      <c r="D619" s="52"/>
    </row>
    <row r="620" spans="1:5">
      <c r="A620" s="61"/>
      <c r="B620" s="61"/>
      <c r="C620" s="52" t="s">
        <v>758</v>
      </c>
      <c r="D620" s="52"/>
    </row>
    <row r="621" spans="1:5">
      <c r="A621" s="61"/>
      <c r="B621" s="61"/>
      <c r="C621" s="52" t="s">
        <v>1045</v>
      </c>
      <c r="D621" s="52"/>
      <c r="E621" t="s">
        <v>408</v>
      </c>
    </row>
    <row r="622" spans="1:5">
      <c r="A622" s="65"/>
      <c r="B622" s="65" t="s">
        <v>331</v>
      </c>
      <c r="C622" s="54" t="s">
        <v>1046</v>
      </c>
      <c r="D622" s="54"/>
    </row>
    <row r="623" spans="1:5">
      <c r="A623" s="66"/>
      <c r="B623" s="66"/>
      <c r="C623" s="54" t="s">
        <v>1047</v>
      </c>
      <c r="D623" s="54"/>
    </row>
    <row r="624" spans="1:5">
      <c r="A624" s="66"/>
      <c r="B624" s="66"/>
      <c r="C624" s="54" t="s">
        <v>1048</v>
      </c>
      <c r="D624" s="54"/>
    </row>
    <row r="625" spans="1:5">
      <c r="A625" s="66"/>
      <c r="B625" s="66"/>
      <c r="C625" s="54" t="s">
        <v>1049</v>
      </c>
      <c r="D625" s="54"/>
    </row>
    <row r="626" spans="1:5">
      <c r="A626" s="66"/>
      <c r="B626" s="66"/>
      <c r="C626" s="54" t="s">
        <v>1050</v>
      </c>
      <c r="D626" s="54"/>
      <c r="E626" t="s">
        <v>408</v>
      </c>
    </row>
    <row r="627" spans="1:5">
      <c r="A627" s="66"/>
      <c r="B627" s="66"/>
      <c r="C627" s="54" t="s">
        <v>1051</v>
      </c>
      <c r="D627" s="54"/>
    </row>
    <row r="628" spans="1:5">
      <c r="A628" s="66"/>
      <c r="B628" s="66"/>
      <c r="C628" s="54" t="s">
        <v>1052</v>
      </c>
      <c r="D628" s="54"/>
    </row>
    <row r="629" spans="1:5">
      <c r="A629" s="66"/>
      <c r="B629" s="66"/>
      <c r="C629" s="54" t="s">
        <v>650</v>
      </c>
      <c r="D629" s="54"/>
    </row>
    <row r="630" spans="1:5">
      <c r="A630" s="66"/>
      <c r="B630" s="66"/>
      <c r="C630" s="54" t="s">
        <v>1053</v>
      </c>
      <c r="D630" s="54"/>
    </row>
    <row r="631" spans="1:5">
      <c r="A631" s="66"/>
      <c r="B631" s="66"/>
      <c r="C631" s="54" t="s">
        <v>1054</v>
      </c>
      <c r="D631" s="54"/>
    </row>
    <row r="632" spans="1:5">
      <c r="A632" s="66"/>
      <c r="B632" s="66"/>
      <c r="C632" s="54" t="s">
        <v>1055</v>
      </c>
      <c r="D632" s="54"/>
    </row>
    <row r="633" spans="1:5">
      <c r="A633" s="67"/>
      <c r="B633" s="67"/>
      <c r="C633" s="54" t="s">
        <v>342</v>
      </c>
      <c r="D633" s="54"/>
    </row>
    <row r="634" spans="1:5">
      <c r="A634" s="61"/>
      <c r="B634" s="115" t="s">
        <v>332</v>
      </c>
      <c r="C634" s="52" t="s">
        <v>1056</v>
      </c>
      <c r="D634" s="52" t="s">
        <v>1057</v>
      </c>
    </row>
    <row r="635" spans="1:5">
      <c r="A635" s="61"/>
      <c r="B635" s="115"/>
      <c r="C635" s="52" t="s">
        <v>1058</v>
      </c>
      <c r="D635" s="52" t="s">
        <v>1059</v>
      </c>
    </row>
    <row r="636" spans="1:5">
      <c r="A636" s="61"/>
      <c r="B636" s="115"/>
      <c r="C636" s="52" t="s">
        <v>1060</v>
      </c>
      <c r="D636" s="52" t="s">
        <v>1061</v>
      </c>
    </row>
    <row r="637" spans="1:5">
      <c r="A637" s="61"/>
      <c r="B637" s="115"/>
      <c r="C637" s="52" t="s">
        <v>1062</v>
      </c>
      <c r="D637" s="52" t="s">
        <v>1063</v>
      </c>
    </row>
    <row r="638" spans="1:5">
      <c r="A638" s="61"/>
      <c r="B638" s="115"/>
      <c r="C638" s="52" t="s">
        <v>1064</v>
      </c>
      <c r="D638" s="52" t="s">
        <v>1065</v>
      </c>
    </row>
    <row r="639" spans="1:5">
      <c r="A639" s="61"/>
      <c r="B639" s="115"/>
      <c r="C639" s="52" t="s">
        <v>1066</v>
      </c>
      <c r="D639" s="52" t="s">
        <v>1067</v>
      </c>
    </row>
    <row r="640" spans="1:5">
      <c r="A640" s="61"/>
      <c r="B640" s="115"/>
      <c r="C640" s="52" t="s">
        <v>1068</v>
      </c>
      <c r="D640" s="52" t="s">
        <v>1069</v>
      </c>
    </row>
    <row r="641" spans="1:4">
      <c r="A641" s="61"/>
      <c r="B641" s="115"/>
      <c r="C641" s="52" t="s">
        <v>1070</v>
      </c>
      <c r="D641" s="52" t="s">
        <v>1070</v>
      </c>
    </row>
    <row r="642" spans="1:4">
      <c r="A642" s="61"/>
      <c r="B642" s="115"/>
      <c r="C642" s="52" t="s">
        <v>342</v>
      </c>
      <c r="D642" s="52"/>
    </row>
    <row r="643" spans="1:4">
      <c r="A643" s="68"/>
      <c r="B643" s="68" t="s">
        <v>1071</v>
      </c>
      <c r="C643" s="54" t="s">
        <v>1072</v>
      </c>
      <c r="D643" s="54" t="s">
        <v>1073</v>
      </c>
    </row>
    <row r="644" spans="1:4">
      <c r="A644" s="69"/>
      <c r="B644" s="69"/>
      <c r="C644" s="54" t="s">
        <v>1074</v>
      </c>
      <c r="D644" s="54" t="s">
        <v>1075</v>
      </c>
    </row>
    <row r="645" spans="1:4">
      <c r="A645" s="69"/>
      <c r="B645" s="69"/>
      <c r="C645" s="54" t="s">
        <v>1076</v>
      </c>
      <c r="D645" s="54" t="s">
        <v>1077</v>
      </c>
    </row>
    <row r="646" spans="1:4">
      <c r="A646" s="69"/>
      <c r="B646" s="69"/>
      <c r="C646" s="54" t="s">
        <v>1078</v>
      </c>
      <c r="D646" s="54" t="s">
        <v>1079</v>
      </c>
    </row>
    <row r="647" spans="1:4">
      <c r="A647" s="69"/>
      <c r="B647" s="69"/>
      <c r="C647" s="54" t="s">
        <v>1080</v>
      </c>
      <c r="D647" s="54"/>
    </row>
    <row r="648" spans="1:4">
      <c r="A648" s="70"/>
      <c r="B648" s="70"/>
      <c r="C648" s="54" t="s">
        <v>342</v>
      </c>
      <c r="D648" s="54"/>
    </row>
    <row r="649" spans="1:4">
      <c r="A649" s="61"/>
      <c r="B649" s="115" t="s">
        <v>323</v>
      </c>
      <c r="C649" s="52" t="s">
        <v>1081</v>
      </c>
      <c r="D649" s="52"/>
    </row>
    <row r="650" spans="1:4">
      <c r="A650" s="61"/>
      <c r="B650" s="115"/>
      <c r="C650" s="52" t="s">
        <v>1082</v>
      </c>
      <c r="D650" s="52"/>
    </row>
    <row r="651" spans="1:4">
      <c r="A651" s="61"/>
      <c r="B651" s="115"/>
      <c r="C651" s="52" t="s">
        <v>1083</v>
      </c>
      <c r="D651" s="52"/>
    </row>
    <row r="652" spans="1:4">
      <c r="A652" s="61"/>
      <c r="B652" s="115"/>
      <c r="C652" s="52" t="s">
        <v>1084</v>
      </c>
      <c r="D652" s="52"/>
    </row>
    <row r="653" spans="1:4">
      <c r="A653" s="61"/>
      <c r="B653" s="115"/>
      <c r="C653" s="52" t="s">
        <v>342</v>
      </c>
      <c r="D653" s="52"/>
    </row>
    <row r="654" spans="1:4">
      <c r="A654" s="68"/>
      <c r="B654" s="68" t="s">
        <v>324</v>
      </c>
      <c r="C654" s="54" t="s">
        <v>1085</v>
      </c>
      <c r="D654" s="54"/>
    </row>
    <row r="655" spans="1:4">
      <c r="A655" s="69"/>
      <c r="B655" s="69"/>
      <c r="C655" s="54" t="s">
        <v>1086</v>
      </c>
      <c r="D655" s="54"/>
    </row>
    <row r="656" spans="1:4">
      <c r="A656" s="61"/>
      <c r="B656" s="115" t="s">
        <v>22</v>
      </c>
      <c r="C656" s="52" t="s">
        <v>37</v>
      </c>
      <c r="D656" s="52"/>
    </row>
    <row r="657" spans="1:6">
      <c r="A657" s="61"/>
      <c r="B657" s="115"/>
      <c r="C657" s="52" t="s">
        <v>1087</v>
      </c>
      <c r="D657" s="52"/>
    </row>
    <row r="658" spans="1:6">
      <c r="A658" s="68"/>
      <c r="B658" s="68" t="s">
        <v>1088</v>
      </c>
      <c r="C658" s="54" t="s">
        <v>1089</v>
      </c>
      <c r="D658" s="54"/>
    </row>
    <row r="659" spans="1:6">
      <c r="A659" s="69"/>
      <c r="B659" s="69"/>
      <c r="C659" s="54" t="s">
        <v>1090</v>
      </c>
      <c r="D659" s="54"/>
    </row>
    <row r="660" spans="1:6">
      <c r="A660" s="69"/>
      <c r="B660" s="69"/>
      <c r="C660" s="54" t="s">
        <v>1091</v>
      </c>
      <c r="D660" s="54"/>
    </row>
    <row r="661" spans="1:6">
      <c r="A661" s="69"/>
      <c r="B661" s="69"/>
      <c r="C661" s="54" t="s">
        <v>1092</v>
      </c>
      <c r="D661" s="54"/>
    </row>
    <row r="662" spans="1:6">
      <c r="A662" s="69"/>
      <c r="B662" s="69"/>
      <c r="C662" s="54" t="s">
        <v>1093</v>
      </c>
      <c r="D662" s="54"/>
    </row>
    <row r="663" spans="1:6">
      <c r="A663" s="69"/>
      <c r="B663" s="69"/>
      <c r="C663" s="54" t="s">
        <v>1094</v>
      </c>
      <c r="D663" s="54"/>
    </row>
    <row r="664" spans="1:6">
      <c r="A664" s="69"/>
      <c r="B664" s="69"/>
      <c r="C664" s="54" t="s">
        <v>342</v>
      </c>
      <c r="D664" s="54"/>
    </row>
    <row r="665" spans="1:6">
      <c r="A665" s="70"/>
      <c r="B665" s="70"/>
      <c r="C665" s="54" t="s">
        <v>1095</v>
      </c>
      <c r="D665" s="54"/>
    </row>
    <row r="666" spans="1:6">
      <c r="A666" s="61"/>
      <c r="B666" s="115" t="s">
        <v>1096</v>
      </c>
      <c r="C666" s="52" t="s">
        <v>1097</v>
      </c>
      <c r="D666" s="52"/>
    </row>
    <row r="667" spans="1:6">
      <c r="A667" s="61"/>
      <c r="B667" s="115"/>
      <c r="C667" s="52" t="s">
        <v>1098</v>
      </c>
      <c r="D667" s="52"/>
      <c r="F667" s="8"/>
    </row>
    <row r="668" spans="1:6">
      <c r="A668" s="68"/>
      <c r="B668" s="68" t="s">
        <v>1099</v>
      </c>
      <c r="C668" s="54" t="s">
        <v>1100</v>
      </c>
      <c r="D668" s="54"/>
    </row>
    <row r="669" spans="1:6">
      <c r="A669" s="69"/>
      <c r="B669" s="69"/>
      <c r="C669" s="54" t="s">
        <v>1101</v>
      </c>
      <c r="D669" s="54"/>
    </row>
    <row r="670" spans="1:6">
      <c r="A670" s="69"/>
      <c r="B670" s="69"/>
      <c r="C670" s="54" t="s">
        <v>1102</v>
      </c>
      <c r="D670" s="54"/>
    </row>
    <row r="671" spans="1:6">
      <c r="A671" s="69"/>
      <c r="B671" s="69"/>
      <c r="C671" s="54" t="s">
        <v>1103</v>
      </c>
      <c r="D671" s="54"/>
    </row>
    <row r="672" spans="1:6">
      <c r="A672" s="69"/>
      <c r="B672" s="69"/>
      <c r="C672" s="54" t="s">
        <v>1104</v>
      </c>
      <c r="D672" s="54"/>
    </row>
    <row r="673" spans="1:4">
      <c r="A673" s="69"/>
      <c r="B673" s="69"/>
      <c r="C673" s="54" t="s">
        <v>1105</v>
      </c>
      <c r="D673" s="54"/>
    </row>
    <row r="674" spans="1:4">
      <c r="A674" s="69"/>
      <c r="B674" s="69"/>
      <c r="C674" s="54" t="s">
        <v>1106</v>
      </c>
      <c r="D674" s="54"/>
    </row>
    <row r="675" spans="1:4">
      <c r="A675" s="69"/>
      <c r="B675" s="69"/>
      <c r="C675" s="54" t="s">
        <v>1107</v>
      </c>
      <c r="D675" s="54"/>
    </row>
    <row r="676" spans="1:4">
      <c r="A676" s="69"/>
      <c r="B676" s="69"/>
      <c r="C676" s="54" t="s">
        <v>1108</v>
      </c>
      <c r="D676" s="54"/>
    </row>
    <row r="677" spans="1:4">
      <c r="A677" s="69"/>
      <c r="B677" s="69"/>
      <c r="C677" s="54" t="s">
        <v>1109</v>
      </c>
      <c r="D677" s="54"/>
    </row>
    <row r="678" spans="1:4">
      <c r="A678" s="69"/>
      <c r="B678" s="69"/>
      <c r="C678" s="54" t="s">
        <v>758</v>
      </c>
      <c r="D678" s="54"/>
    </row>
    <row r="679" spans="1:4">
      <c r="A679" s="70"/>
      <c r="B679" s="70"/>
      <c r="C679" s="54" t="s">
        <v>1095</v>
      </c>
      <c r="D679" s="54"/>
    </row>
    <row r="680" spans="1:4">
      <c r="A680" s="90"/>
      <c r="B680" s="90" t="s">
        <v>1110</v>
      </c>
      <c r="C680" s="52" t="s">
        <v>1089</v>
      </c>
      <c r="D680" s="52"/>
    </row>
    <row r="681" spans="1:4">
      <c r="A681" s="92"/>
      <c r="B681" s="92"/>
      <c r="C681" s="52" t="s">
        <v>1090</v>
      </c>
      <c r="D681" s="52"/>
    </row>
    <row r="682" spans="1:4">
      <c r="A682" s="92"/>
      <c r="B682" s="92"/>
      <c r="C682" s="52" t="s">
        <v>1091</v>
      </c>
      <c r="D682" s="52"/>
    </row>
    <row r="683" spans="1:4">
      <c r="A683" s="92"/>
      <c r="B683" s="92"/>
      <c r="C683" s="52" t="s">
        <v>1092</v>
      </c>
      <c r="D683" s="52"/>
    </row>
    <row r="684" spans="1:4">
      <c r="A684" s="92"/>
      <c r="B684" s="92"/>
      <c r="C684" s="52" t="s">
        <v>1093</v>
      </c>
      <c r="D684" s="52"/>
    </row>
    <row r="685" spans="1:4">
      <c r="A685" s="92"/>
      <c r="B685" s="92"/>
      <c r="C685" s="52" t="s">
        <v>1094</v>
      </c>
      <c r="D685" s="52"/>
    </row>
    <row r="686" spans="1:4">
      <c r="A686" s="92"/>
      <c r="B686" s="92"/>
      <c r="C686" s="52" t="s">
        <v>342</v>
      </c>
      <c r="D686" s="52"/>
    </row>
    <row r="687" spans="1:4">
      <c r="A687" s="92"/>
      <c r="B687" s="92"/>
      <c r="C687" s="52" t="s">
        <v>1095</v>
      </c>
      <c r="D687" s="52"/>
    </row>
    <row r="688" spans="1:4">
      <c r="A688" s="68"/>
      <c r="B688" s="65" t="s">
        <v>1111</v>
      </c>
      <c r="C688" s="54" t="s">
        <v>1112</v>
      </c>
      <c r="D688" s="54"/>
    </row>
    <row r="689" spans="1:4">
      <c r="A689" s="69"/>
      <c r="B689" s="67"/>
      <c r="C689" s="54" t="s">
        <v>1113</v>
      </c>
      <c r="D689" s="54"/>
    </row>
    <row r="690" spans="1:4">
      <c r="A690" s="90"/>
      <c r="B690" s="90" t="s">
        <v>1114</v>
      </c>
      <c r="C690" s="52" t="s">
        <v>1115</v>
      </c>
      <c r="D690" s="52"/>
    </row>
    <row r="691" spans="1:4">
      <c r="A691" s="92"/>
      <c r="B691" s="92"/>
      <c r="C691" s="52" t="s">
        <v>1116</v>
      </c>
      <c r="D691" s="52"/>
    </row>
    <row r="692" spans="1:4">
      <c r="A692" s="68"/>
      <c r="B692" s="68" t="s">
        <v>1117</v>
      </c>
      <c r="C692" s="54" t="s">
        <v>1118</v>
      </c>
      <c r="D692" s="54"/>
    </row>
    <row r="693" spans="1:4">
      <c r="A693" s="69"/>
      <c r="B693" s="69"/>
      <c r="C693" s="54" t="s">
        <v>935</v>
      </c>
      <c r="D693" s="54"/>
    </row>
    <row r="694" spans="1:4">
      <c r="A694" s="69"/>
      <c r="B694" s="69"/>
      <c r="C694" s="54" t="s">
        <v>1119</v>
      </c>
      <c r="D694" s="54"/>
    </row>
    <row r="695" spans="1:4">
      <c r="A695" s="69"/>
      <c r="B695" s="69"/>
      <c r="C695" s="54" t="s">
        <v>1120</v>
      </c>
      <c r="D695" s="54"/>
    </row>
    <row r="696" spans="1:4">
      <c r="A696" s="69"/>
      <c r="B696" s="69"/>
      <c r="C696" s="54" t="s">
        <v>1121</v>
      </c>
      <c r="D696" s="54"/>
    </row>
    <row r="697" spans="1:4">
      <c r="A697" s="69"/>
      <c r="B697" s="69"/>
      <c r="C697" s="54" t="s">
        <v>322</v>
      </c>
      <c r="D697" s="54"/>
    </row>
    <row r="698" spans="1:4">
      <c r="A698" s="69"/>
      <c r="B698" s="69"/>
      <c r="C698" s="54" t="s">
        <v>1122</v>
      </c>
      <c r="D698" s="54"/>
    </row>
    <row r="699" spans="1:4">
      <c r="A699" s="69"/>
      <c r="B699" s="69"/>
      <c r="C699" s="54" t="s">
        <v>1123</v>
      </c>
      <c r="D699" s="54"/>
    </row>
    <row r="700" spans="1:4">
      <c r="A700" s="69"/>
      <c r="B700" s="69"/>
      <c r="C700" s="54" t="s">
        <v>342</v>
      </c>
      <c r="D700" s="54"/>
    </row>
    <row r="701" spans="1:4">
      <c r="A701" s="90"/>
      <c r="B701" s="90" t="s">
        <v>1124</v>
      </c>
      <c r="C701" s="52" t="s">
        <v>624</v>
      </c>
      <c r="D701" s="52"/>
    </row>
    <row r="702" spans="1:4">
      <c r="A702" s="92"/>
      <c r="B702" s="92"/>
      <c r="C702" s="52" t="s">
        <v>625</v>
      </c>
      <c r="D702" s="52"/>
    </row>
    <row r="703" spans="1:4">
      <c r="A703" s="92"/>
      <c r="B703" s="92"/>
      <c r="C703" s="52" t="s">
        <v>626</v>
      </c>
      <c r="D703" s="52"/>
    </row>
    <row r="704" spans="1:4">
      <c r="A704" s="92"/>
      <c r="B704" s="92"/>
      <c r="C704" s="52" t="s">
        <v>627</v>
      </c>
      <c r="D704" s="52"/>
    </row>
    <row r="705" spans="1:5">
      <c r="A705" s="92"/>
      <c r="B705" s="92"/>
      <c r="C705" s="52" t="s">
        <v>628</v>
      </c>
      <c r="D705" s="52"/>
    </row>
    <row r="706" spans="1:5">
      <c r="A706" s="92"/>
      <c r="B706" s="92"/>
      <c r="C706" s="52" t="s">
        <v>629</v>
      </c>
      <c r="D706" s="52"/>
    </row>
    <row r="707" spans="1:5">
      <c r="A707" s="92"/>
      <c r="B707" s="92"/>
      <c r="C707" s="52" t="s">
        <v>631</v>
      </c>
      <c r="D707" s="52"/>
    </row>
    <row r="708" spans="1:5">
      <c r="A708" s="92"/>
      <c r="B708" s="92"/>
      <c r="C708" s="52" t="s">
        <v>632</v>
      </c>
      <c r="D708" s="52"/>
    </row>
    <row r="709" spans="1:5">
      <c r="A709" s="92"/>
      <c r="B709" s="92"/>
      <c r="C709" s="52" t="s">
        <v>633</v>
      </c>
      <c r="D709" s="52"/>
    </row>
    <row r="710" spans="1:5">
      <c r="A710" s="92"/>
      <c r="B710" s="92"/>
      <c r="C710" s="52" t="s">
        <v>634</v>
      </c>
      <c r="D710" s="52"/>
    </row>
    <row r="711" spans="1:5">
      <c r="A711" s="92"/>
      <c r="B711" s="92"/>
      <c r="C711" s="52" t="s">
        <v>635</v>
      </c>
      <c r="D711" s="52"/>
    </row>
    <row r="712" spans="1:5">
      <c r="A712" s="92"/>
      <c r="B712" s="92"/>
      <c r="C712" s="52" t="s">
        <v>636</v>
      </c>
      <c r="D712" s="52"/>
    </row>
    <row r="713" spans="1:5">
      <c r="A713" s="92"/>
      <c r="B713" s="92"/>
      <c r="C713" s="52" t="s">
        <v>637</v>
      </c>
      <c r="D713" s="52"/>
    </row>
    <row r="714" spans="1:5">
      <c r="A714" s="92"/>
      <c r="B714" s="92"/>
      <c r="C714" s="52" t="s">
        <v>638</v>
      </c>
      <c r="D714" s="52"/>
    </row>
    <row r="715" spans="1:5">
      <c r="A715" s="92"/>
      <c r="B715" s="92"/>
      <c r="C715" s="52" t="s">
        <v>639</v>
      </c>
      <c r="D715" s="52"/>
    </row>
    <row r="716" spans="1:5">
      <c r="A716" s="92"/>
      <c r="B716" s="92"/>
      <c r="C716" s="52" t="s">
        <v>640</v>
      </c>
      <c r="D716" s="52" t="s">
        <v>641</v>
      </c>
      <c r="E716" t="s">
        <v>408</v>
      </c>
    </row>
    <row r="717" spans="1:5">
      <c r="A717" s="92"/>
      <c r="B717" s="92"/>
      <c r="C717" s="52" t="s">
        <v>642</v>
      </c>
      <c r="D717" s="52"/>
    </row>
    <row r="718" spans="1:5">
      <c r="A718" s="92"/>
      <c r="B718" s="92"/>
      <c r="C718" s="52" t="s">
        <v>643</v>
      </c>
      <c r="D718" s="52"/>
    </row>
    <row r="719" spans="1:5">
      <c r="A719" s="92"/>
      <c r="B719" s="92"/>
      <c r="C719" s="52" t="s">
        <v>644</v>
      </c>
      <c r="D719" s="52"/>
    </row>
    <row r="720" spans="1:5">
      <c r="A720" s="92"/>
      <c r="B720" s="92"/>
      <c r="C720" s="52" t="s">
        <v>645</v>
      </c>
      <c r="D720" s="52"/>
    </row>
    <row r="721" spans="1:4">
      <c r="A721" s="92"/>
      <c r="B721" s="92"/>
      <c r="C721" s="52" t="s">
        <v>646</v>
      </c>
      <c r="D721" s="52"/>
    </row>
    <row r="722" spans="1:4">
      <c r="A722" s="92"/>
      <c r="B722" s="92"/>
      <c r="C722" s="52" t="s">
        <v>647</v>
      </c>
      <c r="D722" s="52"/>
    </row>
    <row r="723" spans="1:4">
      <c r="A723" s="92"/>
      <c r="B723" s="92"/>
      <c r="C723" s="52" t="s">
        <v>648</v>
      </c>
      <c r="D723" s="52"/>
    </row>
    <row r="724" spans="1:4">
      <c r="A724" s="92"/>
      <c r="B724" s="92"/>
      <c r="C724" s="52" t="s">
        <v>649</v>
      </c>
      <c r="D724" s="52"/>
    </row>
    <row r="725" spans="1:4">
      <c r="A725" s="92"/>
      <c r="B725" s="92"/>
      <c r="C725" s="52" t="s">
        <v>650</v>
      </c>
      <c r="D725" s="52"/>
    </row>
    <row r="726" spans="1:4">
      <c r="A726" s="92"/>
      <c r="B726" s="92"/>
      <c r="C726" s="52" t="s">
        <v>651</v>
      </c>
      <c r="D726" s="52"/>
    </row>
    <row r="727" spans="1:4">
      <c r="A727" s="92"/>
      <c r="B727" s="92"/>
      <c r="C727" s="52" t="s">
        <v>652</v>
      </c>
      <c r="D727" s="52"/>
    </row>
    <row r="728" spans="1:4">
      <c r="A728" s="92"/>
      <c r="B728" s="92"/>
      <c r="C728" s="52" t="s">
        <v>653</v>
      </c>
      <c r="D728" s="52"/>
    </row>
    <row r="729" spans="1:4">
      <c r="A729" s="92"/>
      <c r="B729" s="92"/>
      <c r="C729" s="52" t="s">
        <v>654</v>
      </c>
      <c r="D729" s="52"/>
    </row>
    <row r="730" spans="1:4">
      <c r="A730" s="92"/>
      <c r="B730" s="92"/>
      <c r="C730" s="52" t="s">
        <v>655</v>
      </c>
      <c r="D730" s="52"/>
    </row>
    <row r="731" spans="1:4">
      <c r="A731" s="92"/>
      <c r="B731" s="92"/>
      <c r="C731" s="52" t="s">
        <v>656</v>
      </c>
      <c r="D731" s="52"/>
    </row>
    <row r="732" spans="1:4">
      <c r="A732" s="92"/>
      <c r="B732" s="92"/>
      <c r="C732" s="52" t="s">
        <v>657</v>
      </c>
      <c r="D732" s="52"/>
    </row>
    <row r="733" spans="1:4">
      <c r="A733" s="92"/>
      <c r="B733" s="92"/>
      <c r="C733" s="52" t="s">
        <v>658</v>
      </c>
      <c r="D733" s="52"/>
    </row>
    <row r="734" spans="1:4">
      <c r="A734" s="92"/>
      <c r="B734" s="92"/>
      <c r="C734" s="52" t="s">
        <v>659</v>
      </c>
      <c r="D734" s="52"/>
    </row>
    <row r="735" spans="1:4">
      <c r="A735" s="92"/>
      <c r="B735" s="92"/>
      <c r="C735" s="52" t="s">
        <v>660</v>
      </c>
      <c r="D735" s="52"/>
    </row>
    <row r="736" spans="1:4">
      <c r="A736" s="92"/>
      <c r="B736" s="92"/>
      <c r="C736" s="52" t="s">
        <v>661</v>
      </c>
      <c r="D736" s="52"/>
    </row>
    <row r="737" spans="1:4">
      <c r="A737" s="92"/>
      <c r="B737" s="92"/>
      <c r="C737" s="52" t="s">
        <v>662</v>
      </c>
      <c r="D737" s="52"/>
    </row>
    <row r="738" spans="1:4">
      <c r="A738" s="92"/>
      <c r="B738" s="92"/>
      <c r="C738" s="52" t="s">
        <v>663</v>
      </c>
      <c r="D738" s="52"/>
    </row>
    <row r="739" spans="1:4">
      <c r="A739" s="92"/>
      <c r="B739" s="92"/>
      <c r="C739" s="52" t="s">
        <v>664</v>
      </c>
      <c r="D739" s="52"/>
    </row>
    <row r="740" spans="1:4">
      <c r="A740" s="92"/>
      <c r="B740" s="92"/>
      <c r="C740" s="52" t="s">
        <v>665</v>
      </c>
      <c r="D740" s="52"/>
    </row>
    <row r="741" spans="1:4">
      <c r="A741" s="92"/>
      <c r="B741" s="92"/>
      <c r="C741" s="52" t="s">
        <v>666</v>
      </c>
      <c r="D741" s="52"/>
    </row>
    <row r="742" spans="1:4">
      <c r="A742" s="92"/>
      <c r="B742" s="92"/>
      <c r="C742" s="52" t="s">
        <v>667</v>
      </c>
      <c r="D742" s="52"/>
    </row>
    <row r="743" spans="1:4">
      <c r="A743" s="92"/>
      <c r="B743" s="92"/>
      <c r="C743" s="52" t="s">
        <v>668</v>
      </c>
      <c r="D743" s="52"/>
    </row>
    <row r="744" spans="1:4">
      <c r="A744" s="92"/>
      <c r="B744" s="92"/>
      <c r="C744" s="52" t="s">
        <v>669</v>
      </c>
      <c r="D744" s="52"/>
    </row>
    <row r="745" spans="1:4">
      <c r="A745" s="92"/>
      <c r="B745" s="92"/>
      <c r="C745" s="52" t="s">
        <v>670</v>
      </c>
      <c r="D745" s="52"/>
    </row>
    <row r="746" spans="1:4">
      <c r="A746" s="92"/>
      <c r="B746" s="92"/>
      <c r="C746" s="52" t="s">
        <v>671</v>
      </c>
      <c r="D746" s="52"/>
    </row>
    <row r="747" spans="1:4">
      <c r="A747" s="92"/>
      <c r="B747" s="92"/>
      <c r="C747" s="52" t="s">
        <v>672</v>
      </c>
      <c r="D747" s="52"/>
    </row>
    <row r="748" spans="1:4">
      <c r="A748" s="92"/>
      <c r="B748" s="92"/>
      <c r="C748" s="52" t="s">
        <v>673</v>
      </c>
      <c r="D748" s="52"/>
    </row>
    <row r="749" spans="1:4">
      <c r="A749" s="92"/>
      <c r="B749" s="92"/>
      <c r="C749" s="52" t="s">
        <v>674</v>
      </c>
      <c r="D749" s="52"/>
    </row>
    <row r="750" spans="1:4">
      <c r="A750" s="92"/>
      <c r="B750" s="92"/>
      <c r="C750" s="52" t="s">
        <v>31</v>
      </c>
      <c r="D750" s="52"/>
    </row>
    <row r="751" spans="1:4">
      <c r="A751" s="92"/>
      <c r="B751" s="92"/>
      <c r="C751" s="52" t="s">
        <v>401</v>
      </c>
      <c r="D751" s="52"/>
    </row>
    <row r="752" spans="1:4">
      <c r="A752" s="92"/>
      <c r="B752" s="92"/>
      <c r="C752" s="52" t="s">
        <v>402</v>
      </c>
      <c r="D752" s="52"/>
    </row>
    <row r="753" spans="1:4">
      <c r="A753" s="92"/>
      <c r="B753" s="92"/>
      <c r="C753" s="52" t="s">
        <v>403</v>
      </c>
      <c r="D753" s="52"/>
    </row>
    <row r="754" spans="1:4">
      <c r="A754" s="92"/>
      <c r="B754" s="92"/>
      <c r="C754" s="52" t="s">
        <v>404</v>
      </c>
      <c r="D754" s="52"/>
    </row>
    <row r="755" spans="1:4">
      <c r="A755" s="92"/>
      <c r="B755" s="92"/>
      <c r="C755" s="52" t="s">
        <v>405</v>
      </c>
      <c r="D755" s="52"/>
    </row>
    <row r="756" spans="1:4">
      <c r="A756" s="92"/>
      <c r="B756" s="92"/>
      <c r="C756" s="52" t="s">
        <v>406</v>
      </c>
      <c r="D756" s="52"/>
    </row>
    <row r="757" spans="1:4">
      <c r="A757" s="92"/>
      <c r="B757" s="92"/>
      <c r="C757" s="52" t="s">
        <v>407</v>
      </c>
      <c r="D757" s="52"/>
    </row>
    <row r="758" spans="1:4">
      <c r="A758" s="92"/>
      <c r="B758" s="92"/>
      <c r="C758" s="52" t="s">
        <v>409</v>
      </c>
      <c r="D758" s="52"/>
    </row>
    <row r="759" spans="1:4">
      <c r="A759" s="92"/>
      <c r="B759" s="92"/>
      <c r="C759" s="52" t="s">
        <v>410</v>
      </c>
      <c r="D759" s="52"/>
    </row>
    <row r="760" spans="1:4">
      <c r="A760" s="92"/>
      <c r="B760" s="92"/>
      <c r="C760" s="52" t="s">
        <v>411</v>
      </c>
      <c r="D760" s="52"/>
    </row>
    <row r="761" spans="1:4">
      <c r="A761" s="92"/>
      <c r="B761" s="92"/>
      <c r="C761" s="52" t="s">
        <v>412</v>
      </c>
      <c r="D761" s="52"/>
    </row>
    <row r="762" spans="1:4">
      <c r="A762" s="92"/>
      <c r="B762" s="92"/>
      <c r="C762" s="52" t="s">
        <v>413</v>
      </c>
      <c r="D762" s="52"/>
    </row>
    <row r="763" spans="1:4">
      <c r="A763" s="92"/>
      <c r="B763" s="92"/>
      <c r="C763" s="52" t="s">
        <v>414</v>
      </c>
      <c r="D763" s="52"/>
    </row>
    <row r="764" spans="1:4">
      <c r="A764" s="92"/>
      <c r="B764" s="92"/>
      <c r="C764" s="52" t="s">
        <v>415</v>
      </c>
      <c r="D764" s="52"/>
    </row>
    <row r="765" spans="1:4">
      <c r="A765" s="92"/>
      <c r="B765" s="92"/>
      <c r="C765" s="52" t="s">
        <v>416</v>
      </c>
      <c r="D765" s="52"/>
    </row>
    <row r="766" spans="1:4">
      <c r="A766" s="92"/>
      <c r="B766" s="92"/>
      <c r="C766" s="52" t="s">
        <v>417</v>
      </c>
      <c r="D766" s="52"/>
    </row>
    <row r="767" spans="1:4">
      <c r="A767" s="92"/>
      <c r="B767" s="92"/>
      <c r="C767" s="52" t="s">
        <v>155</v>
      </c>
      <c r="D767" s="52"/>
    </row>
    <row r="768" spans="1:4">
      <c r="A768" s="92"/>
      <c r="B768" s="92"/>
      <c r="C768" s="52" t="s">
        <v>418</v>
      </c>
      <c r="D768" s="52"/>
    </row>
    <row r="769" spans="1:5">
      <c r="A769" s="92"/>
      <c r="B769" s="92"/>
      <c r="C769" s="52" t="s">
        <v>419</v>
      </c>
      <c r="D769" s="52"/>
    </row>
    <row r="770" spans="1:5">
      <c r="A770" s="92"/>
      <c r="B770" s="92"/>
      <c r="C770" s="52" t="s">
        <v>420</v>
      </c>
      <c r="D770" s="52"/>
    </row>
    <row r="771" spans="1:5">
      <c r="A771" s="92"/>
      <c r="B771" s="92"/>
      <c r="C771" s="52" t="s">
        <v>421</v>
      </c>
      <c r="D771" s="52"/>
    </row>
    <row r="772" spans="1:5">
      <c r="A772" s="92"/>
      <c r="B772" s="92"/>
      <c r="C772" s="52" t="s">
        <v>422</v>
      </c>
      <c r="D772" s="52"/>
    </row>
    <row r="773" spans="1:5">
      <c r="A773" s="92"/>
      <c r="B773" s="92"/>
      <c r="C773" s="52" t="s">
        <v>423</v>
      </c>
      <c r="D773" s="52"/>
    </row>
    <row r="774" spans="1:5">
      <c r="A774" s="92"/>
      <c r="B774" s="92"/>
      <c r="C774" s="52" t="s">
        <v>424</v>
      </c>
      <c r="D774" s="52"/>
    </row>
    <row r="775" spans="1:5">
      <c r="A775" s="92"/>
      <c r="B775" s="92"/>
      <c r="C775" s="52" t="s">
        <v>425</v>
      </c>
      <c r="D775" s="52"/>
    </row>
    <row r="776" spans="1:5">
      <c r="A776" s="92"/>
      <c r="B776" s="92"/>
      <c r="C776" s="52" t="s">
        <v>426</v>
      </c>
      <c r="D776" s="52"/>
    </row>
    <row r="777" spans="1:5">
      <c r="A777" s="92"/>
      <c r="B777" s="92"/>
      <c r="C777" s="52" t="s">
        <v>427</v>
      </c>
      <c r="D777" s="52"/>
    </row>
    <row r="778" spans="1:5">
      <c r="A778" s="92"/>
      <c r="B778" s="92"/>
      <c r="C778" s="52" t="s">
        <v>428</v>
      </c>
      <c r="D778" s="52"/>
    </row>
    <row r="779" spans="1:5">
      <c r="A779" s="92"/>
      <c r="B779" s="92"/>
      <c r="C779" s="52" t="s">
        <v>429</v>
      </c>
      <c r="D779" s="52"/>
    </row>
    <row r="780" spans="1:5">
      <c r="A780" s="92"/>
      <c r="B780" s="92"/>
      <c r="C780" s="52" t="s">
        <v>430</v>
      </c>
      <c r="D780" s="52"/>
    </row>
    <row r="781" spans="1:5">
      <c r="A781" s="92"/>
      <c r="B781" s="92"/>
      <c r="C781" s="52" t="s">
        <v>431</v>
      </c>
      <c r="D781" s="52"/>
    </row>
    <row r="782" spans="1:5">
      <c r="A782" s="92"/>
      <c r="B782" s="92"/>
      <c r="C782" s="52" t="s">
        <v>432</v>
      </c>
      <c r="D782" s="52"/>
      <c r="E782" t="s">
        <v>408</v>
      </c>
    </row>
    <row r="783" spans="1:5">
      <c r="A783" s="92"/>
      <c r="B783" s="92"/>
      <c r="C783" s="52" t="s">
        <v>433</v>
      </c>
      <c r="D783" s="52"/>
      <c r="E783" t="s">
        <v>408</v>
      </c>
    </row>
    <row r="784" spans="1:5">
      <c r="A784" s="92"/>
      <c r="B784" s="92"/>
      <c r="C784" s="52" t="s">
        <v>436</v>
      </c>
      <c r="D784" s="52"/>
      <c r="E784" t="s">
        <v>408</v>
      </c>
    </row>
    <row r="785" spans="1:5">
      <c r="A785" s="92"/>
      <c r="B785" s="92"/>
      <c r="C785" s="52" t="s">
        <v>437</v>
      </c>
      <c r="D785" s="52"/>
    </row>
    <row r="786" spans="1:5">
      <c r="A786" s="92"/>
      <c r="B786" s="92"/>
      <c r="C786" s="52" t="s">
        <v>438</v>
      </c>
      <c r="D786" s="52"/>
    </row>
    <row r="787" spans="1:5">
      <c r="A787" s="92"/>
      <c r="B787" s="92"/>
      <c r="C787" s="52" t="s">
        <v>439</v>
      </c>
      <c r="D787" s="52"/>
    </row>
    <row r="788" spans="1:5">
      <c r="A788" s="92"/>
      <c r="B788" s="92"/>
      <c r="C788" s="52" t="s">
        <v>440</v>
      </c>
      <c r="D788" s="52"/>
    </row>
    <row r="789" spans="1:5">
      <c r="A789" s="92"/>
      <c r="B789" s="92"/>
      <c r="C789" s="52" t="s">
        <v>441</v>
      </c>
      <c r="D789" s="52"/>
    </row>
    <row r="790" spans="1:5">
      <c r="A790" s="92"/>
      <c r="B790" s="92"/>
      <c r="C790" s="52" t="s">
        <v>442</v>
      </c>
      <c r="D790" s="52"/>
      <c r="E790" t="s">
        <v>408</v>
      </c>
    </row>
    <row r="791" spans="1:5">
      <c r="A791" s="92"/>
      <c r="B791" s="92"/>
      <c r="C791" s="52" t="s">
        <v>443</v>
      </c>
      <c r="D791" s="52"/>
    </row>
    <row r="792" spans="1:5">
      <c r="A792" s="92"/>
      <c r="B792" s="92"/>
      <c r="C792" s="52" t="s">
        <v>444</v>
      </c>
      <c r="D792" s="52"/>
    </row>
    <row r="793" spans="1:5">
      <c r="A793" s="92"/>
      <c r="B793" s="92"/>
      <c r="C793" s="52" t="s">
        <v>445</v>
      </c>
      <c r="D793" s="52"/>
    </row>
    <row r="794" spans="1:5">
      <c r="A794" s="92"/>
      <c r="B794" s="92"/>
      <c r="C794" s="52" t="s">
        <v>1125</v>
      </c>
      <c r="D794" s="52"/>
    </row>
    <row r="795" spans="1:5">
      <c r="A795" s="92"/>
      <c r="B795" s="92"/>
      <c r="C795" s="52" t="s">
        <v>446</v>
      </c>
      <c r="D795" s="52"/>
    </row>
    <row r="796" spans="1:5">
      <c r="A796" s="92"/>
      <c r="B796" s="92"/>
      <c r="C796" s="52" t="s">
        <v>447</v>
      </c>
      <c r="D796" s="52"/>
    </row>
    <row r="797" spans="1:5">
      <c r="A797" s="92"/>
      <c r="B797" s="92"/>
      <c r="C797" s="52" t="s">
        <v>448</v>
      </c>
      <c r="D797" s="52"/>
    </row>
    <row r="798" spans="1:5">
      <c r="A798" s="92"/>
      <c r="B798" s="92"/>
      <c r="C798" s="52" t="s">
        <v>449</v>
      </c>
      <c r="D798" s="52"/>
    </row>
    <row r="799" spans="1:5">
      <c r="A799" s="92"/>
      <c r="B799" s="92"/>
      <c r="C799" s="52" t="s">
        <v>450</v>
      </c>
      <c r="D799" s="52"/>
    </row>
    <row r="800" spans="1:5">
      <c r="A800" s="92"/>
      <c r="B800" s="92"/>
      <c r="C800" s="52" t="s">
        <v>451</v>
      </c>
      <c r="D800" s="52"/>
    </row>
    <row r="801" spans="1:5">
      <c r="A801" s="92"/>
      <c r="B801" s="92"/>
      <c r="C801" s="52" t="s">
        <v>452</v>
      </c>
      <c r="D801" s="52"/>
    </row>
    <row r="802" spans="1:5">
      <c r="A802" s="92"/>
      <c r="B802" s="92"/>
      <c r="C802" s="52" t="s">
        <v>453</v>
      </c>
      <c r="D802" s="52"/>
    </row>
    <row r="803" spans="1:5">
      <c r="A803" s="92"/>
      <c r="B803" s="92"/>
      <c r="C803" s="52" t="s">
        <v>454</v>
      </c>
      <c r="D803" s="52"/>
    </row>
    <row r="804" spans="1:5">
      <c r="A804" s="92"/>
      <c r="B804" s="92"/>
      <c r="C804" s="52" t="s">
        <v>455</v>
      </c>
      <c r="D804" s="52"/>
    </row>
    <row r="805" spans="1:5">
      <c r="A805" s="92"/>
      <c r="B805" s="92"/>
      <c r="C805" s="52" t="s">
        <v>456</v>
      </c>
      <c r="D805" s="52"/>
    </row>
    <row r="806" spans="1:5">
      <c r="A806" s="92"/>
      <c r="B806" s="92"/>
      <c r="C806" s="52" t="s">
        <v>457</v>
      </c>
      <c r="D806" s="52"/>
    </row>
    <row r="807" spans="1:5">
      <c r="A807" s="92"/>
      <c r="B807" s="92"/>
      <c r="C807" s="52" t="s">
        <v>458</v>
      </c>
      <c r="D807" s="52"/>
    </row>
    <row r="808" spans="1:5">
      <c r="A808" s="92"/>
      <c r="B808" s="92"/>
      <c r="C808" s="52" t="s">
        <v>460</v>
      </c>
      <c r="D808" s="52"/>
    </row>
    <row r="809" spans="1:5">
      <c r="A809" s="92"/>
      <c r="B809" s="92"/>
      <c r="C809" s="52" t="s">
        <v>459</v>
      </c>
      <c r="D809" s="52"/>
      <c r="E809" t="s">
        <v>408</v>
      </c>
    </row>
    <row r="810" spans="1:5">
      <c r="A810" s="92"/>
      <c r="B810" s="92"/>
      <c r="C810" s="52" t="s">
        <v>461</v>
      </c>
      <c r="D810" s="52"/>
    </row>
    <row r="811" spans="1:5">
      <c r="A811" s="92"/>
      <c r="B811" s="92"/>
      <c r="C811" s="52" t="s">
        <v>462</v>
      </c>
      <c r="D811" s="52"/>
    </row>
    <row r="812" spans="1:5">
      <c r="A812" s="92"/>
      <c r="B812" s="92"/>
      <c r="C812" s="52" t="s">
        <v>463</v>
      </c>
      <c r="D812" s="52"/>
    </row>
    <row r="813" spans="1:5">
      <c r="A813" s="92"/>
      <c r="B813" s="92"/>
      <c r="C813" s="52" t="s">
        <v>464</v>
      </c>
      <c r="D813" s="52"/>
    </row>
    <row r="814" spans="1:5">
      <c r="A814" s="92"/>
      <c r="B814" s="92"/>
      <c r="C814" s="52" t="s">
        <v>465</v>
      </c>
      <c r="D814" s="52"/>
    </row>
    <row r="815" spans="1:5">
      <c r="A815" s="92"/>
      <c r="B815" s="92"/>
      <c r="C815" s="52" t="s">
        <v>466</v>
      </c>
      <c r="D815" s="52"/>
    </row>
    <row r="816" spans="1:5">
      <c r="A816" s="92"/>
      <c r="B816" s="92"/>
      <c r="C816" s="52" t="s">
        <v>467</v>
      </c>
      <c r="D816" s="52"/>
    </row>
    <row r="817" spans="1:4">
      <c r="A817" s="92"/>
      <c r="B817" s="92"/>
      <c r="C817" s="52" t="s">
        <v>468</v>
      </c>
      <c r="D817" s="52"/>
    </row>
    <row r="818" spans="1:4">
      <c r="A818" s="92"/>
      <c r="B818" s="92"/>
      <c r="C818" s="52" t="s">
        <v>469</v>
      </c>
      <c r="D818" s="52"/>
    </row>
    <row r="819" spans="1:4">
      <c r="A819" s="92"/>
      <c r="B819" s="92"/>
      <c r="C819" s="52" t="s">
        <v>470</v>
      </c>
      <c r="D819" s="52"/>
    </row>
    <row r="820" spans="1:4">
      <c r="A820" s="92"/>
      <c r="B820" s="92"/>
      <c r="C820" s="52" t="s">
        <v>471</v>
      </c>
      <c r="D820" s="52"/>
    </row>
    <row r="821" spans="1:4">
      <c r="A821" s="92"/>
      <c r="B821" s="92"/>
      <c r="C821" s="52" t="s">
        <v>472</v>
      </c>
      <c r="D821" s="52"/>
    </row>
    <row r="822" spans="1:4">
      <c r="A822" s="92"/>
      <c r="B822" s="92"/>
      <c r="C822" s="52" t="s">
        <v>473</v>
      </c>
      <c r="D822" s="52"/>
    </row>
    <row r="823" spans="1:4">
      <c r="A823" s="92"/>
      <c r="B823" s="92"/>
      <c r="C823" s="52" t="s">
        <v>474</v>
      </c>
      <c r="D823" s="52"/>
    </row>
    <row r="824" spans="1:4">
      <c r="A824" s="92"/>
      <c r="B824" s="92"/>
      <c r="C824" s="52" t="s">
        <v>475</v>
      </c>
      <c r="D824" s="52"/>
    </row>
    <row r="825" spans="1:4">
      <c r="A825" s="92"/>
      <c r="B825" s="92"/>
      <c r="C825" s="52" t="s">
        <v>476</v>
      </c>
      <c r="D825" s="52"/>
    </row>
    <row r="826" spans="1:4">
      <c r="A826" s="92"/>
      <c r="B826" s="92"/>
      <c r="C826" s="52" t="s">
        <v>477</v>
      </c>
      <c r="D826" s="52"/>
    </row>
    <row r="827" spans="1:4">
      <c r="A827" s="92"/>
      <c r="B827" s="92"/>
      <c r="C827" s="52" t="s">
        <v>478</v>
      </c>
      <c r="D827" s="52"/>
    </row>
    <row r="828" spans="1:4">
      <c r="A828" s="92"/>
      <c r="B828" s="92"/>
      <c r="C828" s="52" t="s">
        <v>479</v>
      </c>
      <c r="D828" s="52"/>
    </row>
    <row r="829" spans="1:4">
      <c r="A829" s="92"/>
      <c r="B829" s="92"/>
      <c r="C829" s="52" t="s">
        <v>480</v>
      </c>
      <c r="D829" s="52"/>
    </row>
    <row r="830" spans="1:4">
      <c r="A830" s="92"/>
      <c r="B830" s="92"/>
      <c r="C830" s="52" t="s">
        <v>481</v>
      </c>
      <c r="D830" s="52"/>
    </row>
    <row r="831" spans="1:4">
      <c r="A831" s="92"/>
      <c r="B831" s="92"/>
      <c r="C831" s="52" t="s">
        <v>1126</v>
      </c>
      <c r="D831" s="123" t="s">
        <v>1127</v>
      </c>
    </row>
    <row r="832" spans="1:4">
      <c r="A832" s="92"/>
      <c r="B832" s="92"/>
      <c r="C832" s="52" t="s">
        <v>1128</v>
      </c>
      <c r="D832" s="123" t="s">
        <v>493</v>
      </c>
    </row>
    <row r="833" spans="1:4">
      <c r="A833" s="92"/>
      <c r="B833" s="92"/>
      <c r="C833" s="52" t="s">
        <v>1129</v>
      </c>
      <c r="D833" s="123" t="s">
        <v>493</v>
      </c>
    </row>
    <row r="834" spans="1:4">
      <c r="A834" s="92"/>
      <c r="B834" s="92"/>
      <c r="C834" s="52" t="s">
        <v>1130</v>
      </c>
      <c r="D834" s="121"/>
    </row>
    <row r="835" spans="1:4">
      <c r="A835" s="92"/>
      <c r="B835" s="92"/>
      <c r="C835" s="52" t="s">
        <v>489</v>
      </c>
      <c r="D835" s="52"/>
    </row>
    <row r="836" spans="1:4">
      <c r="A836" s="92"/>
      <c r="B836" s="92"/>
      <c r="C836" s="52" t="s">
        <v>484</v>
      </c>
      <c r="D836" s="52"/>
    </row>
    <row r="837" spans="1:4">
      <c r="A837" s="92"/>
      <c r="B837" s="92"/>
      <c r="C837" s="52" t="s">
        <v>485</v>
      </c>
      <c r="D837" s="52"/>
    </row>
    <row r="838" spans="1:4">
      <c r="A838" s="92"/>
      <c r="B838" s="92"/>
      <c r="C838" s="52" t="s">
        <v>482</v>
      </c>
      <c r="D838" s="52"/>
    </row>
    <row r="839" spans="1:4">
      <c r="A839" s="92"/>
      <c r="B839" s="92"/>
      <c r="C839" s="52" t="s">
        <v>486</v>
      </c>
      <c r="D839" s="52"/>
    </row>
    <row r="840" spans="1:4">
      <c r="A840" s="92"/>
      <c r="B840" s="92"/>
      <c r="C840" s="52" t="s">
        <v>483</v>
      </c>
      <c r="D840" s="52"/>
    </row>
    <row r="841" spans="1:4">
      <c r="A841" s="92"/>
      <c r="B841" s="92"/>
      <c r="C841" s="52" t="s">
        <v>487</v>
      </c>
      <c r="D841" s="52"/>
    </row>
    <row r="842" spans="1:4">
      <c r="A842" s="92"/>
      <c r="B842" s="92"/>
      <c r="C842" s="52" t="s">
        <v>1131</v>
      </c>
      <c r="D842" s="52"/>
    </row>
    <row r="843" spans="1:4">
      <c r="A843" s="92"/>
      <c r="B843" s="92"/>
      <c r="C843" s="52" t="s">
        <v>1132</v>
      </c>
      <c r="D843" s="52"/>
    </row>
    <row r="844" spans="1:4">
      <c r="A844" s="92"/>
      <c r="B844" s="92"/>
      <c r="C844" s="52" t="s">
        <v>1133</v>
      </c>
      <c r="D844" s="52"/>
    </row>
    <row r="845" spans="1:4">
      <c r="A845" s="92"/>
      <c r="B845" s="92"/>
      <c r="C845" s="52" t="s">
        <v>1134</v>
      </c>
      <c r="D845" s="52"/>
    </row>
    <row r="846" spans="1:4">
      <c r="A846" s="92"/>
      <c r="B846" s="92"/>
      <c r="C846" s="52" t="s">
        <v>1135</v>
      </c>
      <c r="D846" s="52"/>
    </row>
    <row r="847" spans="1:4">
      <c r="A847" s="92"/>
      <c r="B847" s="92"/>
      <c r="C847" s="52" t="s">
        <v>1136</v>
      </c>
      <c r="D847" s="52"/>
    </row>
    <row r="848" spans="1:4">
      <c r="A848" s="92"/>
      <c r="B848" s="92"/>
      <c r="C848" s="52" t="s">
        <v>1137</v>
      </c>
      <c r="D848" s="52"/>
    </row>
    <row r="849" spans="1:4">
      <c r="A849" s="92"/>
      <c r="B849" s="92"/>
      <c r="C849" s="52" t="s">
        <v>1138</v>
      </c>
      <c r="D849" s="52"/>
    </row>
    <row r="850" spans="1:4">
      <c r="A850" s="92"/>
      <c r="B850" s="92"/>
      <c r="C850" s="52" t="s">
        <v>342</v>
      </c>
      <c r="D850" s="52"/>
    </row>
    <row r="851" spans="1:4">
      <c r="A851" s="65" t="s">
        <v>1139</v>
      </c>
      <c r="B851" s="65"/>
      <c r="C851" s="54" t="s">
        <v>530</v>
      </c>
      <c r="D851" s="54"/>
    </row>
    <row r="852" spans="1:4">
      <c r="A852" s="66"/>
      <c r="B852" s="66"/>
      <c r="C852" s="54" t="s">
        <v>312</v>
      </c>
      <c r="D852" s="54"/>
    </row>
    <row r="853" spans="1:4">
      <c r="A853" s="92" t="s">
        <v>1140</v>
      </c>
      <c r="B853" s="92" t="s">
        <v>5</v>
      </c>
      <c r="C853" s="52" t="s">
        <v>1141</v>
      </c>
      <c r="D853" s="52"/>
    </row>
    <row r="854" spans="1:4">
      <c r="A854" s="92"/>
      <c r="B854" s="92"/>
      <c r="C854" s="52" t="s">
        <v>1142</v>
      </c>
      <c r="D854" s="52"/>
    </row>
    <row r="855" spans="1:4">
      <c r="A855" s="92"/>
      <c r="B855" s="92"/>
      <c r="C855" s="52" t="s">
        <v>1143</v>
      </c>
      <c r="D855" s="52"/>
    </row>
    <row r="856" spans="1:4">
      <c r="A856" s="92"/>
      <c r="B856" s="92"/>
      <c r="C856" s="52" t="s">
        <v>1144</v>
      </c>
      <c r="D856" s="52"/>
    </row>
    <row r="857" spans="1:4">
      <c r="A857" s="92"/>
      <c r="B857" s="92"/>
      <c r="C857" s="52" t="s">
        <v>1145</v>
      </c>
      <c r="D857" s="52"/>
    </row>
    <row r="858" spans="1:4">
      <c r="A858" s="92"/>
      <c r="B858" s="92"/>
      <c r="C858" s="52" t="s">
        <v>1146</v>
      </c>
      <c r="D858" s="52"/>
    </row>
    <row r="859" spans="1:4">
      <c r="A859" s="92"/>
      <c r="B859" s="92"/>
      <c r="C859" s="52" t="s">
        <v>1147</v>
      </c>
      <c r="D859" s="52"/>
    </row>
    <row r="860" spans="1:4">
      <c r="A860" s="92"/>
      <c r="B860" s="92"/>
      <c r="C860" s="52" t="s">
        <v>1148</v>
      </c>
      <c r="D860" s="52"/>
    </row>
    <row r="861" spans="1:4">
      <c r="A861" s="92"/>
      <c r="B861" s="92"/>
      <c r="C861" s="52" t="s">
        <v>1149</v>
      </c>
      <c r="D861" s="52"/>
    </row>
    <row r="862" spans="1:4">
      <c r="A862" s="65" t="s">
        <v>1150</v>
      </c>
      <c r="B862" s="65" t="s">
        <v>5</v>
      </c>
      <c r="C862" s="54" t="s">
        <v>44</v>
      </c>
      <c r="D862" s="54"/>
    </row>
    <row r="863" spans="1:4">
      <c r="A863" s="66"/>
      <c r="B863" s="66"/>
      <c r="C863" s="54" t="s">
        <v>30</v>
      </c>
      <c r="D863" s="54"/>
    </row>
    <row r="864" spans="1:4">
      <c r="A864" s="66"/>
      <c r="B864" s="66"/>
      <c r="C864" s="54" t="s">
        <v>97</v>
      </c>
      <c r="D864" s="54"/>
    </row>
    <row r="865" spans="1:4">
      <c r="A865" s="66"/>
      <c r="B865" s="66"/>
      <c r="C865" s="54" t="s">
        <v>260</v>
      </c>
      <c r="D865" s="54"/>
    </row>
    <row r="866" spans="1:4">
      <c r="A866" s="66"/>
      <c r="B866" s="66"/>
      <c r="C866" s="54" t="s">
        <v>153</v>
      </c>
      <c r="D866" s="54"/>
    </row>
    <row r="867" spans="1:4">
      <c r="A867" s="66"/>
      <c r="B867" s="66"/>
      <c r="C867" s="54" t="s">
        <v>1151</v>
      </c>
      <c r="D867" s="54"/>
    </row>
    <row r="868" spans="1:4">
      <c r="A868" s="66"/>
      <c r="B868" s="66"/>
      <c r="C868" s="54" t="s">
        <v>49</v>
      </c>
      <c r="D868" s="54"/>
    </row>
    <row r="869" spans="1:4">
      <c r="A869" s="66"/>
      <c r="B869" s="66"/>
      <c r="C869" s="54" t="s">
        <v>355</v>
      </c>
      <c r="D869" s="54"/>
    </row>
    <row r="870" spans="1:4">
      <c r="A870" s="92" t="s">
        <v>1152</v>
      </c>
      <c r="B870" s="92" t="s">
        <v>5</v>
      </c>
      <c r="C870" s="52" t="s">
        <v>44</v>
      </c>
      <c r="D870" s="52"/>
    </row>
    <row r="871" spans="1:4">
      <c r="A871" s="92"/>
      <c r="B871" s="92"/>
      <c r="C871" s="52" t="s">
        <v>97</v>
      </c>
      <c r="D871" s="52"/>
    </row>
    <row r="872" spans="1:4">
      <c r="A872" s="92"/>
      <c r="B872" s="92"/>
      <c r="C872" s="52" t="s">
        <v>153</v>
      </c>
      <c r="D872" s="52"/>
    </row>
    <row r="873" spans="1:4">
      <c r="A873" s="92"/>
      <c r="B873" s="92"/>
      <c r="C873" s="52" t="s">
        <v>342</v>
      </c>
      <c r="D873" s="52"/>
    </row>
    <row r="874" spans="1:4">
      <c r="A874" s="65" t="s">
        <v>1153</v>
      </c>
      <c r="B874" s="65" t="s">
        <v>5</v>
      </c>
      <c r="C874" s="54" t="s">
        <v>1154</v>
      </c>
      <c r="D874" s="54"/>
    </row>
    <row r="875" spans="1:4">
      <c r="A875" s="66"/>
      <c r="B875" s="66"/>
      <c r="C875" s="54" t="s">
        <v>945</v>
      </c>
      <c r="D875" s="54"/>
    </row>
    <row r="876" spans="1:4">
      <c r="A876" s="66"/>
      <c r="B876" s="66"/>
      <c r="C876" s="54" t="s">
        <v>364</v>
      </c>
      <c r="D876" s="54"/>
    </row>
    <row r="877" spans="1:4">
      <c r="A877" s="66"/>
      <c r="B877" s="66"/>
      <c r="C877" s="54" t="s">
        <v>946</v>
      </c>
      <c r="D877" s="54"/>
    </row>
    <row r="878" spans="1:4">
      <c r="A878" s="66"/>
      <c r="B878" s="66"/>
      <c r="C878" s="54" t="s">
        <v>1155</v>
      </c>
      <c r="D878" s="54"/>
    </row>
    <row r="879" spans="1:4">
      <c r="A879" s="66"/>
      <c r="B879" s="66"/>
      <c r="C879" s="54" t="s">
        <v>1156</v>
      </c>
      <c r="D879" s="54"/>
    </row>
    <row r="880" spans="1:4">
      <c r="A880" s="66"/>
      <c r="B880" s="66"/>
      <c r="C880" s="54" t="s">
        <v>1157</v>
      </c>
      <c r="D880" s="54"/>
    </row>
    <row r="881" spans="1:5">
      <c r="A881" s="66"/>
      <c r="B881" s="66"/>
      <c r="C881" s="54" t="s">
        <v>1158</v>
      </c>
      <c r="D881" s="54"/>
    </row>
    <row r="882" spans="1:5">
      <c r="A882" s="66"/>
      <c r="B882" s="66"/>
      <c r="C882" s="54" t="s">
        <v>1159</v>
      </c>
      <c r="D882" s="54" t="s">
        <v>1159</v>
      </c>
      <c r="E882" t="s">
        <v>408</v>
      </c>
    </row>
    <row r="883" spans="1:5">
      <c r="A883" s="67"/>
      <c r="B883" s="67"/>
      <c r="C883" s="54" t="s">
        <v>342</v>
      </c>
      <c r="D883" s="54"/>
    </row>
    <row r="884" spans="1:5">
      <c r="A884" s="81" t="s">
        <v>1160</v>
      </c>
      <c r="B884" s="81" t="s">
        <v>5</v>
      </c>
      <c r="C884" s="52" t="s">
        <v>1121</v>
      </c>
      <c r="D884" s="52"/>
    </row>
    <row r="885" spans="1:5">
      <c r="A885" s="82"/>
      <c r="B885" s="82"/>
      <c r="C885" s="52" t="s">
        <v>1161</v>
      </c>
      <c r="D885" s="52"/>
    </row>
    <row r="886" spans="1:5">
      <c r="A886" s="82"/>
      <c r="B886" s="82"/>
      <c r="C886" s="52" t="s">
        <v>1162</v>
      </c>
      <c r="D886" s="52"/>
    </row>
    <row r="887" spans="1:5">
      <c r="A887" s="82"/>
      <c r="B887" s="82"/>
      <c r="C887" s="52" t="s">
        <v>1163</v>
      </c>
      <c r="D887" s="52"/>
    </row>
    <row r="888" spans="1:5">
      <c r="A888" s="82"/>
      <c r="B888" s="82"/>
      <c r="C888" s="52" t="s">
        <v>1164</v>
      </c>
      <c r="D888" s="52"/>
    </row>
    <row r="889" spans="1:5">
      <c r="A889" s="82"/>
      <c r="B889" s="82"/>
      <c r="C889" s="52" t="s">
        <v>1165</v>
      </c>
      <c r="D889" s="52" t="s">
        <v>1166</v>
      </c>
    </row>
    <row r="890" spans="1:5">
      <c r="A890" s="82"/>
      <c r="B890" s="82"/>
      <c r="C890" s="52" t="s">
        <v>1167</v>
      </c>
      <c r="D890" s="52"/>
    </row>
    <row r="891" spans="1:5">
      <c r="A891" s="65" t="s">
        <v>661</v>
      </c>
      <c r="B891" s="65" t="s">
        <v>5</v>
      </c>
      <c r="C891" s="54" t="s">
        <v>1168</v>
      </c>
      <c r="D891" s="54"/>
    </row>
    <row r="892" spans="1:5">
      <c r="A892" s="66"/>
      <c r="B892" s="66"/>
      <c r="C892" s="54" t="s">
        <v>1169</v>
      </c>
      <c r="D892" s="54"/>
    </row>
    <row r="893" spans="1:5">
      <c r="A893" s="66"/>
      <c r="B893" s="66"/>
      <c r="C893" s="54" t="s">
        <v>1170</v>
      </c>
      <c r="D893" s="54"/>
    </row>
    <row r="894" spans="1:5">
      <c r="A894" s="66"/>
      <c r="B894" s="66"/>
      <c r="C894" s="54" t="s">
        <v>1171</v>
      </c>
      <c r="D894" s="54"/>
    </row>
    <row r="895" spans="1:5">
      <c r="A895" s="66"/>
      <c r="B895" s="66"/>
      <c r="C895" s="54" t="s">
        <v>1172</v>
      </c>
      <c r="D895" s="54"/>
    </row>
    <row r="896" spans="1:5">
      <c r="A896" s="66"/>
      <c r="B896" s="66"/>
      <c r="C896" s="54" t="s">
        <v>342</v>
      </c>
      <c r="D896" s="54"/>
    </row>
    <row r="897" spans="1:4">
      <c r="A897" s="81" t="s">
        <v>1173</v>
      </c>
      <c r="B897" s="81" t="s">
        <v>5</v>
      </c>
      <c r="C897" s="52" t="s">
        <v>1174</v>
      </c>
      <c r="D897" s="52"/>
    </row>
    <row r="898" spans="1:4">
      <c r="A898" s="82"/>
      <c r="B898" s="82"/>
      <c r="C898" s="52" t="s">
        <v>1175</v>
      </c>
      <c r="D898" s="52"/>
    </row>
    <row r="899" spans="1:4">
      <c r="A899" s="82"/>
      <c r="B899" s="82"/>
      <c r="C899" s="52" t="s">
        <v>1121</v>
      </c>
      <c r="D899" s="52"/>
    </row>
    <row r="900" spans="1:4">
      <c r="A900" s="82"/>
      <c r="B900" s="82"/>
      <c r="C900" s="52" t="s">
        <v>342</v>
      </c>
      <c r="D900" s="52"/>
    </row>
    <row r="901" spans="1:4">
      <c r="A901" s="65" t="s">
        <v>1176</v>
      </c>
      <c r="B901" s="65" t="s">
        <v>5</v>
      </c>
      <c r="C901" s="54" t="s">
        <v>1177</v>
      </c>
      <c r="D901" s="54"/>
    </row>
    <row r="902" spans="1:4">
      <c r="A902" s="66"/>
      <c r="B902" s="66"/>
      <c r="C902" s="54" t="s">
        <v>1178</v>
      </c>
      <c r="D902" s="54"/>
    </row>
    <row r="903" spans="1:4">
      <c r="A903" s="66"/>
      <c r="B903" s="66"/>
      <c r="C903" s="54" t="s">
        <v>936</v>
      </c>
      <c r="D903" s="54"/>
    </row>
    <row r="904" spans="1:4">
      <c r="A904" s="66"/>
      <c r="B904" s="66"/>
      <c r="C904" s="54" t="s">
        <v>1179</v>
      </c>
      <c r="D904" s="54"/>
    </row>
    <row r="905" spans="1:4">
      <c r="A905" s="66"/>
      <c r="B905" s="66"/>
      <c r="C905" s="54" t="s">
        <v>1180</v>
      </c>
      <c r="D905" s="54"/>
    </row>
    <row r="906" spans="1:4">
      <c r="A906" s="91" t="s">
        <v>1181</v>
      </c>
      <c r="B906" s="91" t="s">
        <v>5</v>
      </c>
      <c r="C906" s="57" t="s">
        <v>1182</v>
      </c>
      <c r="D906" s="57"/>
    </row>
    <row r="907" spans="1:4">
      <c r="A907" s="92"/>
      <c r="B907" s="92"/>
      <c r="C907" s="57" t="s">
        <v>1183</v>
      </c>
      <c r="D907" s="57"/>
    </row>
    <row r="908" spans="1:4">
      <c r="A908" s="92"/>
      <c r="B908" s="92"/>
      <c r="C908" s="52" t="s">
        <v>1184</v>
      </c>
      <c r="D908" s="52"/>
    </row>
    <row r="909" spans="1:4">
      <c r="A909" s="92"/>
      <c r="B909" s="92"/>
      <c r="C909" s="52" t="s">
        <v>1185</v>
      </c>
      <c r="D909" s="52"/>
    </row>
    <row r="910" spans="1:4">
      <c r="A910" s="92"/>
      <c r="B910" s="92"/>
      <c r="C910" s="52" t="s">
        <v>1186</v>
      </c>
      <c r="D910" s="52"/>
    </row>
    <row r="911" spans="1:4">
      <c r="A911" s="92"/>
      <c r="B911" s="92"/>
      <c r="C911" s="52" t="s">
        <v>1187</v>
      </c>
      <c r="D911" s="52"/>
    </row>
    <row r="912" spans="1:4">
      <c r="A912" s="87" t="s">
        <v>1188</v>
      </c>
      <c r="B912" s="87" t="s">
        <v>5</v>
      </c>
      <c r="C912" s="59" t="s">
        <v>44</v>
      </c>
      <c r="D912" s="59"/>
    </row>
    <row r="913" spans="1:5">
      <c r="A913" s="69"/>
      <c r="B913" s="69"/>
      <c r="C913" s="59" t="s">
        <v>30</v>
      </c>
      <c r="D913" s="59"/>
    </row>
    <row r="914" spans="1:5">
      <c r="A914" s="69"/>
      <c r="B914" s="69"/>
      <c r="C914" s="54" t="s">
        <v>97</v>
      </c>
      <c r="D914" s="54"/>
    </row>
    <row r="915" spans="1:5">
      <c r="A915" s="69"/>
      <c r="B915" s="69"/>
      <c r="C915" s="54" t="s">
        <v>260</v>
      </c>
      <c r="D915" s="54"/>
    </row>
    <row r="916" spans="1:5">
      <c r="A916" s="69"/>
      <c r="B916" s="69"/>
      <c r="C916" s="54" t="s">
        <v>153</v>
      </c>
      <c r="D916" s="54"/>
    </row>
    <row r="917" spans="1:5">
      <c r="A917" s="69"/>
      <c r="B917" s="69"/>
      <c r="C917" s="54" t="s">
        <v>1151</v>
      </c>
      <c r="D917" s="54"/>
    </row>
    <row r="918" spans="1:5">
      <c r="A918" s="69"/>
      <c r="B918" s="69"/>
      <c r="C918" s="59" t="s">
        <v>49</v>
      </c>
      <c r="D918" s="59"/>
    </row>
    <row r="919" spans="1:5">
      <c r="A919" s="69"/>
      <c r="B919" s="69"/>
      <c r="C919" s="59" t="s">
        <v>355</v>
      </c>
      <c r="D919" s="59"/>
    </row>
    <row r="920" spans="1:5">
      <c r="A920" s="91" t="s">
        <v>1189</v>
      </c>
      <c r="B920" s="91" t="s">
        <v>5</v>
      </c>
      <c r="C920" s="57" t="s">
        <v>1190</v>
      </c>
      <c r="D920" s="57"/>
      <c r="E920" s="58"/>
    </row>
    <row r="921" spans="1:5">
      <c r="A921" s="92"/>
      <c r="B921" s="92"/>
      <c r="C921" s="57" t="s">
        <v>1191</v>
      </c>
      <c r="D921" s="57"/>
      <c r="E921" s="58"/>
    </row>
    <row r="922" spans="1:5">
      <c r="A922" s="92"/>
      <c r="B922" s="92"/>
      <c r="C922" s="52" t="s">
        <v>1192</v>
      </c>
      <c r="D922" s="52"/>
      <c r="E922" s="58"/>
    </row>
    <row r="923" spans="1:5">
      <c r="A923" s="92"/>
      <c r="B923" s="92"/>
      <c r="C923" s="52" t="s">
        <v>1193</v>
      </c>
      <c r="D923" s="52"/>
      <c r="E923" s="58"/>
    </row>
    <row r="924" spans="1:5">
      <c r="A924" s="92"/>
      <c r="B924" s="92"/>
      <c r="C924" s="52" t="s">
        <v>1194</v>
      </c>
      <c r="D924" s="52"/>
      <c r="E924" s="58"/>
    </row>
    <row r="925" spans="1:5">
      <c r="A925" s="92"/>
      <c r="B925" s="92"/>
      <c r="C925" s="52" t="s">
        <v>342</v>
      </c>
      <c r="D925" s="52"/>
    </row>
    <row r="926" spans="1:5">
      <c r="A926" s="87" t="s">
        <v>1195</v>
      </c>
      <c r="B926" s="87" t="s">
        <v>5</v>
      </c>
      <c r="C926" s="54" t="s">
        <v>1196</v>
      </c>
      <c r="D926" s="54"/>
    </row>
    <row r="927" spans="1:5">
      <c r="A927" s="69"/>
      <c r="B927" s="69"/>
      <c r="C927" s="54" t="s">
        <v>1197</v>
      </c>
      <c r="D927" s="54"/>
    </row>
    <row r="928" spans="1:5">
      <c r="A928" s="69"/>
      <c r="B928" s="69"/>
      <c r="C928" s="54" t="s">
        <v>1198</v>
      </c>
      <c r="D928" s="54"/>
    </row>
    <row r="929" spans="1:5">
      <c r="A929" s="88" t="s">
        <v>1199</v>
      </c>
      <c r="B929" s="88" t="s">
        <v>5</v>
      </c>
      <c r="C929" s="57" t="s">
        <v>1200</v>
      </c>
      <c r="D929" s="57"/>
    </row>
    <row r="930" spans="1:5">
      <c r="A930" s="89"/>
      <c r="B930" s="89"/>
      <c r="C930" s="57" t="s">
        <v>945</v>
      </c>
      <c r="D930" s="57"/>
    </row>
    <row r="931" spans="1:5">
      <c r="A931" s="89"/>
      <c r="B931" s="89"/>
      <c r="C931" s="52" t="s">
        <v>1154</v>
      </c>
      <c r="D931" s="52"/>
    </row>
    <row r="932" spans="1:5">
      <c r="A932" s="89"/>
      <c r="B932" s="89"/>
      <c r="C932" s="52" t="s">
        <v>364</v>
      </c>
      <c r="D932" s="52"/>
    </row>
    <row r="933" spans="1:5">
      <c r="A933" s="89"/>
      <c r="B933" s="89"/>
      <c r="C933" s="52" t="s">
        <v>342</v>
      </c>
      <c r="D933" s="52"/>
    </row>
    <row r="934" spans="1:5">
      <c r="A934" s="95" t="s">
        <v>1201</v>
      </c>
      <c r="B934" s="95" t="s">
        <v>5</v>
      </c>
      <c r="C934" s="59" t="s">
        <v>1154</v>
      </c>
      <c r="D934" s="59"/>
    </row>
    <row r="935" spans="1:5">
      <c r="A935" s="96"/>
      <c r="B935" s="96"/>
      <c r="C935" s="59" t="s">
        <v>945</v>
      </c>
      <c r="D935" s="59"/>
    </row>
    <row r="936" spans="1:5">
      <c r="A936" s="96"/>
      <c r="B936" s="96"/>
      <c r="C936" s="54" t="s">
        <v>364</v>
      </c>
      <c r="D936" s="54"/>
    </row>
    <row r="937" spans="1:5">
      <c r="A937" s="96"/>
      <c r="B937" s="96"/>
      <c r="C937" s="54" t="s">
        <v>946</v>
      </c>
      <c r="D937" s="54"/>
    </row>
    <row r="938" spans="1:5">
      <c r="A938" s="96"/>
      <c r="B938" s="96"/>
      <c r="C938" s="54" t="s">
        <v>1202</v>
      </c>
      <c r="D938" s="54"/>
    </row>
    <row r="939" spans="1:5">
      <c r="A939" s="96"/>
      <c r="B939" s="96"/>
      <c r="C939" s="59" t="s">
        <v>1202</v>
      </c>
      <c r="D939" s="59"/>
    </row>
    <row r="940" spans="1:5">
      <c r="A940" s="96"/>
      <c r="B940" s="96"/>
      <c r="C940" s="59" t="s">
        <v>1156</v>
      </c>
      <c r="D940" s="59"/>
    </row>
    <row r="941" spans="1:5">
      <c r="A941" s="96"/>
      <c r="B941" s="96"/>
      <c r="C941" s="54" t="s">
        <v>1157</v>
      </c>
      <c r="D941" s="54"/>
    </row>
    <row r="942" spans="1:5">
      <c r="A942" s="96"/>
      <c r="B942" s="96"/>
      <c r="C942" s="59" t="s">
        <v>1158</v>
      </c>
      <c r="D942" s="59"/>
    </row>
    <row r="943" spans="1:5">
      <c r="A943" s="96"/>
      <c r="B943" s="96"/>
      <c r="C943" s="59" t="s">
        <v>1200</v>
      </c>
      <c r="D943" s="59"/>
    </row>
    <row r="944" spans="1:5">
      <c r="A944" s="96"/>
      <c r="B944" s="96"/>
      <c r="C944" s="54" t="s">
        <v>1203</v>
      </c>
      <c r="D944" s="54" t="s">
        <v>1203</v>
      </c>
      <c r="E944" t="s">
        <v>408</v>
      </c>
    </row>
    <row r="945" spans="1:4">
      <c r="A945" s="119"/>
      <c r="B945" s="119"/>
      <c r="C945" s="54" t="s">
        <v>342</v>
      </c>
      <c r="D945" s="54"/>
    </row>
    <row r="946" spans="1:4" ht="14.25" customHeight="1">
      <c r="A946" s="88" t="s">
        <v>1204</v>
      </c>
      <c r="B946" s="88" t="s">
        <v>5</v>
      </c>
      <c r="C946" s="57" t="s">
        <v>1205</v>
      </c>
      <c r="D946" s="57"/>
    </row>
    <row r="947" spans="1:4">
      <c r="A947" s="89"/>
      <c r="B947" s="89"/>
      <c r="C947" s="57" t="s">
        <v>1206</v>
      </c>
      <c r="D947" s="57"/>
    </row>
    <row r="948" spans="1:4">
      <c r="A948" s="89"/>
      <c r="B948" s="89"/>
      <c r="C948" s="52" t="s">
        <v>1207</v>
      </c>
      <c r="D948" s="52"/>
    </row>
    <row r="949" spans="1:4">
      <c r="A949" s="89"/>
      <c r="B949" s="89"/>
      <c r="C949" s="52" t="s">
        <v>1208</v>
      </c>
      <c r="D949" s="52"/>
    </row>
    <row r="950" spans="1:4">
      <c r="A950" s="89"/>
      <c r="B950" s="89"/>
      <c r="C950" s="52" t="s">
        <v>1209</v>
      </c>
      <c r="D950" s="52"/>
    </row>
    <row r="951" spans="1:4">
      <c r="A951" s="89"/>
      <c r="B951" s="89"/>
      <c r="C951" s="57" t="s">
        <v>956</v>
      </c>
      <c r="D951" s="57"/>
    </row>
    <row r="952" spans="1:4">
      <c r="A952" s="89"/>
      <c r="B952" s="89"/>
      <c r="C952" s="57" t="s">
        <v>1200</v>
      </c>
      <c r="D952" s="57"/>
    </row>
    <row r="953" spans="1:4">
      <c r="A953" s="89"/>
      <c r="B953" s="89"/>
      <c r="C953" s="52" t="s">
        <v>1210</v>
      </c>
      <c r="D953" s="52" t="s">
        <v>1211</v>
      </c>
    </row>
    <row r="954" spans="1:4">
      <c r="A954" s="89"/>
      <c r="B954" s="89"/>
      <c r="C954" s="52" t="s">
        <v>1165</v>
      </c>
      <c r="D954" s="52" t="s">
        <v>1166</v>
      </c>
    </row>
    <row r="955" spans="1:4">
      <c r="A955" s="89"/>
      <c r="B955" s="89"/>
      <c r="C955" s="52" t="s">
        <v>342</v>
      </c>
      <c r="D955" s="52"/>
    </row>
    <row r="956" spans="1:4">
      <c r="A956" s="95" t="s">
        <v>964</v>
      </c>
      <c r="B956" s="95" t="s">
        <v>5</v>
      </c>
      <c r="C956" s="54" t="s">
        <v>1212</v>
      </c>
      <c r="D956" s="54"/>
    </row>
    <row r="957" spans="1:4">
      <c r="A957" s="96"/>
      <c r="B957" s="96"/>
      <c r="C957" s="54" t="s">
        <v>1213</v>
      </c>
      <c r="D957" s="54"/>
    </row>
    <row r="958" spans="1:4">
      <c r="A958" s="96"/>
      <c r="B958" s="96"/>
      <c r="C958" s="54" t="s">
        <v>1214</v>
      </c>
      <c r="D958" s="54"/>
    </row>
    <row r="959" spans="1:4">
      <c r="A959" s="96"/>
      <c r="B959" s="96"/>
      <c r="C959" s="54" t="s">
        <v>1215</v>
      </c>
      <c r="D959" s="54"/>
    </row>
    <row r="960" spans="1:4">
      <c r="A960" s="96"/>
      <c r="B960" s="96"/>
      <c r="C960" s="54" t="s">
        <v>1216</v>
      </c>
      <c r="D960" s="54"/>
    </row>
    <row r="961" spans="1:5">
      <c r="A961" s="96"/>
      <c r="B961" s="96"/>
      <c r="C961" s="54" t="s">
        <v>1217</v>
      </c>
      <c r="D961" s="54"/>
    </row>
    <row r="962" spans="1:5">
      <c r="A962" s="96"/>
      <c r="B962" s="96"/>
      <c r="C962" s="54" t="s">
        <v>1218</v>
      </c>
      <c r="D962" s="54"/>
    </row>
    <row r="963" spans="1:5">
      <c r="A963" s="96"/>
      <c r="B963" s="96"/>
      <c r="C963" s="54" t="s">
        <v>1045</v>
      </c>
      <c r="D963" s="54"/>
      <c r="E963" t="s">
        <v>408</v>
      </c>
    </row>
    <row r="964" spans="1:5">
      <c r="A964" s="97" t="s">
        <v>1219</v>
      </c>
      <c r="B964" s="88" t="s">
        <v>5</v>
      </c>
      <c r="C964" s="52" t="s">
        <v>1177</v>
      </c>
      <c r="D964" s="52"/>
    </row>
    <row r="965" spans="1:5">
      <c r="A965" s="98"/>
      <c r="B965" s="89"/>
      <c r="C965" s="52" t="s">
        <v>1178</v>
      </c>
      <c r="D965" s="52"/>
    </row>
    <row r="966" spans="1:5">
      <c r="A966" s="98"/>
      <c r="B966" s="89"/>
      <c r="C966" s="52" t="s">
        <v>936</v>
      </c>
      <c r="D966" s="52"/>
    </row>
    <row r="967" spans="1:5">
      <c r="A967" s="98"/>
      <c r="B967" s="89"/>
      <c r="C967" s="52" t="s">
        <v>1179</v>
      </c>
      <c r="D967" s="52"/>
    </row>
    <row r="968" spans="1:5">
      <c r="A968" s="98"/>
      <c r="B968" s="89"/>
      <c r="C968" s="52" t="s">
        <v>1180</v>
      </c>
      <c r="D968" s="52"/>
    </row>
    <row r="969" spans="1:5">
      <c r="A969" s="98"/>
      <c r="B969" s="89"/>
      <c r="C969" s="52" t="s">
        <v>1220</v>
      </c>
      <c r="D969" s="52"/>
      <c r="E969" t="s">
        <v>408</v>
      </c>
    </row>
    <row r="970" spans="1:5">
      <c r="A970" s="99" t="s">
        <v>1221</v>
      </c>
      <c r="B970" s="95" t="s">
        <v>5</v>
      </c>
      <c r="C970" s="54" t="s">
        <v>1222</v>
      </c>
      <c r="D970" s="54"/>
    </row>
    <row r="971" spans="1:5">
      <c r="A971" s="100"/>
      <c r="B971" s="96"/>
      <c r="C971" s="54" t="s">
        <v>1223</v>
      </c>
      <c r="D971" s="54"/>
    </row>
    <row r="972" spans="1:5">
      <c r="A972" s="100"/>
      <c r="B972" s="96"/>
      <c r="C972" s="54" t="s">
        <v>1224</v>
      </c>
      <c r="D972" s="54"/>
    </row>
    <row r="973" spans="1:5">
      <c r="A973" s="100"/>
      <c r="B973" s="96"/>
      <c r="C973" s="54" t="s">
        <v>1225</v>
      </c>
      <c r="D973" s="54"/>
    </row>
    <row r="974" spans="1:5">
      <c r="A974" s="100"/>
      <c r="B974" s="96"/>
      <c r="C974" s="54" t="s">
        <v>1226</v>
      </c>
      <c r="D974" s="54"/>
    </row>
    <row r="975" spans="1:5">
      <c r="A975" s="100"/>
      <c r="B975" s="96"/>
      <c r="C975" s="54" t="s">
        <v>1227</v>
      </c>
      <c r="D975" s="54"/>
    </row>
    <row r="976" spans="1:5">
      <c r="A976" s="120"/>
      <c r="B976" s="119"/>
      <c r="C976" s="54" t="s">
        <v>342</v>
      </c>
      <c r="D976" s="54"/>
    </row>
    <row r="977" spans="1:5">
      <c r="A977" s="88" t="s">
        <v>1228</v>
      </c>
      <c r="B977" s="88" t="s">
        <v>5</v>
      </c>
      <c r="C977" s="52" t="s">
        <v>1229</v>
      </c>
      <c r="D977" s="52"/>
      <c r="E977" t="s">
        <v>1230</v>
      </c>
    </row>
    <row r="978" spans="1:5">
      <c r="A978" s="89"/>
      <c r="B978" s="89"/>
      <c r="C978" s="52" t="s">
        <v>1231</v>
      </c>
      <c r="D978" s="52"/>
    </row>
    <row r="979" spans="1:5">
      <c r="A979" s="89"/>
      <c r="B979" s="89"/>
      <c r="C979" s="52" t="s">
        <v>1232</v>
      </c>
      <c r="D979" s="52"/>
    </row>
    <row r="980" spans="1:5">
      <c r="A980" s="89"/>
      <c r="B980" s="89"/>
      <c r="C980" s="52" t="s">
        <v>1233</v>
      </c>
      <c r="D980" s="52"/>
    </row>
    <row r="981" spans="1:5">
      <c r="A981" s="89"/>
      <c r="B981" s="89"/>
      <c r="C981" s="52" t="s">
        <v>1234</v>
      </c>
      <c r="D981" s="52"/>
    </row>
    <row r="982" spans="1:5">
      <c r="A982" s="89"/>
      <c r="B982" s="89"/>
      <c r="C982" s="52" t="s">
        <v>1235</v>
      </c>
      <c r="D982" s="52"/>
    </row>
    <row r="983" spans="1:5">
      <c r="A983" s="89"/>
      <c r="B983" s="89"/>
      <c r="C983" s="52" t="s">
        <v>1236</v>
      </c>
      <c r="D983" s="52"/>
    </row>
    <row r="984" spans="1:5">
      <c r="A984" s="89"/>
      <c r="B984" s="89"/>
      <c r="C984" s="52" t="s">
        <v>1237</v>
      </c>
      <c r="D984" s="52"/>
    </row>
    <row r="985" spans="1:5">
      <c r="A985" s="89"/>
      <c r="B985" s="89"/>
      <c r="C985" s="52" t="s">
        <v>1238</v>
      </c>
      <c r="D985" s="52" t="s">
        <v>1239</v>
      </c>
      <c r="E985" t="s">
        <v>408</v>
      </c>
    </row>
    <row r="986" spans="1:5">
      <c r="A986" s="99" t="s">
        <v>1240</v>
      </c>
      <c r="B986" s="95" t="s">
        <v>5</v>
      </c>
      <c r="C986" s="54" t="s">
        <v>1182</v>
      </c>
      <c r="D986" s="54"/>
    </row>
    <row r="987" spans="1:5">
      <c r="A987" s="100"/>
      <c r="B987" s="96"/>
      <c r="C987" s="54" t="s">
        <v>1183</v>
      </c>
      <c r="D987" s="54"/>
    </row>
    <row r="988" spans="1:5">
      <c r="A988" s="100"/>
      <c r="B988" s="96"/>
      <c r="C988" s="54" t="s">
        <v>1241</v>
      </c>
      <c r="D988" s="54"/>
    </row>
    <row r="989" spans="1:5">
      <c r="A989" s="100"/>
      <c r="B989" s="96"/>
      <c r="C989" s="54" t="s">
        <v>1242</v>
      </c>
      <c r="D989" s="54"/>
    </row>
    <row r="990" spans="1:5">
      <c r="A990" s="100"/>
      <c r="B990" s="96"/>
      <c r="C990" s="54" t="s">
        <v>1243</v>
      </c>
      <c r="D990" s="54"/>
    </row>
    <row r="991" spans="1:5">
      <c r="A991" s="100"/>
      <c r="B991" s="96"/>
      <c r="C991" s="54" t="s">
        <v>1244</v>
      </c>
      <c r="D991" s="54"/>
    </row>
    <row r="992" spans="1:5">
      <c r="A992" s="88" t="s">
        <v>1245</v>
      </c>
      <c r="B992" s="88" t="s">
        <v>5</v>
      </c>
      <c r="C992" s="52" t="s">
        <v>945</v>
      </c>
      <c r="D992" s="52"/>
    </row>
    <row r="993" spans="1:5">
      <c r="A993" s="89"/>
      <c r="B993" s="89"/>
      <c r="C993" s="52" t="s">
        <v>1154</v>
      </c>
      <c r="D993" s="52"/>
    </row>
    <row r="994" spans="1:5">
      <c r="A994" s="89"/>
      <c r="B994" s="89"/>
      <c r="C994" s="52" t="s">
        <v>355</v>
      </c>
      <c r="D994" s="52"/>
    </row>
    <row r="995" spans="1:5">
      <c r="A995" s="89"/>
      <c r="B995" s="89"/>
      <c r="C995" s="52" t="s">
        <v>364</v>
      </c>
      <c r="D995" s="52"/>
    </row>
    <row r="996" spans="1:5">
      <c r="A996" s="89"/>
      <c r="B996" s="89"/>
      <c r="C996" s="52" t="s">
        <v>1246</v>
      </c>
      <c r="D996" s="52" t="s">
        <v>1247</v>
      </c>
    </row>
    <row r="997" spans="1:5">
      <c r="A997" s="89"/>
      <c r="B997" s="89"/>
      <c r="C997" s="52" t="s">
        <v>342</v>
      </c>
      <c r="D997" s="52"/>
    </row>
    <row r="998" spans="1:5">
      <c r="A998" s="95" t="s">
        <v>1248</v>
      </c>
      <c r="B998" s="95" t="s">
        <v>5</v>
      </c>
      <c r="C998" s="54" t="s">
        <v>340</v>
      </c>
      <c r="D998" s="54"/>
      <c r="E998" t="s">
        <v>1230</v>
      </c>
    </row>
    <row r="999" spans="1:5">
      <c r="A999" s="96"/>
      <c r="B999" s="96"/>
      <c r="C999" s="54" t="s">
        <v>1249</v>
      </c>
      <c r="D999" s="54"/>
    </row>
    <row r="1000" spans="1:5">
      <c r="A1000" s="88" t="s">
        <v>1250</v>
      </c>
      <c r="B1000" s="88" t="s">
        <v>5</v>
      </c>
      <c r="C1000" s="52" t="s">
        <v>1251</v>
      </c>
      <c r="D1000" s="52"/>
    </row>
    <row r="1001" spans="1:5">
      <c r="A1001" s="89"/>
      <c r="B1001" s="89"/>
      <c r="C1001" s="52" t="s">
        <v>1252</v>
      </c>
      <c r="D1001" s="52"/>
    </row>
    <row r="1002" spans="1:5">
      <c r="A1002" s="89"/>
      <c r="B1002" s="89"/>
      <c r="C1002" s="52" t="s">
        <v>1253</v>
      </c>
      <c r="D1002" s="52"/>
    </row>
    <row r="1003" spans="1:5">
      <c r="A1003" s="89"/>
      <c r="B1003" s="89"/>
      <c r="C1003" s="52" t="s">
        <v>1254</v>
      </c>
      <c r="D1003" s="52"/>
      <c r="E1003" t="s">
        <v>408</v>
      </c>
    </row>
    <row r="1004" spans="1:5">
      <c r="A1004" s="89"/>
      <c r="B1004" s="89"/>
      <c r="C1004" s="52" t="s">
        <v>1255</v>
      </c>
      <c r="D1004" s="52"/>
    </row>
    <row r="1005" spans="1:5">
      <c r="A1005" s="89"/>
      <c r="B1005" s="89"/>
      <c r="C1005" s="52" t="s">
        <v>1256</v>
      </c>
      <c r="D1005" s="52"/>
    </row>
    <row r="1006" spans="1:5">
      <c r="A1006" s="89"/>
      <c r="B1006" s="89"/>
      <c r="C1006" s="52" t="s">
        <v>1257</v>
      </c>
      <c r="D1006" s="52"/>
      <c r="E1006" t="s">
        <v>408</v>
      </c>
    </row>
    <row r="1007" spans="1:5">
      <c r="A1007" s="89"/>
      <c r="B1007" s="89"/>
      <c r="C1007" s="52" t="s">
        <v>1258</v>
      </c>
      <c r="D1007" s="52"/>
    </row>
    <row r="1008" spans="1:5">
      <c r="A1008" s="89"/>
      <c r="B1008" s="89"/>
      <c r="C1008" s="52" t="s">
        <v>1259</v>
      </c>
      <c r="D1008" s="52"/>
    </row>
    <row r="1009" spans="1:4">
      <c r="A1009" s="89"/>
      <c r="B1009" s="89"/>
      <c r="C1009" s="52" t="s">
        <v>1260</v>
      </c>
      <c r="D1009" s="52"/>
    </row>
    <row r="1010" spans="1:4">
      <c r="A1010" s="89"/>
      <c r="B1010" s="89"/>
      <c r="C1010" s="52" t="s">
        <v>1261</v>
      </c>
      <c r="D1010" s="52"/>
    </row>
    <row r="1011" spans="1:4">
      <c r="A1011" s="89"/>
      <c r="B1011" s="89"/>
      <c r="C1011" s="52" t="s">
        <v>1262</v>
      </c>
      <c r="D1011" s="52"/>
    </row>
    <row r="1012" spans="1:4">
      <c r="A1012" s="89"/>
      <c r="B1012" s="89"/>
      <c r="C1012" s="52" t="s">
        <v>1263</v>
      </c>
      <c r="D1012" s="52"/>
    </row>
    <row r="1013" spans="1:4">
      <c r="A1013" s="89"/>
      <c r="B1013" s="89"/>
      <c r="C1013" s="52" t="s">
        <v>1264</v>
      </c>
      <c r="D1013" s="52"/>
    </row>
    <row r="1014" spans="1:4">
      <c r="A1014" s="89"/>
      <c r="B1014" s="89"/>
      <c r="C1014" s="52" t="s">
        <v>1265</v>
      </c>
      <c r="D1014" s="52"/>
    </row>
    <row r="1015" spans="1:4">
      <c r="A1015" s="89"/>
      <c r="B1015" s="89"/>
      <c r="C1015" s="52" t="s">
        <v>311</v>
      </c>
      <c r="D1015" s="52"/>
    </row>
    <row r="1016" spans="1:4">
      <c r="A1016" s="89"/>
      <c r="B1016" s="89"/>
      <c r="C1016" s="52" t="s">
        <v>1266</v>
      </c>
      <c r="D1016" s="52"/>
    </row>
    <row r="1017" spans="1:4">
      <c r="A1017" s="89"/>
      <c r="B1017" s="89"/>
      <c r="C1017" s="52" t="s">
        <v>316</v>
      </c>
      <c r="D1017" s="52"/>
    </row>
    <row r="1018" spans="1:4">
      <c r="A1018" s="89"/>
      <c r="B1018" s="89"/>
      <c r="C1018" s="52" t="s">
        <v>1267</v>
      </c>
      <c r="D1018" s="52"/>
    </row>
    <row r="1019" spans="1:4">
      <c r="A1019" s="89"/>
      <c r="B1019" s="89"/>
      <c r="C1019" s="52" t="s">
        <v>1268</v>
      </c>
      <c r="D1019" s="52"/>
    </row>
    <row r="1020" spans="1:4">
      <c r="A1020" s="89"/>
      <c r="B1020" s="89"/>
      <c r="C1020" s="52" t="s">
        <v>1269</v>
      </c>
      <c r="D1020" s="52"/>
    </row>
    <row r="1021" spans="1:4">
      <c r="A1021" s="89"/>
      <c r="B1021" s="89"/>
      <c r="C1021" s="52" t="s">
        <v>1270</v>
      </c>
      <c r="D1021" s="52"/>
    </row>
    <row r="1022" spans="1:4">
      <c r="A1022" s="89"/>
      <c r="B1022" s="89"/>
      <c r="C1022" s="52" t="s">
        <v>1271</v>
      </c>
      <c r="D1022" s="52"/>
    </row>
    <row r="1023" spans="1:4">
      <c r="A1023" s="89"/>
      <c r="B1023" s="89"/>
      <c r="C1023" s="52" t="s">
        <v>1272</v>
      </c>
      <c r="D1023" s="52"/>
    </row>
    <row r="1024" spans="1:4">
      <c r="A1024" s="89"/>
      <c r="B1024" s="89"/>
      <c r="C1024" s="52" t="s">
        <v>1273</v>
      </c>
      <c r="D1024" s="52"/>
    </row>
    <row r="1025" spans="1:5">
      <c r="A1025" s="89"/>
      <c r="B1025" s="89"/>
      <c r="C1025" s="52" t="s">
        <v>1274</v>
      </c>
      <c r="D1025" s="52"/>
    </row>
    <row r="1026" spans="1:5">
      <c r="A1026" s="89"/>
      <c r="B1026" s="89"/>
      <c r="C1026" s="52" t="s">
        <v>1275</v>
      </c>
      <c r="D1026" s="52"/>
    </row>
    <row r="1027" spans="1:5">
      <c r="A1027" s="89"/>
      <c r="B1027" s="89"/>
      <c r="C1027" s="52" t="s">
        <v>1276</v>
      </c>
      <c r="D1027" s="52"/>
    </row>
    <row r="1028" spans="1:5">
      <c r="A1028" s="89"/>
      <c r="B1028" s="89"/>
      <c r="C1028" s="52" t="s">
        <v>1277</v>
      </c>
      <c r="D1028" s="52"/>
    </row>
    <row r="1029" spans="1:5">
      <c r="A1029" s="89"/>
      <c r="B1029" s="89"/>
      <c r="C1029" s="52" t="s">
        <v>1278</v>
      </c>
      <c r="D1029" s="52"/>
    </row>
    <row r="1030" spans="1:5">
      <c r="A1030" s="89"/>
      <c r="B1030" s="89"/>
      <c r="C1030" s="52" t="s">
        <v>1279</v>
      </c>
      <c r="D1030" s="52"/>
    </row>
    <row r="1031" spans="1:5">
      <c r="A1031" s="89"/>
      <c r="B1031" s="89"/>
      <c r="C1031" s="129" t="s">
        <v>1280</v>
      </c>
      <c r="D1031" s="52"/>
      <c r="E1031" t="s">
        <v>408</v>
      </c>
    </row>
    <row r="1032" spans="1:5">
      <c r="A1032" s="89"/>
      <c r="B1032" s="89"/>
      <c r="C1032" s="52" t="s">
        <v>1281</v>
      </c>
      <c r="D1032" s="52"/>
    </row>
    <row r="1033" spans="1:5">
      <c r="A1033" s="89"/>
      <c r="B1033" s="89"/>
      <c r="C1033" s="52" t="s">
        <v>342</v>
      </c>
      <c r="D1033" s="52"/>
    </row>
    <row r="1034" spans="1:5">
      <c r="A1034" s="65" t="s">
        <v>1282</v>
      </c>
      <c r="B1034" s="65" t="s">
        <v>5</v>
      </c>
      <c r="C1034" s="54" t="s">
        <v>1283</v>
      </c>
      <c r="D1034" s="54"/>
      <c r="E1034" t="s">
        <v>1230</v>
      </c>
    </row>
    <row r="1035" spans="1:5">
      <c r="A1035" s="66"/>
      <c r="B1035" s="66"/>
      <c r="C1035" s="54" t="s">
        <v>1284</v>
      </c>
      <c r="D1035" s="54"/>
    </row>
    <row r="1036" spans="1:5">
      <c r="A1036" s="66"/>
      <c r="B1036" s="66"/>
      <c r="C1036" s="54" t="s">
        <v>342</v>
      </c>
      <c r="D1036" s="54"/>
    </row>
    <row r="1037" spans="1:5">
      <c r="A1037" s="88" t="s">
        <v>1285</v>
      </c>
      <c r="B1037" s="88" t="s">
        <v>5</v>
      </c>
      <c r="C1037" s="52" t="s">
        <v>1286</v>
      </c>
      <c r="D1037" s="52"/>
    </row>
    <row r="1038" spans="1:5">
      <c r="A1038" s="89"/>
      <c r="B1038" s="89"/>
      <c r="C1038" s="52" t="s">
        <v>1287</v>
      </c>
      <c r="D1038" s="52" t="s">
        <v>1288</v>
      </c>
    </row>
    <row r="1039" spans="1:5">
      <c r="A1039" s="89"/>
      <c r="B1039" s="89"/>
      <c r="C1039" s="52" t="s">
        <v>1289</v>
      </c>
      <c r="D1039" s="52" t="s">
        <v>1290</v>
      </c>
    </row>
    <row r="1040" spans="1:5">
      <c r="A1040" s="89"/>
      <c r="B1040" s="89"/>
      <c r="C1040" s="52" t="s">
        <v>1291</v>
      </c>
      <c r="D1040" s="52" t="s">
        <v>1292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1"/>
    </row>
    <row r="1075" spans="1:3" s="11" customFormat="1">
      <c r="C1075" s="15"/>
    </row>
    <row r="1076" spans="1:3" s="11" customFormat="1">
      <c r="C1076" s="15" t="s">
        <v>502</v>
      </c>
    </row>
    <row r="1077" spans="1:3" s="11" customFormat="1">
      <c r="C1077" s="15" t="s">
        <v>319</v>
      </c>
    </row>
    <row r="1078" spans="1:3" s="11" customFormat="1">
      <c r="C1078" s="15" t="s">
        <v>503</v>
      </c>
    </row>
    <row r="1079" spans="1:3" s="11" customFormat="1">
      <c r="C1079" s="15" t="s">
        <v>505</v>
      </c>
    </row>
    <row r="1080" spans="1:3" s="11" customFormat="1">
      <c r="C1080" s="15"/>
    </row>
    <row r="1081" spans="1:3" s="11" customFormat="1">
      <c r="C1081" s="15" t="s">
        <v>502</v>
      </c>
    </row>
    <row r="1082" spans="1:3" s="11" customFormat="1">
      <c r="C1082" s="15" t="s">
        <v>319</v>
      </c>
    </row>
    <row r="1083" spans="1:3" s="11" customFormat="1">
      <c r="C1083" s="15" t="s">
        <v>503</v>
      </c>
    </row>
    <row r="1084" spans="1:3" s="11" customFormat="1">
      <c r="C1084" s="15" t="s">
        <v>505</v>
      </c>
    </row>
    <row r="1085" spans="1:3" s="11" customFormat="1">
      <c r="C1085" s="15" t="s">
        <v>504</v>
      </c>
    </row>
    <row r="1086" spans="1:3" s="11" customFormat="1">
      <c r="C1086" s="15"/>
    </row>
    <row r="1087" spans="1:3" s="11" customFormat="1">
      <c r="C1087" s="15" t="s">
        <v>502</v>
      </c>
    </row>
    <row r="1088" spans="1:3" s="11" customFormat="1">
      <c r="C1088" s="15" t="s">
        <v>319</v>
      </c>
    </row>
    <row r="1089" spans="3:3" s="11" customFormat="1">
      <c r="C1089" s="15" t="s">
        <v>505</v>
      </c>
    </row>
    <row r="1090" spans="3:3" s="11" customFormat="1">
      <c r="C1090" s="15"/>
    </row>
    <row r="1091" spans="3:3" s="11" customFormat="1">
      <c r="C1091" s="15" t="s">
        <v>1083</v>
      </c>
    </row>
    <row r="1092" spans="3:3" s="11" customFormat="1">
      <c r="C1092" s="15" t="s">
        <v>342</v>
      </c>
    </row>
    <row r="1093" spans="3:3" s="11" customFormat="1">
      <c r="C1093" s="15"/>
    </row>
    <row r="1094" spans="3:3" s="11" customFormat="1">
      <c r="C1094" s="15" t="s">
        <v>628</v>
      </c>
    </row>
    <row r="1095" spans="3:3" s="11" customFormat="1">
      <c r="C1095" s="15" t="s">
        <v>930</v>
      </c>
    </row>
    <row r="1096" spans="3:3" s="11" customFormat="1">
      <c r="C1096" s="15" t="s">
        <v>931</v>
      </c>
    </row>
    <row r="1097" spans="3:3" s="11" customFormat="1">
      <c r="C1097" s="15" t="s">
        <v>934</v>
      </c>
    </row>
    <row r="1098" spans="3:3" s="11" customFormat="1">
      <c r="C1098" s="15" t="s">
        <v>935</v>
      </c>
    </row>
    <row r="1099" spans="3:3" s="11" customFormat="1">
      <c r="C1099" s="15" t="s">
        <v>936</v>
      </c>
    </row>
    <row r="1100" spans="3:3" s="11" customFormat="1">
      <c r="C1100" s="15" t="s">
        <v>937</v>
      </c>
    </row>
    <row r="1101" spans="3:3" s="11" customFormat="1">
      <c r="C1101" s="15" t="s">
        <v>938</v>
      </c>
    </row>
    <row r="1102" spans="3:3" s="11" customFormat="1">
      <c r="C1102" s="15" t="s">
        <v>939</v>
      </c>
    </row>
    <row r="1103" spans="3:3" s="11" customFormat="1">
      <c r="C1103" s="15" t="s">
        <v>941</v>
      </c>
    </row>
    <row r="1104" spans="3:3" s="11" customFormat="1">
      <c r="C1104" s="15" t="s">
        <v>674</v>
      </c>
    </row>
    <row r="1105" spans="3:3" s="11" customFormat="1">
      <c r="C1105" s="15" t="s">
        <v>342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1081</v>
      </c>
    </row>
    <row r="1109" spans="3:3" s="11" customFormat="1">
      <c r="C1109" s="15" t="s">
        <v>1082</v>
      </c>
    </row>
    <row r="1110" spans="3:3" s="11" customFormat="1">
      <c r="C1110" s="15" t="s">
        <v>1084</v>
      </c>
    </row>
    <row r="1111" spans="3:3" s="11" customFormat="1">
      <c r="C1111" s="15" t="s">
        <v>342</v>
      </c>
    </row>
    <row r="1112" spans="3:3" s="11" customFormat="1">
      <c r="C1112" s="15"/>
    </row>
    <row r="1113" spans="3:3" s="11" customFormat="1">
      <c r="C1113" s="15" t="s">
        <v>511</v>
      </c>
    </row>
    <row r="1114" spans="3:3" s="11" customFormat="1">
      <c r="C1114" s="15" t="s">
        <v>512</v>
      </c>
    </row>
    <row r="1115" spans="3:3" s="11" customFormat="1">
      <c r="C1115" s="15" t="s">
        <v>34</v>
      </c>
    </row>
    <row r="1116" spans="3:3" s="11" customFormat="1">
      <c r="C1116" s="15" t="s">
        <v>342</v>
      </c>
    </row>
    <row r="1117" spans="3:3" s="11" customFormat="1">
      <c r="C1117" s="15"/>
    </row>
    <row r="1118" spans="3:3" s="11" customFormat="1">
      <c r="C1118" s="15" t="s">
        <v>517</v>
      </c>
    </row>
    <row r="1119" spans="3:3" s="11" customFormat="1">
      <c r="C1119" s="15" t="s">
        <v>1293</v>
      </c>
    </row>
    <row r="1120" spans="3:3" s="11" customFormat="1">
      <c r="C1120" s="15"/>
    </row>
    <row r="1121" spans="3:3">
      <c r="C1121" s="15" t="s">
        <v>517</v>
      </c>
    </row>
    <row r="1122" spans="3:3" s="11" customFormat="1">
      <c r="C1122" s="15" t="s">
        <v>519</v>
      </c>
    </row>
    <row r="1123" spans="3:3" s="11" customFormat="1">
      <c r="C1123" s="15" t="s">
        <v>521</v>
      </c>
    </row>
    <row r="1124" spans="3:3" s="11" customFormat="1">
      <c r="C1124" s="15" t="s">
        <v>523</v>
      </c>
    </row>
    <row r="1125" spans="3:3">
      <c r="C1125" s="15" t="s">
        <v>528</v>
      </c>
    </row>
    <row r="1126" spans="3:3">
      <c r="C1126" s="15" t="s">
        <v>342</v>
      </c>
    </row>
    <row r="1129" spans="3:3">
      <c r="C1129" s="15" t="s">
        <v>624</v>
      </c>
    </row>
    <row r="1130" spans="3:3">
      <c r="C1130" s="15" t="s">
        <v>625</v>
      </c>
    </row>
    <row r="1131" spans="3:3">
      <c r="C1131" s="15" t="s">
        <v>627</v>
      </c>
    </row>
    <row r="1132" spans="3:3">
      <c r="C1132" s="15" t="s">
        <v>628</v>
      </c>
    </row>
    <row r="1133" spans="3:3">
      <c r="C1133" s="15" t="s">
        <v>629</v>
      </c>
    </row>
    <row r="1134" spans="3:3">
      <c r="C1134" s="15" t="s">
        <v>631</v>
      </c>
    </row>
    <row r="1135" spans="3:3">
      <c r="C1135" s="15" t="s">
        <v>632</v>
      </c>
    </row>
    <row r="1136" spans="3:3">
      <c r="C1136" s="15" t="s">
        <v>633</v>
      </c>
    </row>
    <row r="1137" spans="3:3">
      <c r="C1137" s="15" t="s">
        <v>634</v>
      </c>
    </row>
    <row r="1138" spans="3:3">
      <c r="C1138" s="15" t="s">
        <v>635</v>
      </c>
    </row>
    <row r="1139" spans="3:3">
      <c r="C1139" s="15" t="s">
        <v>636</v>
      </c>
    </row>
    <row r="1140" spans="3:3">
      <c r="C1140" s="15" t="s">
        <v>637</v>
      </c>
    </row>
    <row r="1141" spans="3:3">
      <c r="C1141" s="15" t="s">
        <v>638</v>
      </c>
    </row>
    <row r="1142" spans="3:3">
      <c r="C1142" s="15" t="s">
        <v>639</v>
      </c>
    </row>
    <row r="1143" spans="3:3">
      <c r="C1143" s="15" t="s">
        <v>640</v>
      </c>
    </row>
    <row r="1144" spans="3:3">
      <c r="C1144" s="15" t="s">
        <v>642</v>
      </c>
    </row>
    <row r="1145" spans="3:3">
      <c r="C1145" s="15" t="s">
        <v>643</v>
      </c>
    </row>
    <row r="1146" spans="3:3">
      <c r="C1146" s="15" t="s">
        <v>644</v>
      </c>
    </row>
    <row r="1147" spans="3:3">
      <c r="C1147" s="15" t="s">
        <v>646</v>
      </c>
    </row>
    <row r="1148" spans="3:3">
      <c r="C1148" s="15" t="s">
        <v>647</v>
      </c>
    </row>
    <row r="1149" spans="3:3">
      <c r="C1149" s="15" t="s">
        <v>648</v>
      </c>
    </row>
    <row r="1150" spans="3:3">
      <c r="C1150" s="15" t="s">
        <v>649</v>
      </c>
    </row>
    <row r="1151" spans="3:3">
      <c r="C1151" s="15" t="s">
        <v>650</v>
      </c>
    </row>
    <row r="1152" spans="3:3">
      <c r="C1152" s="15" t="s">
        <v>651</v>
      </c>
    </row>
    <row r="1153" spans="3:3">
      <c r="C1153" s="15" t="s">
        <v>652</v>
      </c>
    </row>
    <row r="1154" spans="3:3">
      <c r="C1154" s="15" t="s">
        <v>653</v>
      </c>
    </row>
    <row r="1155" spans="3:3">
      <c r="C1155" s="15" t="s">
        <v>654</v>
      </c>
    </row>
    <row r="1156" spans="3:3">
      <c r="C1156" s="15" t="s">
        <v>655</v>
      </c>
    </row>
    <row r="1157" spans="3:3">
      <c r="C1157" s="15" t="s">
        <v>656</v>
      </c>
    </row>
    <row r="1158" spans="3:3">
      <c r="C1158" s="15" t="s">
        <v>657</v>
      </c>
    </row>
    <row r="1159" spans="3:3">
      <c r="C1159" s="15" t="s">
        <v>658</v>
      </c>
    </row>
    <row r="1160" spans="3:3">
      <c r="C1160" s="15" t="s">
        <v>659</v>
      </c>
    </row>
    <row r="1161" spans="3:3">
      <c r="C1161" s="15" t="s">
        <v>660</v>
      </c>
    </row>
    <row r="1162" spans="3:3">
      <c r="C1162" s="15" t="s">
        <v>661</v>
      </c>
    </row>
    <row r="1163" spans="3:3" ht="14.4" customHeight="1">
      <c r="C1163" s="15" t="s">
        <v>662</v>
      </c>
    </row>
    <row r="1164" spans="3:3">
      <c r="C1164" s="15" t="s">
        <v>664</v>
      </c>
    </row>
    <row r="1165" spans="3:3">
      <c r="C1165" s="15" t="s">
        <v>665</v>
      </c>
    </row>
    <row r="1166" spans="3:3">
      <c r="C1166" s="15" t="s">
        <v>666</v>
      </c>
    </row>
    <row r="1167" spans="3:3">
      <c r="C1167" s="15" t="s">
        <v>667</v>
      </c>
    </row>
    <row r="1168" spans="3:3">
      <c r="C1168" s="15" t="s">
        <v>669</v>
      </c>
    </row>
    <row r="1169" spans="3:3">
      <c r="C1169" s="15" t="s">
        <v>673</v>
      </c>
    </row>
    <row r="1170" spans="3:3">
      <c r="C1170" s="15" t="s">
        <v>342</v>
      </c>
    </row>
    <row r="1171" spans="3:3">
      <c r="C1171" s="15" t="s">
        <v>675</v>
      </c>
    </row>
    <row r="1172" spans="3:3">
      <c r="C1172" s="15" t="s">
        <v>676</v>
      </c>
    </row>
    <row r="1173" spans="3:3">
      <c r="C1173" s="15" t="s">
        <v>677</v>
      </c>
    </row>
    <row r="1174" spans="3:3">
      <c r="C1174" s="15" t="s">
        <v>678</v>
      </c>
    </row>
    <row r="1175" spans="3:3">
      <c r="C1175" s="15" t="s">
        <v>679</v>
      </c>
    </row>
    <row r="1176" spans="3:3">
      <c r="C1176" s="15" t="s">
        <v>680</v>
      </c>
    </row>
    <row r="1177" spans="3:3">
      <c r="C1177" s="15" t="s">
        <v>681</v>
      </c>
    </row>
    <row r="1178" spans="3:3">
      <c r="C1178" s="15" t="s">
        <v>682</v>
      </c>
    </row>
    <row r="1179" spans="3:3">
      <c r="C1179" s="15" t="s">
        <v>683</v>
      </c>
    </row>
    <row r="1180" spans="3:3">
      <c r="C1180" s="15" t="s">
        <v>684</v>
      </c>
    </row>
    <row r="1181" spans="3:3">
      <c r="C1181" s="15" t="s">
        <v>685</v>
      </c>
    </row>
    <row r="1182" spans="3:3">
      <c r="C1182" s="15" t="s">
        <v>686</v>
      </c>
    </row>
    <row r="1183" spans="3:3">
      <c r="C1183" s="15" t="s">
        <v>687</v>
      </c>
    </row>
    <row r="1184" spans="3:3">
      <c r="C1184" s="15" t="s">
        <v>688</v>
      </c>
    </row>
    <row r="1185" spans="3:3">
      <c r="C1185" s="15" t="s">
        <v>689</v>
      </c>
    </row>
    <row r="1186" spans="3:3">
      <c r="C1186" s="15" t="s">
        <v>690</v>
      </c>
    </row>
    <row r="1187" spans="3:3">
      <c r="C1187" s="15" t="s">
        <v>691</v>
      </c>
    </row>
    <row r="1188" spans="3:3">
      <c r="C1188" s="15" t="s">
        <v>692</v>
      </c>
    </row>
    <row r="1189" spans="3:3">
      <c r="C1189" s="15" t="s">
        <v>694</v>
      </c>
    </row>
    <row r="1190" spans="3:3">
      <c r="C1190" s="15" t="s">
        <v>696</v>
      </c>
    </row>
    <row r="1191" spans="3:3">
      <c r="C1191" s="15" t="s">
        <v>698</v>
      </c>
    </row>
    <row r="1192" spans="3:3">
      <c r="C1192" s="128" t="s">
        <v>699</v>
      </c>
    </row>
    <row r="1193" spans="3:3">
      <c r="C1193" s="15" t="s">
        <v>701</v>
      </c>
    </row>
    <row r="1194" spans="3:3">
      <c r="C1194" s="15" t="s">
        <v>702</v>
      </c>
    </row>
    <row r="1195" spans="3:3">
      <c r="C1195" s="15" t="s">
        <v>703</v>
      </c>
    </row>
    <row r="1196" spans="3:3">
      <c r="C1196" s="15" t="s">
        <v>704</v>
      </c>
    </row>
    <row r="1197" spans="3:3">
      <c r="C1197" s="15" t="s">
        <v>705</v>
      </c>
    </row>
    <row r="1198" spans="3:3">
      <c r="C1198" s="15" t="s">
        <v>706</v>
      </c>
    </row>
    <row r="1199" spans="3:3">
      <c r="C1199" s="15" t="s">
        <v>707</v>
      </c>
    </row>
    <row r="1200" spans="3:3">
      <c r="C1200" s="15" t="s">
        <v>708</v>
      </c>
    </row>
    <row r="1201" spans="3:3">
      <c r="C1201" s="15" t="s">
        <v>710</v>
      </c>
    </row>
    <row r="1202" spans="3:3">
      <c r="C1202" s="15" t="s">
        <v>711</v>
      </c>
    </row>
    <row r="1203" spans="3:3">
      <c r="C1203" s="15" t="s">
        <v>713</v>
      </c>
    </row>
    <row r="1204" spans="3:3">
      <c r="C1204" s="15" t="s">
        <v>714</v>
      </c>
    </row>
    <row r="1205" spans="3:3">
      <c r="C1205" s="15" t="s">
        <v>715</v>
      </c>
    </row>
    <row r="1206" spans="3:3">
      <c r="C1206" s="15" t="s">
        <v>716</v>
      </c>
    </row>
    <row r="1207" spans="3:3">
      <c r="C1207" s="15" t="s">
        <v>717</v>
      </c>
    </row>
    <row r="1208" spans="3:3">
      <c r="C1208" s="15" t="s">
        <v>719</v>
      </c>
    </row>
    <row r="1209" spans="3:3">
      <c r="C1209" s="15" t="s">
        <v>720</v>
      </c>
    </row>
    <row r="1210" spans="3:3">
      <c r="C1210" s="15" t="s">
        <v>721</v>
      </c>
    </row>
    <row r="1211" spans="3:3">
      <c r="C1211" s="15" t="s">
        <v>722</v>
      </c>
    </row>
    <row r="1212" spans="3:3">
      <c r="C1212" s="15" t="s">
        <v>723</v>
      </c>
    </row>
    <row r="1213" spans="3:3">
      <c r="C1213" s="15" t="s">
        <v>724</v>
      </c>
    </row>
    <row r="1214" spans="3:3">
      <c r="C1214" s="15" t="s">
        <v>725</v>
      </c>
    </row>
    <row r="1215" spans="3:3">
      <c r="C1215" s="15" t="s">
        <v>726</v>
      </c>
    </row>
    <row r="1216" spans="3:3">
      <c r="C1216" s="15" t="s">
        <v>728</v>
      </c>
    </row>
    <row r="1217" spans="3:3">
      <c r="C1217" s="15" t="s">
        <v>729</v>
      </c>
    </row>
    <row r="1218" spans="3:3">
      <c r="C1218" s="15" t="s">
        <v>730</v>
      </c>
    </row>
    <row r="1219" spans="3:3">
      <c r="C1219" s="15" t="s">
        <v>731</v>
      </c>
    </row>
    <row r="1220" spans="3:3">
      <c r="C1220" s="15" t="s">
        <v>732</v>
      </c>
    </row>
    <row r="1221" spans="3:3">
      <c r="C1221" s="15" t="s">
        <v>733</v>
      </c>
    </row>
    <row r="1222" spans="3:3">
      <c r="C1222" s="15" t="s">
        <v>734</v>
      </c>
    </row>
    <row r="1223" spans="3:3">
      <c r="C1223" s="15" t="s">
        <v>735</v>
      </c>
    </row>
    <row r="1224" spans="3:3">
      <c r="C1224" s="15" t="s">
        <v>736</v>
      </c>
    </row>
    <row r="1225" spans="3:3">
      <c r="C1225" s="15" t="s">
        <v>737</v>
      </c>
    </row>
    <row r="1226" spans="3:3">
      <c r="C1226" s="15" t="s">
        <v>738</v>
      </c>
    </row>
    <row r="1227" spans="3:3">
      <c r="C1227" s="15" t="s">
        <v>739</v>
      </c>
    </row>
    <row r="1228" spans="3:3">
      <c r="C1228" s="15" t="s">
        <v>740</v>
      </c>
    </row>
    <row r="1229" spans="3:3">
      <c r="C1229" s="15" t="s">
        <v>741</v>
      </c>
    </row>
    <row r="1230" spans="3:3">
      <c r="C1230" s="15" t="s">
        <v>742</v>
      </c>
    </row>
    <row r="1231" spans="3:3">
      <c r="C1231" s="15" t="s">
        <v>743</v>
      </c>
    </row>
    <row r="1232" spans="3:3">
      <c r="C1232" s="15" t="s">
        <v>744</v>
      </c>
    </row>
    <row r="1233" spans="3:3">
      <c r="C1233" s="15" t="s">
        <v>745</v>
      </c>
    </row>
    <row r="1234" spans="3:3">
      <c r="C1234" s="15" t="s">
        <v>746</v>
      </c>
    </row>
    <row r="1235" spans="3:3">
      <c r="C1235" s="15" t="s">
        <v>747</v>
      </c>
    </row>
    <row r="1236" spans="3:3">
      <c r="C1236" s="15" t="s">
        <v>748</v>
      </c>
    </row>
    <row r="1237" spans="3:3">
      <c r="C1237" s="15" t="s">
        <v>750</v>
      </c>
    </row>
    <row r="1238" spans="3:3">
      <c r="C1238" s="15" t="s">
        <v>751</v>
      </c>
    </row>
    <row r="1239" spans="3:3">
      <c r="C1239" s="15" t="s">
        <v>752</v>
      </c>
    </row>
    <row r="1240" spans="3:3">
      <c r="C1240" s="15" t="s">
        <v>753</v>
      </c>
    </row>
    <row r="1241" spans="3:3">
      <c r="C1241" s="15" t="s">
        <v>754</v>
      </c>
    </row>
    <row r="1242" spans="3:3">
      <c r="C1242" s="15" t="s">
        <v>755</v>
      </c>
    </row>
    <row r="1243" spans="3:3">
      <c r="C1243" s="15" t="s">
        <v>756</v>
      </c>
    </row>
    <row r="1244" spans="3:3">
      <c r="C1244" s="15" t="s">
        <v>757</v>
      </c>
    </row>
    <row r="1245" spans="3:3">
      <c r="C1245" s="15" t="s">
        <v>758</v>
      </c>
    </row>
    <row r="1248" spans="3:3">
      <c r="C1248" s="15" t="s">
        <v>518</v>
      </c>
    </row>
    <row r="1249" spans="3:3">
      <c r="C1249" s="15" t="s">
        <v>519</v>
      </c>
    </row>
    <row r="1250" spans="3:3">
      <c r="C1250" s="15" t="s">
        <v>521</v>
      </c>
    </row>
    <row r="1251" spans="3:3">
      <c r="C1251" s="15" t="s">
        <v>524</v>
      </c>
    </row>
    <row r="1252" spans="3:3">
      <c r="C1252" s="15" t="s">
        <v>526</v>
      </c>
    </row>
    <row r="1253" spans="3:3">
      <c r="C1253" s="15" t="s">
        <v>342</v>
      </c>
    </row>
    <row r="1255" spans="3:3">
      <c r="C1255" s="15" t="s">
        <v>518</v>
      </c>
    </row>
    <row r="1256" spans="3:3">
      <c r="C1256" s="15" t="s">
        <v>523</v>
      </c>
    </row>
    <row r="1257" spans="3:3">
      <c r="C1257" s="15" t="s">
        <v>528</v>
      </c>
    </row>
    <row r="1258" spans="3:3">
      <c r="C1258" s="15" t="s">
        <v>519</v>
      </c>
    </row>
    <row r="1259" spans="3:3">
      <c r="C1259" s="15" t="s">
        <v>342</v>
      </c>
    </row>
    <row r="1261" spans="3:3">
      <c r="C1261" s="15" t="s">
        <v>517</v>
      </c>
    </row>
    <row r="1262" spans="3:3">
      <c r="C1262" s="15" t="s">
        <v>519</v>
      </c>
    </row>
    <row r="1263" spans="3:3">
      <c r="C1263" s="15" t="s">
        <v>526</v>
      </c>
    </row>
    <row r="1264" spans="3:3">
      <c r="C1264" s="15" t="s">
        <v>524</v>
      </c>
    </row>
    <row r="1265" spans="3:3">
      <c r="C1265" s="15" t="s">
        <v>342</v>
      </c>
    </row>
    <row r="1267" spans="3:3">
      <c r="C1267" s="15" t="s">
        <v>518</v>
      </c>
    </row>
    <row r="1268" spans="3:3">
      <c r="C1268" s="15" t="s">
        <v>519</v>
      </c>
    </row>
    <row r="1269" spans="3:3">
      <c r="C1269" s="15" t="s">
        <v>342</v>
      </c>
    </row>
    <row r="1272" spans="3:3">
      <c r="C1272" s="15" t="s">
        <v>517</v>
      </c>
    </row>
    <row r="1273" spans="3:3">
      <c r="C1273" s="15" t="s">
        <v>519</v>
      </c>
    </row>
    <row r="1274" spans="3:3">
      <c r="C1274" s="15" t="s">
        <v>521</v>
      </c>
    </row>
    <row r="1275" spans="3:3">
      <c r="C1275" s="15" t="s">
        <v>523</v>
      </c>
    </row>
    <row r="1276" spans="3:3">
      <c r="C1276" s="15" t="s">
        <v>524</v>
      </c>
    </row>
    <row r="1277" spans="3:3">
      <c r="C1277" s="15" t="s">
        <v>525</v>
      </c>
    </row>
    <row r="1278" spans="3:3">
      <c r="C1278" s="15" t="s">
        <v>526</v>
      </c>
    </row>
    <row r="1279" spans="3:3">
      <c r="C1279" s="15" t="s">
        <v>527</v>
      </c>
    </row>
    <row r="1280" spans="3:3">
      <c r="C1280" s="15" t="s">
        <v>528</v>
      </c>
    </row>
    <row r="1281" spans="3:3">
      <c r="C1281" s="15" t="s">
        <v>342</v>
      </c>
    </row>
    <row r="1283" spans="3:3">
      <c r="C1283" s="15" t="s">
        <v>32</v>
      </c>
    </row>
    <row r="1284" spans="3:3">
      <c r="C1284" s="15" t="s">
        <v>532</v>
      </c>
    </row>
    <row r="1285" spans="3:3">
      <c r="C1285" s="15" t="s">
        <v>156</v>
      </c>
    </row>
    <row r="1286" spans="3:3">
      <c r="C1286" s="15" t="s">
        <v>535</v>
      </c>
    </row>
    <row r="1287" spans="3:3">
      <c r="C1287" s="15" t="s">
        <v>537</v>
      </c>
    </row>
    <row r="1288" spans="3:3">
      <c r="C1288" s="15" t="s">
        <v>539</v>
      </c>
    </row>
    <row r="1289" spans="3:3">
      <c r="C1289" s="15" t="s">
        <v>541</v>
      </c>
    </row>
    <row r="1290" spans="3:3">
      <c r="C1290" s="15" t="s">
        <v>543</v>
      </c>
    </row>
    <row r="1291" spans="3:3">
      <c r="C1291" s="15" t="s">
        <v>545</v>
      </c>
    </row>
    <row r="1292" spans="3:3">
      <c r="C1292" s="15" t="s">
        <v>547</v>
      </c>
    </row>
    <row r="1293" spans="3:3">
      <c r="C1293" s="15" t="s">
        <v>549</v>
      </c>
    </row>
    <row r="1294" spans="3:3">
      <c r="C1294" s="15" t="s">
        <v>551</v>
      </c>
    </row>
    <row r="1295" spans="3:3">
      <c r="C1295" s="15" t="s">
        <v>553</v>
      </c>
    </row>
    <row r="1296" spans="3:3">
      <c r="C1296" s="15" t="s">
        <v>555</v>
      </c>
    </row>
    <row r="1297" spans="3:3">
      <c r="C1297" s="15" t="s">
        <v>557</v>
      </c>
    </row>
    <row r="1298" spans="3:3">
      <c r="C1298" s="15" t="s">
        <v>559</v>
      </c>
    </row>
    <row r="1299" spans="3:3">
      <c r="C1299" s="15" t="s">
        <v>561</v>
      </c>
    </row>
    <row r="1300" spans="3:3">
      <c r="C1300" s="15" t="s">
        <v>563</v>
      </c>
    </row>
    <row r="1301" spans="3:3">
      <c r="C1301" s="15" t="s">
        <v>565</v>
      </c>
    </row>
    <row r="1302" spans="3:3">
      <c r="C1302" s="15" t="s">
        <v>567</v>
      </c>
    </row>
    <row r="1303" spans="3:3">
      <c r="C1303" s="15" t="s">
        <v>569</v>
      </c>
    </row>
    <row r="1304" spans="3:3">
      <c r="C1304" s="15" t="s">
        <v>571</v>
      </c>
    </row>
    <row r="1305" spans="3:3">
      <c r="C1305" s="15" t="s">
        <v>573</v>
      </c>
    </row>
    <row r="1306" spans="3:3">
      <c r="C1306" s="15" t="s">
        <v>575</v>
      </c>
    </row>
    <row r="1307" spans="3:3">
      <c r="C1307" s="15" t="s">
        <v>577</v>
      </c>
    </row>
    <row r="1308" spans="3:3">
      <c r="C1308" s="15" t="s">
        <v>579</v>
      </c>
    </row>
    <row r="1309" spans="3:3">
      <c r="C1309" s="15" t="s">
        <v>581</v>
      </c>
    </row>
    <row r="1310" spans="3:3">
      <c r="C1310" s="15" t="s">
        <v>583</v>
      </c>
    </row>
    <row r="1311" spans="3:3">
      <c r="C1311" s="15" t="s">
        <v>585</v>
      </c>
    </row>
    <row r="1312" spans="3:3">
      <c r="C1312" s="15" t="s">
        <v>587</v>
      </c>
    </row>
    <row r="1313" spans="3:3">
      <c r="C1313" s="15" t="s">
        <v>589</v>
      </c>
    </row>
    <row r="1314" spans="3:3">
      <c r="C1314" s="15" t="s">
        <v>591</v>
      </c>
    </row>
    <row r="1315" spans="3:3">
      <c r="C1315" s="15" t="s">
        <v>342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4.4" outlineLevelRow="1"/>
  <cols>
    <col min="1" max="1" width="25.6640625" style="58" customWidth="1"/>
    <col min="2" max="2" width="48.77734375" style="58" customWidth="1"/>
    <col min="3" max="3" width="12" customWidth="1"/>
    <col min="4" max="4" width="23.44140625" style="1" customWidth="1"/>
    <col min="5" max="5" width="14.21875" customWidth="1"/>
  </cols>
  <sheetData>
    <row r="1" spans="1:5" ht="15.6">
      <c r="A1" s="106" t="s">
        <v>1294</v>
      </c>
      <c r="B1" s="107" t="s">
        <v>1295</v>
      </c>
      <c r="C1" s="107" t="s">
        <v>1296</v>
      </c>
      <c r="D1" s="108" t="s">
        <v>1297</v>
      </c>
      <c r="E1" s="122"/>
    </row>
    <row r="2" spans="1:5" ht="15.6" outlineLevel="1">
      <c r="A2" s="37" t="s">
        <v>1140</v>
      </c>
      <c r="B2" s="38" t="s">
        <v>0</v>
      </c>
      <c r="C2" s="37">
        <v>5.0999999999999996</v>
      </c>
      <c r="D2" s="110"/>
    </row>
    <row r="3" spans="1:5" ht="15.6" outlineLevel="1">
      <c r="A3" s="37" t="s">
        <v>1140</v>
      </c>
      <c r="B3" s="38" t="s">
        <v>1</v>
      </c>
      <c r="C3" s="37">
        <v>5.2</v>
      </c>
      <c r="D3" s="110"/>
    </row>
    <row r="4" spans="1:5" ht="15.6" outlineLevel="1">
      <c r="A4" s="37" t="s">
        <v>1140</v>
      </c>
      <c r="B4" s="38" t="s">
        <v>346</v>
      </c>
      <c r="C4" s="37">
        <v>5.4</v>
      </c>
      <c r="D4" s="110"/>
    </row>
    <row r="5" spans="1:5" ht="15.6" outlineLevel="1">
      <c r="A5" s="37" t="s">
        <v>1140</v>
      </c>
      <c r="B5" s="38" t="s">
        <v>347</v>
      </c>
      <c r="C5" s="37">
        <v>5.7</v>
      </c>
      <c r="D5" s="110"/>
    </row>
    <row r="6" spans="1:5" ht="15.6" outlineLevel="1">
      <c r="A6" s="37" t="s">
        <v>1140</v>
      </c>
      <c r="B6" s="38" t="s">
        <v>348</v>
      </c>
      <c r="C6" s="37">
        <v>5.1100000000000003</v>
      </c>
      <c r="D6" s="110"/>
    </row>
    <row r="7" spans="1:5" ht="15.6" outlineLevel="1">
      <c r="A7" s="37" t="s">
        <v>1140</v>
      </c>
      <c r="B7" s="38" t="s">
        <v>5</v>
      </c>
      <c r="C7" s="37">
        <v>5.26</v>
      </c>
      <c r="D7" s="110"/>
    </row>
    <row r="8" spans="1:5" ht="15.6" outlineLevel="1">
      <c r="A8" s="37" t="s">
        <v>1140</v>
      </c>
      <c r="B8" s="38" t="s">
        <v>6</v>
      </c>
      <c r="C8" s="37">
        <v>5.27</v>
      </c>
      <c r="D8" s="110"/>
    </row>
    <row r="9" spans="1:5" ht="15.6" outlineLevel="1">
      <c r="A9" s="37" t="s">
        <v>1140</v>
      </c>
      <c r="B9" s="38" t="s">
        <v>298</v>
      </c>
      <c r="C9" s="37">
        <v>5.36</v>
      </c>
      <c r="D9" s="110"/>
    </row>
    <row r="10" spans="1:5" ht="15.6" outlineLevel="1">
      <c r="A10" s="37" t="s">
        <v>1140</v>
      </c>
      <c r="B10" s="38" t="s">
        <v>350</v>
      </c>
      <c r="C10" s="39">
        <v>5.5</v>
      </c>
      <c r="D10" s="110"/>
    </row>
    <row r="11" spans="1:5" ht="15.6" outlineLevel="1">
      <c r="A11" s="37" t="s">
        <v>1140</v>
      </c>
      <c r="B11" s="38" t="s">
        <v>10</v>
      </c>
      <c r="C11" s="37">
        <v>5.51</v>
      </c>
      <c r="D11" s="110"/>
    </row>
    <row r="12" spans="1:5" ht="15.6" outlineLevel="1">
      <c r="A12" s="37" t="s">
        <v>1140</v>
      </c>
      <c r="B12" s="38" t="s">
        <v>11</v>
      </c>
      <c r="C12" s="37">
        <v>5.53</v>
      </c>
      <c r="D12" s="110"/>
    </row>
    <row r="13" spans="1:5" ht="15.6" outlineLevel="1">
      <c r="A13" s="37" t="s">
        <v>1140</v>
      </c>
      <c r="B13" s="38" t="s">
        <v>308</v>
      </c>
      <c r="C13" s="37">
        <v>5.59</v>
      </c>
      <c r="D13" s="110"/>
    </row>
    <row r="14" spans="1:5" ht="15.6" outlineLevel="1">
      <c r="A14" s="37" t="s">
        <v>1140</v>
      </c>
      <c r="B14" s="38" t="s">
        <v>18</v>
      </c>
      <c r="C14" s="37">
        <v>5.54</v>
      </c>
      <c r="D14" s="110"/>
    </row>
    <row r="15" spans="1:5" ht="15.6" outlineLevel="1">
      <c r="A15" s="37" t="s">
        <v>1140</v>
      </c>
      <c r="B15" s="38" t="s">
        <v>14</v>
      </c>
      <c r="C15" s="39">
        <v>5.7</v>
      </c>
      <c r="D15" s="109" t="s">
        <v>1298</v>
      </c>
    </row>
    <row r="16" spans="1:5" ht="15.6" outlineLevel="1">
      <c r="A16" s="37" t="s">
        <v>1140</v>
      </c>
      <c r="B16" s="38" t="s">
        <v>20</v>
      </c>
      <c r="C16" s="37">
        <v>5.63</v>
      </c>
      <c r="D16" s="110"/>
    </row>
    <row r="17" spans="1:4" ht="15.6" outlineLevel="1">
      <c r="A17" s="37" t="s">
        <v>1140</v>
      </c>
      <c r="B17" s="38" t="s">
        <v>24</v>
      </c>
      <c r="C17" s="37">
        <v>5.47</v>
      </c>
      <c r="D17" s="110"/>
    </row>
    <row r="18" spans="1:4" ht="15.6" outlineLevel="1">
      <c r="A18" s="37" t="s">
        <v>1140</v>
      </c>
      <c r="B18" s="38" t="s">
        <v>25</v>
      </c>
      <c r="C18" s="37">
        <v>5.48</v>
      </c>
      <c r="D18" s="110"/>
    </row>
    <row r="19" spans="1:4" ht="15.6">
      <c r="A19" s="43" t="s">
        <v>1140</v>
      </c>
      <c r="B19" s="38"/>
      <c r="C19" s="37"/>
      <c r="D19" s="110"/>
    </row>
    <row r="20" spans="1:4" ht="15.6" outlineLevel="1">
      <c r="A20" s="37" t="s">
        <v>1150</v>
      </c>
      <c r="B20" s="38" t="s">
        <v>0</v>
      </c>
      <c r="C20" s="37">
        <v>5.0999999999999996</v>
      </c>
      <c r="D20" s="110"/>
    </row>
    <row r="21" spans="1:4" ht="15.6" outlineLevel="1">
      <c r="A21" s="37" t="s">
        <v>1150</v>
      </c>
      <c r="B21" s="38" t="s">
        <v>1</v>
      </c>
      <c r="C21" s="37">
        <v>5.2</v>
      </c>
      <c r="D21" s="110"/>
    </row>
    <row r="22" spans="1:4" ht="15.6" outlineLevel="1">
      <c r="A22" s="37" t="s">
        <v>1150</v>
      </c>
      <c r="B22" s="38" t="s">
        <v>2</v>
      </c>
      <c r="C22" s="37">
        <v>5.3</v>
      </c>
      <c r="D22" s="110"/>
    </row>
    <row r="23" spans="1:4" ht="15.6" outlineLevel="1">
      <c r="A23" s="37" t="s">
        <v>1150</v>
      </c>
      <c r="B23" s="38" t="s">
        <v>1299</v>
      </c>
      <c r="C23" s="37">
        <v>5.14</v>
      </c>
      <c r="D23" s="110"/>
    </row>
    <row r="24" spans="1:4" ht="15.6" outlineLevel="1">
      <c r="A24" s="37" t="s">
        <v>1150</v>
      </c>
      <c r="B24" s="38" t="s">
        <v>4</v>
      </c>
      <c r="C24" s="37">
        <v>5.19</v>
      </c>
      <c r="D24" s="110"/>
    </row>
    <row r="25" spans="1:4" ht="15.6" outlineLevel="1">
      <c r="A25" s="37" t="s">
        <v>1150</v>
      </c>
      <c r="B25" s="38" t="s">
        <v>5</v>
      </c>
      <c r="C25" s="37">
        <v>5.26</v>
      </c>
      <c r="D25" s="110"/>
    </row>
    <row r="26" spans="1:4" ht="15.6" outlineLevel="1">
      <c r="A26" s="37" t="s">
        <v>1150</v>
      </c>
      <c r="B26" s="38" t="s">
        <v>6</v>
      </c>
      <c r="C26" s="37">
        <v>5.27</v>
      </c>
      <c r="D26" s="110"/>
    </row>
    <row r="27" spans="1:4" ht="15.6" outlineLevel="1">
      <c r="A27" s="37" t="s">
        <v>1150</v>
      </c>
      <c r="B27" s="38" t="s">
        <v>7</v>
      </c>
      <c r="C27" s="37">
        <v>5.28</v>
      </c>
      <c r="D27" s="110"/>
    </row>
    <row r="28" spans="1:4" ht="15.6" outlineLevel="1">
      <c r="A28" s="37" t="s">
        <v>1150</v>
      </c>
      <c r="B28" s="38" t="s">
        <v>8</v>
      </c>
      <c r="C28" s="39">
        <v>5.3</v>
      </c>
      <c r="D28" s="110"/>
    </row>
    <row r="29" spans="1:4" ht="15.6" outlineLevel="1">
      <c r="A29" s="37" t="s">
        <v>1150</v>
      </c>
      <c r="B29" s="38" t="s">
        <v>9</v>
      </c>
      <c r="C29" s="37">
        <v>5.49</v>
      </c>
      <c r="D29" s="110"/>
    </row>
    <row r="30" spans="1:4" ht="15.6" outlineLevel="1">
      <c r="A30" s="37" t="s">
        <v>1150</v>
      </c>
      <c r="B30" s="38" t="s">
        <v>10</v>
      </c>
      <c r="C30" s="37">
        <v>5.51</v>
      </c>
      <c r="D30" s="110"/>
    </row>
    <row r="31" spans="1:4" ht="15.6" outlineLevel="1">
      <c r="A31" s="37" t="s">
        <v>1150</v>
      </c>
      <c r="B31" s="38" t="s">
        <v>11</v>
      </c>
      <c r="C31" s="37">
        <v>5.53</v>
      </c>
      <c r="D31" s="110"/>
    </row>
    <row r="32" spans="1:4" ht="15.6" outlineLevel="1">
      <c r="A32" s="37" t="s">
        <v>1150</v>
      </c>
      <c r="B32" s="38" t="s">
        <v>12</v>
      </c>
      <c r="C32" s="37">
        <v>5.69</v>
      </c>
      <c r="D32" s="110"/>
    </row>
    <row r="33" spans="1:4" ht="15.6" outlineLevel="1">
      <c r="A33" s="37" t="s">
        <v>1150</v>
      </c>
      <c r="B33" s="38" t="s">
        <v>13</v>
      </c>
      <c r="C33" s="37">
        <v>5.75</v>
      </c>
      <c r="D33" s="110"/>
    </row>
    <row r="34" spans="1:4" ht="15.6" outlineLevel="1">
      <c r="A34" s="37" t="s">
        <v>1150</v>
      </c>
      <c r="B34" s="38" t="s">
        <v>14</v>
      </c>
      <c r="C34" s="39">
        <v>5.7</v>
      </c>
      <c r="D34" s="110"/>
    </row>
    <row r="35" spans="1:4" ht="15.6" outlineLevel="1">
      <c r="A35" s="37" t="s">
        <v>1150</v>
      </c>
      <c r="B35" s="38" t="s">
        <v>15</v>
      </c>
      <c r="C35" s="37">
        <v>5.74</v>
      </c>
      <c r="D35" s="110"/>
    </row>
    <row r="36" spans="1:4" ht="15.6" outlineLevel="1">
      <c r="A36" s="37" t="s">
        <v>1150</v>
      </c>
      <c r="B36" s="38" t="s">
        <v>16</v>
      </c>
      <c r="C36" s="37">
        <v>5.62</v>
      </c>
      <c r="D36" s="110"/>
    </row>
    <row r="37" spans="1:4" ht="15.6" outlineLevel="1">
      <c r="A37" s="37" t="s">
        <v>1150</v>
      </c>
      <c r="B37" s="38" t="s">
        <v>17</v>
      </c>
      <c r="C37" s="37">
        <v>5.58</v>
      </c>
      <c r="D37" s="110"/>
    </row>
    <row r="38" spans="1:4" ht="15.6" outlineLevel="1">
      <c r="A38" s="37" t="s">
        <v>1150</v>
      </c>
      <c r="B38" s="38" t="s">
        <v>18</v>
      </c>
      <c r="C38" s="37">
        <v>5.54</v>
      </c>
      <c r="D38" s="110"/>
    </row>
    <row r="39" spans="1:4" ht="15.6" outlineLevel="1">
      <c r="A39" s="37" t="s">
        <v>1150</v>
      </c>
      <c r="B39" s="38" t="s">
        <v>19</v>
      </c>
      <c r="C39" s="37">
        <v>5.55</v>
      </c>
      <c r="D39" s="110"/>
    </row>
    <row r="40" spans="1:4" ht="15.6" outlineLevel="1">
      <c r="A40" s="37" t="s">
        <v>1150</v>
      </c>
      <c r="B40" s="38" t="s">
        <v>20</v>
      </c>
      <c r="C40" s="37">
        <v>5.63</v>
      </c>
      <c r="D40" s="110"/>
    </row>
    <row r="41" spans="1:4" ht="15.6" outlineLevel="1">
      <c r="A41" s="37" t="s">
        <v>1150</v>
      </c>
      <c r="B41" s="38" t="s">
        <v>21</v>
      </c>
      <c r="C41" s="37">
        <v>5.65</v>
      </c>
      <c r="D41" s="110"/>
    </row>
    <row r="42" spans="1:4" ht="15.6" outlineLevel="1">
      <c r="A42" s="37" t="s">
        <v>1150</v>
      </c>
      <c r="B42" s="38" t="s">
        <v>22</v>
      </c>
      <c r="C42" s="37">
        <v>5.68</v>
      </c>
      <c r="D42" s="110"/>
    </row>
    <row r="43" spans="1:4" ht="15.6" outlineLevel="1">
      <c r="A43" s="37" t="s">
        <v>1150</v>
      </c>
      <c r="B43" s="38" t="s">
        <v>23</v>
      </c>
      <c r="C43" s="37">
        <v>5.45</v>
      </c>
      <c r="D43" s="110"/>
    </row>
    <row r="44" spans="1:4" ht="15.6" outlineLevel="1">
      <c r="A44" s="37" t="s">
        <v>1150</v>
      </c>
      <c r="B44" s="38" t="s">
        <v>24</v>
      </c>
      <c r="C44" s="37">
        <v>5.47</v>
      </c>
      <c r="D44" s="110"/>
    </row>
    <row r="45" spans="1:4" ht="15.6" outlineLevel="1">
      <c r="A45" s="37" t="s">
        <v>1150</v>
      </c>
      <c r="B45" s="38" t="s">
        <v>25</v>
      </c>
      <c r="C45" s="37">
        <v>5.48</v>
      </c>
      <c r="D45" s="110"/>
    </row>
    <row r="46" spans="1:4" ht="15.6">
      <c r="A46" s="43" t="s">
        <v>1150</v>
      </c>
      <c r="B46" s="38"/>
      <c r="C46" s="37"/>
      <c r="D46" s="110"/>
    </row>
    <row r="47" spans="1:4" ht="15.6" outlineLevel="1">
      <c r="A47" s="37" t="s">
        <v>1152</v>
      </c>
      <c r="B47" s="38" t="s">
        <v>0</v>
      </c>
      <c r="C47" s="37">
        <v>5.0999999999999996</v>
      </c>
      <c r="D47" s="110"/>
    </row>
    <row r="48" spans="1:4" ht="15.6" outlineLevel="1">
      <c r="A48" s="37" t="s">
        <v>1152</v>
      </c>
      <c r="B48" s="38" t="s">
        <v>1</v>
      </c>
      <c r="C48" s="37">
        <v>5.2</v>
      </c>
      <c r="D48" s="110"/>
    </row>
    <row r="49" spans="1:4" ht="15.6" outlineLevel="1">
      <c r="A49" s="37" t="s">
        <v>1152</v>
      </c>
      <c r="B49" s="38" t="s">
        <v>2</v>
      </c>
      <c r="C49" s="37">
        <v>5.3</v>
      </c>
      <c r="D49" s="110"/>
    </row>
    <row r="50" spans="1:4" ht="15.6" outlineLevel="1">
      <c r="A50" s="37" t="s">
        <v>1152</v>
      </c>
      <c r="B50" s="38" t="s">
        <v>319</v>
      </c>
      <c r="C50" s="37">
        <v>5.6</v>
      </c>
      <c r="D50" s="110"/>
    </row>
    <row r="51" spans="1:4" ht="15.6" outlineLevel="1">
      <c r="A51" s="37" t="s">
        <v>1152</v>
      </c>
      <c r="B51" s="38" t="s">
        <v>1300</v>
      </c>
      <c r="C51" s="39">
        <v>5.0999999999999996</v>
      </c>
      <c r="D51" s="110"/>
    </row>
    <row r="52" spans="1:4" ht="15.6" outlineLevel="1">
      <c r="A52" s="37" t="s">
        <v>1152</v>
      </c>
      <c r="B52" s="38" t="s">
        <v>1299</v>
      </c>
      <c r="C52" s="37">
        <v>5.14</v>
      </c>
      <c r="D52" s="110"/>
    </row>
    <row r="53" spans="1:4" ht="15.6" outlineLevel="1">
      <c r="A53" s="37" t="s">
        <v>1152</v>
      </c>
      <c r="B53" s="38" t="s">
        <v>4</v>
      </c>
      <c r="C53" s="37">
        <v>5.19</v>
      </c>
      <c r="D53" s="110"/>
    </row>
    <row r="54" spans="1:4" ht="15.6" outlineLevel="1">
      <c r="A54" s="37" t="s">
        <v>1152</v>
      </c>
      <c r="B54" s="38" t="s">
        <v>321</v>
      </c>
      <c r="C54" s="37">
        <v>5.24</v>
      </c>
      <c r="D54" s="110"/>
    </row>
    <row r="55" spans="1:4" ht="15.6" outlineLevel="1">
      <c r="A55" s="37" t="s">
        <v>1152</v>
      </c>
      <c r="B55" s="38" t="s">
        <v>5</v>
      </c>
      <c r="C55" s="37">
        <v>5.26</v>
      </c>
      <c r="D55" s="110"/>
    </row>
    <row r="56" spans="1:4" ht="15.6" outlineLevel="1">
      <c r="A56" s="37" t="s">
        <v>1152</v>
      </c>
      <c r="B56" s="38" t="s">
        <v>6</v>
      </c>
      <c r="C56" s="37">
        <v>5.27</v>
      </c>
      <c r="D56" s="110"/>
    </row>
    <row r="57" spans="1:4" ht="15.6" outlineLevel="1">
      <c r="A57" s="37" t="s">
        <v>1152</v>
      </c>
      <c r="B57" s="38" t="s">
        <v>7</v>
      </c>
      <c r="C57" s="37">
        <v>5.28</v>
      </c>
      <c r="D57" s="110"/>
    </row>
    <row r="58" spans="1:4" ht="15.6" outlineLevel="1">
      <c r="A58" s="37" t="s">
        <v>1152</v>
      </c>
      <c r="B58" s="38" t="s">
        <v>8</v>
      </c>
      <c r="C58" s="39">
        <v>5.3</v>
      </c>
      <c r="D58" s="110"/>
    </row>
    <row r="59" spans="1:4" ht="15.6" outlineLevel="1">
      <c r="A59" s="37" t="s">
        <v>1152</v>
      </c>
      <c r="B59" s="38" t="s">
        <v>322</v>
      </c>
      <c r="C59" s="37">
        <v>5.31</v>
      </c>
      <c r="D59" s="110"/>
    </row>
    <row r="60" spans="1:4" ht="15.6" outlineLevel="1">
      <c r="A60" s="37" t="s">
        <v>1152</v>
      </c>
      <c r="B60" s="38" t="s">
        <v>298</v>
      </c>
      <c r="C60" s="37">
        <v>5.36</v>
      </c>
      <c r="D60" s="110"/>
    </row>
    <row r="61" spans="1:4" ht="15.6" outlineLevel="1">
      <c r="A61" s="37" t="s">
        <v>1152</v>
      </c>
      <c r="B61" s="38" t="s">
        <v>9</v>
      </c>
      <c r="C61" s="37">
        <v>5.49</v>
      </c>
      <c r="D61" s="110"/>
    </row>
    <row r="62" spans="1:4" ht="15.6" outlineLevel="1">
      <c r="A62" s="37" t="s">
        <v>1152</v>
      </c>
      <c r="B62" s="38" t="s">
        <v>10</v>
      </c>
      <c r="C62" s="37">
        <v>5.51</v>
      </c>
      <c r="D62" s="110"/>
    </row>
    <row r="63" spans="1:4" ht="15.6" outlineLevel="1">
      <c r="A63" s="37" t="s">
        <v>1152</v>
      </c>
      <c r="B63" s="38" t="s">
        <v>1301</v>
      </c>
      <c r="C63" s="37">
        <v>5.52</v>
      </c>
      <c r="D63" s="110"/>
    </row>
    <row r="64" spans="1:4" ht="15.6" outlineLevel="1">
      <c r="A64" s="37" t="s">
        <v>1152</v>
      </c>
      <c r="B64" s="38" t="s">
        <v>11</v>
      </c>
      <c r="C64" s="37">
        <v>5.53</v>
      </c>
      <c r="D64" s="110"/>
    </row>
    <row r="65" spans="1:4" ht="15.6" outlineLevel="1">
      <c r="A65" s="37" t="s">
        <v>1152</v>
      </c>
      <c r="B65" s="38" t="s">
        <v>12</v>
      </c>
      <c r="C65" s="37">
        <v>5.69</v>
      </c>
      <c r="D65" s="110"/>
    </row>
    <row r="66" spans="1:4" ht="15.6" outlineLevel="1">
      <c r="A66" s="37" t="s">
        <v>1152</v>
      </c>
      <c r="B66" s="38" t="s">
        <v>1099</v>
      </c>
      <c r="C66" s="39">
        <v>5.72</v>
      </c>
      <c r="D66" s="110"/>
    </row>
    <row r="67" spans="1:4" ht="15.6" outlineLevel="1">
      <c r="A67" s="37" t="s">
        <v>1152</v>
      </c>
      <c r="B67" s="38" t="s">
        <v>13</v>
      </c>
      <c r="C67" s="37">
        <v>5.75</v>
      </c>
      <c r="D67" s="110"/>
    </row>
    <row r="68" spans="1:4" ht="15.6" outlineLevel="1">
      <c r="A68" s="37" t="s">
        <v>1152</v>
      </c>
      <c r="B68" s="38" t="s">
        <v>14</v>
      </c>
      <c r="C68" s="39">
        <v>5.7</v>
      </c>
      <c r="D68" s="110"/>
    </row>
    <row r="69" spans="1:4" ht="15.6" outlineLevel="1">
      <c r="A69" s="37" t="s">
        <v>1152</v>
      </c>
      <c r="B69" s="38" t="s">
        <v>15</v>
      </c>
      <c r="C69" s="37">
        <v>5.74</v>
      </c>
      <c r="D69" s="110"/>
    </row>
    <row r="70" spans="1:4" ht="15.6" outlineLevel="1">
      <c r="A70" s="37" t="s">
        <v>1152</v>
      </c>
      <c r="B70" s="38" t="s">
        <v>600</v>
      </c>
      <c r="C70" s="37">
        <v>5.76</v>
      </c>
      <c r="D70" s="110"/>
    </row>
    <row r="71" spans="1:4" ht="15.6" outlineLevel="1">
      <c r="A71" s="37" t="s">
        <v>1152</v>
      </c>
      <c r="B71" s="38" t="s">
        <v>1020</v>
      </c>
      <c r="C71" s="37">
        <v>5.89</v>
      </c>
      <c r="D71" s="109" t="s">
        <v>1298</v>
      </c>
    </row>
    <row r="72" spans="1:4" ht="15.6" outlineLevel="1">
      <c r="A72" s="37" t="s">
        <v>1152</v>
      </c>
      <c r="B72" s="38" t="s">
        <v>17</v>
      </c>
      <c r="C72" s="37">
        <v>5.58</v>
      </c>
      <c r="D72" s="110"/>
    </row>
    <row r="73" spans="1:4" ht="15.6" outlineLevel="1">
      <c r="A73" s="37" t="s">
        <v>1152</v>
      </c>
      <c r="B73" s="38" t="s">
        <v>16</v>
      </c>
      <c r="C73" s="37">
        <v>5.62</v>
      </c>
      <c r="D73" s="110"/>
    </row>
    <row r="74" spans="1:4" ht="15.6" outlineLevel="1">
      <c r="A74" s="37" t="s">
        <v>1152</v>
      </c>
      <c r="B74" s="38" t="s">
        <v>18</v>
      </c>
      <c r="C74" s="37">
        <v>5.54</v>
      </c>
      <c r="D74" s="110"/>
    </row>
    <row r="75" spans="1:4" ht="15.6" outlineLevel="1">
      <c r="A75" s="37" t="s">
        <v>1152</v>
      </c>
      <c r="B75" s="38" t="s">
        <v>19</v>
      </c>
      <c r="C75" s="37">
        <v>5.55</v>
      </c>
      <c r="D75" s="110"/>
    </row>
    <row r="76" spans="1:4" ht="15.6" outlineLevel="1">
      <c r="A76" s="37" t="s">
        <v>1152</v>
      </c>
      <c r="B76" s="38" t="s">
        <v>20</v>
      </c>
      <c r="C76" s="37">
        <v>5.63</v>
      </c>
      <c r="D76" s="110"/>
    </row>
    <row r="77" spans="1:4" ht="15.6" outlineLevel="1">
      <c r="A77" s="37" t="s">
        <v>1152</v>
      </c>
      <c r="B77" s="38" t="s">
        <v>21</v>
      </c>
      <c r="C77" s="37">
        <v>5.65</v>
      </c>
      <c r="D77" s="110"/>
    </row>
    <row r="78" spans="1:4" ht="15.6" outlineLevel="1">
      <c r="A78" s="37" t="s">
        <v>1152</v>
      </c>
      <c r="B78" s="38" t="s">
        <v>338</v>
      </c>
      <c r="C78" s="37">
        <v>5.66</v>
      </c>
      <c r="D78" s="110"/>
    </row>
    <row r="79" spans="1:4" ht="15.6" outlineLevel="1">
      <c r="A79" s="37" t="s">
        <v>1152</v>
      </c>
      <c r="B79" s="38" t="s">
        <v>22</v>
      </c>
      <c r="C79" s="37">
        <v>5.68</v>
      </c>
      <c r="D79" s="110"/>
    </row>
    <row r="80" spans="1:4" ht="15.6" outlineLevel="1">
      <c r="A80" s="37" t="s">
        <v>1152</v>
      </c>
      <c r="B80" s="38" t="s">
        <v>23</v>
      </c>
      <c r="C80" s="37">
        <v>5.45</v>
      </c>
      <c r="D80" s="110"/>
    </row>
    <row r="81" spans="1:4" ht="15.6" outlineLevel="1">
      <c r="A81" s="37" t="s">
        <v>1152</v>
      </c>
      <c r="B81" s="38" t="s">
        <v>24</v>
      </c>
      <c r="C81" s="37">
        <v>5.47</v>
      </c>
      <c r="D81" s="110"/>
    </row>
    <row r="82" spans="1:4" ht="15.6" outlineLevel="1">
      <c r="A82" s="37" t="s">
        <v>1152</v>
      </c>
      <c r="B82" s="38" t="s">
        <v>25</v>
      </c>
      <c r="C82" s="37">
        <v>5.48</v>
      </c>
      <c r="D82" s="110"/>
    </row>
    <row r="83" spans="1:4" ht="15.6">
      <c r="A83" s="43" t="s">
        <v>1152</v>
      </c>
      <c r="B83" s="38"/>
      <c r="C83" s="37"/>
      <c r="D83" s="110"/>
    </row>
    <row r="84" spans="1:4" ht="15.6" outlineLevel="1">
      <c r="A84" s="37" t="s">
        <v>1153</v>
      </c>
      <c r="B84" s="38" t="s">
        <v>0</v>
      </c>
      <c r="C84" s="37">
        <v>5.0999999999999996</v>
      </c>
      <c r="D84" s="110"/>
    </row>
    <row r="85" spans="1:4" ht="15.6" outlineLevel="1">
      <c r="A85" s="37" t="s">
        <v>1153</v>
      </c>
      <c r="B85" s="38" t="s">
        <v>1</v>
      </c>
      <c r="C85" s="37">
        <v>5.2</v>
      </c>
      <c r="D85" s="110"/>
    </row>
    <row r="86" spans="1:4" ht="15.6" outlineLevel="1">
      <c r="A86" s="37" t="s">
        <v>1153</v>
      </c>
      <c r="B86" s="38" t="s">
        <v>2</v>
      </c>
      <c r="C86" s="37">
        <v>5.3</v>
      </c>
      <c r="D86" s="110"/>
    </row>
    <row r="87" spans="1:4" ht="15.6" outlineLevel="1">
      <c r="A87" s="37" t="s">
        <v>1153</v>
      </c>
      <c r="B87" s="38" t="s">
        <v>319</v>
      </c>
      <c r="C87" s="37">
        <v>5.6</v>
      </c>
      <c r="D87" s="110"/>
    </row>
    <row r="88" spans="1:4" ht="15.6" outlineLevel="1">
      <c r="A88" s="37" t="s">
        <v>1153</v>
      </c>
      <c r="B88" s="38" t="s">
        <v>1300</v>
      </c>
      <c r="C88" s="39">
        <v>5.0999999999999996</v>
      </c>
      <c r="D88" s="110"/>
    </row>
    <row r="89" spans="1:4" ht="15.6" outlineLevel="1">
      <c r="A89" s="37" t="s">
        <v>1153</v>
      </c>
      <c r="B89" s="38" t="s">
        <v>1299</v>
      </c>
      <c r="C89" s="37">
        <v>5.14</v>
      </c>
      <c r="D89" s="110"/>
    </row>
    <row r="90" spans="1:4" ht="15.6" outlineLevel="1">
      <c r="A90" s="37" t="s">
        <v>1153</v>
      </c>
      <c r="B90" s="38" t="s">
        <v>4</v>
      </c>
      <c r="C90" s="37">
        <v>5.19</v>
      </c>
      <c r="D90" s="110"/>
    </row>
    <row r="91" spans="1:4" ht="15.6" outlineLevel="1">
      <c r="A91" s="37" t="s">
        <v>1153</v>
      </c>
      <c r="B91" s="38" t="s">
        <v>321</v>
      </c>
      <c r="C91" s="37">
        <v>5.24</v>
      </c>
      <c r="D91" s="110"/>
    </row>
    <row r="92" spans="1:4" ht="15.6" outlineLevel="1">
      <c r="A92" s="37" t="s">
        <v>1153</v>
      </c>
      <c r="B92" s="38" t="s">
        <v>5</v>
      </c>
      <c r="C92" s="37">
        <v>5.26</v>
      </c>
      <c r="D92" s="110"/>
    </row>
    <row r="93" spans="1:4" ht="15.6" outlineLevel="1">
      <c r="A93" s="37" t="s">
        <v>1153</v>
      </c>
      <c r="B93" s="38" t="s">
        <v>6</v>
      </c>
      <c r="C93" s="37">
        <v>5.27</v>
      </c>
      <c r="D93" s="110"/>
    </row>
    <row r="94" spans="1:4" ht="15.6" outlineLevel="1">
      <c r="A94" s="37" t="s">
        <v>1153</v>
      </c>
      <c r="B94" s="38" t="s">
        <v>7</v>
      </c>
      <c r="C94" s="37">
        <v>5.28</v>
      </c>
      <c r="D94" s="110"/>
    </row>
    <row r="95" spans="1:4" ht="15.6" outlineLevel="1">
      <c r="A95" s="37" t="s">
        <v>1153</v>
      </c>
      <c r="B95" s="38" t="s">
        <v>516</v>
      </c>
      <c r="C95" s="37">
        <v>5.29</v>
      </c>
      <c r="D95" s="110"/>
    </row>
    <row r="96" spans="1:4" ht="15.6" outlineLevel="1">
      <c r="A96" s="37" t="s">
        <v>1153</v>
      </c>
      <c r="B96" s="38" t="s">
        <v>8</v>
      </c>
      <c r="C96" s="39">
        <v>5.3</v>
      </c>
      <c r="D96" s="110"/>
    </row>
    <row r="97" spans="1:4" ht="15.6" outlineLevel="1">
      <c r="A97" s="37" t="s">
        <v>1153</v>
      </c>
      <c r="B97" s="38" t="s">
        <v>322</v>
      </c>
      <c r="C97" s="37">
        <v>5.31</v>
      </c>
      <c r="D97" s="110"/>
    </row>
    <row r="98" spans="1:4" ht="15.6" outlineLevel="1">
      <c r="A98" s="37" t="s">
        <v>1153</v>
      </c>
      <c r="B98" s="38" t="s">
        <v>298</v>
      </c>
      <c r="C98" s="37">
        <v>5.36</v>
      </c>
      <c r="D98" s="110"/>
    </row>
    <row r="99" spans="1:4" ht="15.6" outlineLevel="1">
      <c r="A99" s="37" t="s">
        <v>1153</v>
      </c>
      <c r="B99" s="38" t="s">
        <v>9</v>
      </c>
      <c r="C99" s="37">
        <v>5.49</v>
      </c>
      <c r="D99" s="110"/>
    </row>
    <row r="100" spans="1:4" ht="15.6" outlineLevel="1">
      <c r="A100" s="37" t="s">
        <v>1153</v>
      </c>
      <c r="B100" s="38" t="s">
        <v>10</v>
      </c>
      <c r="C100" s="37">
        <v>5.51</v>
      </c>
      <c r="D100" s="110"/>
    </row>
    <row r="101" spans="1:4" ht="15.6" outlineLevel="1">
      <c r="A101" s="37" t="s">
        <v>1153</v>
      </c>
      <c r="B101" s="38" t="s">
        <v>1301</v>
      </c>
      <c r="C101" s="37">
        <v>5.52</v>
      </c>
      <c r="D101" s="110"/>
    </row>
    <row r="102" spans="1:4" ht="15.6" outlineLevel="1">
      <c r="A102" s="37" t="s">
        <v>1153</v>
      </c>
      <c r="B102" s="38" t="s">
        <v>11</v>
      </c>
      <c r="C102" s="37">
        <v>5.53</v>
      </c>
      <c r="D102" s="110"/>
    </row>
    <row r="103" spans="1:4" ht="15.6" outlineLevel="1">
      <c r="A103" s="37" t="s">
        <v>1153</v>
      </c>
      <c r="B103" s="38" t="s">
        <v>12</v>
      </c>
      <c r="C103" s="37">
        <v>5.69</v>
      </c>
      <c r="D103" s="110"/>
    </row>
    <row r="104" spans="1:4" ht="15.6" outlineLevel="1">
      <c r="A104" s="37" t="s">
        <v>1153</v>
      </c>
      <c r="B104" s="38" t="s">
        <v>13</v>
      </c>
      <c r="C104" s="37">
        <v>5.75</v>
      </c>
      <c r="D104" s="110"/>
    </row>
    <row r="105" spans="1:4" ht="15.6" outlineLevel="1">
      <c r="A105" s="37" t="s">
        <v>1153</v>
      </c>
      <c r="B105" s="38" t="s">
        <v>14</v>
      </c>
      <c r="C105" s="39">
        <v>5.7</v>
      </c>
      <c r="D105" s="110"/>
    </row>
    <row r="106" spans="1:4" ht="15.6" outlineLevel="1">
      <c r="A106" s="37" t="s">
        <v>1153</v>
      </c>
      <c r="B106" s="38" t="s">
        <v>15</v>
      </c>
      <c r="C106" s="37">
        <v>5.74</v>
      </c>
      <c r="D106" s="110"/>
    </row>
    <row r="107" spans="1:4" ht="15.6" outlineLevel="1">
      <c r="A107" s="37" t="s">
        <v>1153</v>
      </c>
      <c r="B107" s="38" t="s">
        <v>600</v>
      </c>
      <c r="C107" s="37">
        <v>5.76</v>
      </c>
      <c r="D107" s="110"/>
    </row>
    <row r="108" spans="1:4" ht="15.6" outlineLevel="1">
      <c r="A108" s="37" t="s">
        <v>1153</v>
      </c>
      <c r="B108" s="38" t="s">
        <v>1020</v>
      </c>
      <c r="C108" s="37">
        <v>5.89</v>
      </c>
      <c r="D108" s="109" t="s">
        <v>1298</v>
      </c>
    </row>
    <row r="109" spans="1:4" ht="15.6" outlineLevel="1">
      <c r="A109" s="37" t="s">
        <v>1153</v>
      </c>
      <c r="B109" s="38" t="s">
        <v>17</v>
      </c>
      <c r="C109" s="37">
        <v>5.58</v>
      </c>
      <c r="D109" s="110"/>
    </row>
    <row r="110" spans="1:4" ht="15.6" outlineLevel="1">
      <c r="A110" s="37" t="s">
        <v>1153</v>
      </c>
      <c r="B110" s="38" t="s">
        <v>16</v>
      </c>
      <c r="C110" s="37">
        <v>5.62</v>
      </c>
      <c r="D110" s="110"/>
    </row>
    <row r="111" spans="1:4" ht="15.6" outlineLevel="1">
      <c r="A111" s="37" t="s">
        <v>1153</v>
      </c>
      <c r="B111" s="38" t="s">
        <v>18</v>
      </c>
      <c r="C111" s="37">
        <v>5.54</v>
      </c>
      <c r="D111" s="110"/>
    </row>
    <row r="112" spans="1:4" ht="15.6" outlineLevel="1">
      <c r="A112" s="37" t="s">
        <v>1153</v>
      </c>
      <c r="B112" s="38" t="s">
        <v>19</v>
      </c>
      <c r="C112" s="37">
        <v>5.55</v>
      </c>
      <c r="D112" s="110"/>
    </row>
    <row r="113" spans="1:4" ht="15.6" outlineLevel="1">
      <c r="A113" s="37" t="s">
        <v>1153</v>
      </c>
      <c r="B113" s="38" t="s">
        <v>21</v>
      </c>
      <c r="C113" s="37">
        <v>5.65</v>
      </c>
      <c r="D113" s="110"/>
    </row>
    <row r="114" spans="1:4" ht="15.6" outlineLevel="1">
      <c r="A114" s="37" t="s">
        <v>1153</v>
      </c>
      <c r="B114" s="38" t="s">
        <v>338</v>
      </c>
      <c r="C114" s="37">
        <v>5.66</v>
      </c>
      <c r="D114" s="110"/>
    </row>
    <row r="115" spans="1:4" ht="15.6" outlineLevel="1">
      <c r="A115" s="37" t="s">
        <v>1153</v>
      </c>
      <c r="B115" s="38" t="s">
        <v>22</v>
      </c>
      <c r="C115" s="37">
        <v>5.68</v>
      </c>
      <c r="D115" s="110"/>
    </row>
    <row r="116" spans="1:4" ht="15.6" outlineLevel="1">
      <c r="A116" s="37" t="s">
        <v>1153</v>
      </c>
      <c r="B116" s="38" t="s">
        <v>23</v>
      </c>
      <c r="C116" s="37">
        <v>5.45</v>
      </c>
      <c r="D116" s="110"/>
    </row>
    <row r="117" spans="1:4" ht="15.6" outlineLevel="1">
      <c r="A117" s="37" t="s">
        <v>1153</v>
      </c>
      <c r="B117" s="38" t="s">
        <v>24</v>
      </c>
      <c r="C117" s="37">
        <v>5.47</v>
      </c>
      <c r="D117" s="110"/>
    </row>
    <row r="118" spans="1:4" ht="15.6" outlineLevel="1">
      <c r="A118" s="37" t="s">
        <v>1153</v>
      </c>
      <c r="B118" s="38" t="s">
        <v>25</v>
      </c>
      <c r="C118" s="37">
        <v>5.48</v>
      </c>
      <c r="D118" s="110"/>
    </row>
    <row r="119" spans="1:4" ht="15.6">
      <c r="A119" s="43" t="s">
        <v>1153</v>
      </c>
      <c r="B119" s="38"/>
      <c r="C119" s="37"/>
      <c r="D119" s="110"/>
    </row>
    <row r="120" spans="1:4" ht="15.6" outlineLevel="1">
      <c r="A120" s="37" t="s">
        <v>1302</v>
      </c>
      <c r="B120" s="38" t="s">
        <v>0</v>
      </c>
      <c r="C120" s="37">
        <v>5.0999999999999996</v>
      </c>
      <c r="D120" s="110"/>
    </row>
    <row r="121" spans="1:4" ht="15.6" outlineLevel="1">
      <c r="A121" s="37" t="s">
        <v>1302</v>
      </c>
      <c r="B121" s="38" t="s">
        <v>1</v>
      </c>
      <c r="C121" s="37">
        <v>5.2</v>
      </c>
      <c r="D121" s="110"/>
    </row>
    <row r="122" spans="1:4" ht="15.6" outlineLevel="1">
      <c r="A122" s="37" t="s">
        <v>1302</v>
      </c>
      <c r="B122" s="38" t="s">
        <v>2</v>
      </c>
      <c r="C122" s="37">
        <v>5.3</v>
      </c>
      <c r="D122" s="110"/>
    </row>
    <row r="123" spans="1:4" ht="15.6" outlineLevel="1">
      <c r="A123" s="37" t="s">
        <v>1302</v>
      </c>
      <c r="B123" s="38" t="s">
        <v>319</v>
      </c>
      <c r="C123" s="37">
        <v>5.6</v>
      </c>
      <c r="D123" s="110"/>
    </row>
    <row r="124" spans="1:4" ht="15.6" outlineLevel="1">
      <c r="A124" s="37" t="s">
        <v>1302</v>
      </c>
      <c r="B124" s="38" t="s">
        <v>1300</v>
      </c>
      <c r="C124" s="39">
        <v>5.0999999999999996</v>
      </c>
      <c r="D124" s="110"/>
    </row>
    <row r="125" spans="1:4" ht="15.6" outlineLevel="1">
      <c r="A125" s="37" t="s">
        <v>1302</v>
      </c>
      <c r="B125" s="38" t="s">
        <v>1299</v>
      </c>
      <c r="C125" s="37">
        <v>5.14</v>
      </c>
      <c r="D125" s="110"/>
    </row>
    <row r="126" spans="1:4" ht="15.6" outlineLevel="1">
      <c r="A126" s="37" t="s">
        <v>1302</v>
      </c>
      <c r="B126" s="38" t="s">
        <v>4</v>
      </c>
      <c r="C126" s="37">
        <v>5.19</v>
      </c>
      <c r="D126" s="110"/>
    </row>
    <row r="127" spans="1:4" ht="15.6" outlineLevel="1">
      <c r="A127" s="37" t="s">
        <v>1302</v>
      </c>
      <c r="B127" s="38" t="s">
        <v>321</v>
      </c>
      <c r="C127" s="37">
        <v>5.24</v>
      </c>
      <c r="D127" s="110"/>
    </row>
    <row r="128" spans="1:4" ht="15.6" outlineLevel="1">
      <c r="A128" s="37" t="s">
        <v>1302</v>
      </c>
      <c r="B128" s="38" t="s">
        <v>5</v>
      </c>
      <c r="C128" s="37">
        <v>5.26</v>
      </c>
      <c r="D128" s="110"/>
    </row>
    <row r="129" spans="1:4" ht="15.6" outlineLevel="1">
      <c r="A129" s="37" t="s">
        <v>1302</v>
      </c>
      <c r="B129" s="38" t="s">
        <v>6</v>
      </c>
      <c r="C129" s="37">
        <v>5.27</v>
      </c>
      <c r="D129" s="110"/>
    </row>
    <row r="130" spans="1:4" ht="15.6" outlineLevel="1">
      <c r="A130" s="37" t="s">
        <v>1302</v>
      </c>
      <c r="B130" s="38" t="s">
        <v>7</v>
      </c>
      <c r="C130" s="37">
        <v>5.28</v>
      </c>
      <c r="D130" s="110"/>
    </row>
    <row r="131" spans="1:4" ht="15.6" outlineLevel="1">
      <c r="A131" s="37" t="s">
        <v>1302</v>
      </c>
      <c r="B131" s="38" t="s">
        <v>516</v>
      </c>
      <c r="C131" s="37">
        <v>5.29</v>
      </c>
      <c r="D131" s="110"/>
    </row>
    <row r="132" spans="1:4" ht="15.6" outlineLevel="1">
      <c r="A132" s="37" t="s">
        <v>1302</v>
      </c>
      <c r="B132" s="38" t="s">
        <v>8</v>
      </c>
      <c r="C132" s="39">
        <v>5.3</v>
      </c>
      <c r="D132" s="110"/>
    </row>
    <row r="133" spans="1:4" ht="15.6" outlineLevel="1">
      <c r="A133" s="37" t="s">
        <v>1302</v>
      </c>
      <c r="B133" s="38" t="s">
        <v>322</v>
      </c>
      <c r="C133" s="37">
        <v>5.31</v>
      </c>
      <c r="D133" s="110"/>
    </row>
    <row r="134" spans="1:4" ht="15.6" outlineLevel="1">
      <c r="A134" s="37" t="s">
        <v>1302</v>
      </c>
      <c r="B134" s="38" t="s">
        <v>298</v>
      </c>
      <c r="C134" s="37">
        <v>5.36</v>
      </c>
      <c r="D134" s="110"/>
    </row>
    <row r="135" spans="1:4" ht="15.6" outlineLevel="1">
      <c r="A135" s="37" t="s">
        <v>1302</v>
      </c>
      <c r="B135" s="38" t="s">
        <v>11</v>
      </c>
      <c r="C135" s="37">
        <v>5.53</v>
      </c>
      <c r="D135" s="110"/>
    </row>
    <row r="136" spans="1:4" ht="15.6" outlineLevel="1">
      <c r="A136" s="37" t="s">
        <v>1302</v>
      </c>
      <c r="B136" s="38" t="s">
        <v>17</v>
      </c>
      <c r="C136" s="37">
        <v>5.58</v>
      </c>
      <c r="D136" s="110"/>
    </row>
    <row r="137" spans="1:4" ht="15.6" outlineLevel="1">
      <c r="A137" s="37" t="s">
        <v>1302</v>
      </c>
      <c r="B137" s="38" t="s">
        <v>16</v>
      </c>
      <c r="C137" s="37">
        <v>5.62</v>
      </c>
      <c r="D137" s="110"/>
    </row>
    <row r="138" spans="1:4" ht="15.6" outlineLevel="1">
      <c r="A138" s="37" t="s">
        <v>1302</v>
      </c>
      <c r="B138" s="38" t="s">
        <v>18</v>
      </c>
      <c r="C138" s="37">
        <v>5.54</v>
      </c>
      <c r="D138" s="110"/>
    </row>
    <row r="139" spans="1:4" ht="15.6" outlineLevel="1">
      <c r="A139" s="37" t="s">
        <v>1302</v>
      </c>
      <c r="B139" s="38" t="s">
        <v>19</v>
      </c>
      <c r="C139" s="37">
        <v>5.55</v>
      </c>
      <c r="D139" s="110"/>
    </row>
    <row r="140" spans="1:4" ht="15.6" outlineLevel="1">
      <c r="A140" s="37" t="s">
        <v>1302</v>
      </c>
      <c r="B140" s="38" t="s">
        <v>20</v>
      </c>
      <c r="C140" s="37">
        <v>5.63</v>
      </c>
      <c r="D140" s="110"/>
    </row>
    <row r="141" spans="1:4" ht="15.6" outlineLevel="1">
      <c r="A141" s="37" t="s">
        <v>1302</v>
      </c>
      <c r="B141" s="38" t="s">
        <v>23</v>
      </c>
      <c r="C141" s="37">
        <v>5.45</v>
      </c>
      <c r="D141" s="110"/>
    </row>
    <row r="142" spans="1:4" ht="15.6" outlineLevel="1">
      <c r="A142" s="37" t="s">
        <v>1302</v>
      </c>
      <c r="B142" s="38" t="s">
        <v>24</v>
      </c>
      <c r="C142" s="37">
        <v>5.47</v>
      </c>
      <c r="D142" s="110"/>
    </row>
    <row r="143" spans="1:4" ht="15.6" outlineLevel="1">
      <c r="A143" s="37" t="s">
        <v>1302</v>
      </c>
      <c r="B143" s="38" t="s">
        <v>25</v>
      </c>
      <c r="C143" s="37">
        <v>5.48</v>
      </c>
      <c r="D143" s="110"/>
    </row>
    <row r="144" spans="1:4" ht="15.6">
      <c r="A144" s="43" t="s">
        <v>1302</v>
      </c>
      <c r="B144" s="38"/>
      <c r="C144" s="37"/>
      <c r="D144" s="110"/>
    </row>
    <row r="145" spans="1:4" ht="15.6" outlineLevel="1">
      <c r="A145" s="37" t="s">
        <v>661</v>
      </c>
      <c r="B145" s="38" t="s">
        <v>0</v>
      </c>
      <c r="C145" s="37">
        <v>5.0999999999999996</v>
      </c>
      <c r="D145" s="110"/>
    </row>
    <row r="146" spans="1:4" ht="15.6" outlineLevel="1">
      <c r="A146" s="37" t="s">
        <v>661</v>
      </c>
      <c r="B146" s="38" t="s">
        <v>1</v>
      </c>
      <c r="C146" s="37">
        <v>5.2</v>
      </c>
      <c r="D146" s="110"/>
    </row>
    <row r="147" spans="1:4" ht="15.6" outlineLevel="1">
      <c r="A147" s="37" t="s">
        <v>661</v>
      </c>
      <c r="B147" s="38" t="s">
        <v>2</v>
      </c>
      <c r="C147" s="37">
        <v>5.3</v>
      </c>
      <c r="D147" s="110"/>
    </row>
    <row r="148" spans="1:4" ht="15.6" outlineLevel="1">
      <c r="A148" s="37" t="s">
        <v>661</v>
      </c>
      <c r="B148" s="38" t="s">
        <v>319</v>
      </c>
      <c r="C148" s="37">
        <v>5.6</v>
      </c>
      <c r="D148" s="110"/>
    </row>
    <row r="149" spans="1:4" ht="15.6" outlineLevel="1">
      <c r="A149" s="37" t="s">
        <v>661</v>
      </c>
      <c r="B149" s="38" t="s">
        <v>1300</v>
      </c>
      <c r="C149" s="39">
        <v>5.0999999999999996</v>
      </c>
      <c r="D149" s="110"/>
    </row>
    <row r="150" spans="1:4" ht="15.6" outlineLevel="1">
      <c r="A150" s="37" t="s">
        <v>661</v>
      </c>
      <c r="B150" s="38" t="s">
        <v>1299</v>
      </c>
      <c r="C150" s="37">
        <v>5.14</v>
      </c>
      <c r="D150" s="110"/>
    </row>
    <row r="151" spans="1:4" ht="15.6" outlineLevel="1">
      <c r="A151" s="37" t="s">
        <v>661</v>
      </c>
      <c r="B151" s="38" t="s">
        <v>4</v>
      </c>
      <c r="C151" s="37">
        <v>5.19</v>
      </c>
      <c r="D151" s="110"/>
    </row>
    <row r="152" spans="1:4" ht="15.6" outlineLevel="1">
      <c r="A152" s="37" t="s">
        <v>661</v>
      </c>
      <c r="B152" s="38" t="s">
        <v>321</v>
      </c>
      <c r="C152" s="37">
        <v>5.24</v>
      </c>
      <c r="D152" s="110"/>
    </row>
    <row r="153" spans="1:4" ht="15.6" outlineLevel="1">
      <c r="A153" s="37" t="s">
        <v>661</v>
      </c>
      <c r="B153" s="38" t="s">
        <v>5</v>
      </c>
      <c r="C153" s="37">
        <v>5.26</v>
      </c>
      <c r="D153" s="110"/>
    </row>
    <row r="154" spans="1:4" ht="15.6" outlineLevel="1">
      <c r="A154" s="37" t="s">
        <v>661</v>
      </c>
      <c r="B154" s="38" t="s">
        <v>6</v>
      </c>
      <c r="C154" s="37">
        <v>5.27</v>
      </c>
      <c r="D154" s="110"/>
    </row>
    <row r="155" spans="1:4" ht="15.6" outlineLevel="1">
      <c r="A155" s="37" t="s">
        <v>661</v>
      </c>
      <c r="B155" s="38" t="s">
        <v>7</v>
      </c>
      <c r="C155" s="37">
        <v>5.28</v>
      </c>
      <c r="D155" s="110"/>
    </row>
    <row r="156" spans="1:4" ht="15.6" outlineLevel="1">
      <c r="A156" s="37" t="s">
        <v>661</v>
      </c>
      <c r="B156" s="38" t="s">
        <v>8</v>
      </c>
      <c r="C156" s="39">
        <v>5.3</v>
      </c>
      <c r="D156" s="110"/>
    </row>
    <row r="157" spans="1:4" ht="15.6" outlineLevel="1">
      <c r="A157" s="37" t="s">
        <v>661</v>
      </c>
      <c r="B157" s="38" t="s">
        <v>759</v>
      </c>
      <c r="C157" s="37">
        <v>5.32</v>
      </c>
      <c r="D157" s="110"/>
    </row>
    <row r="158" spans="1:4" ht="15.6" outlineLevel="1">
      <c r="A158" s="37" t="s">
        <v>661</v>
      </c>
      <c r="B158" s="38" t="s">
        <v>298</v>
      </c>
      <c r="C158" s="37">
        <v>5.36</v>
      </c>
      <c r="D158" s="110"/>
    </row>
    <row r="159" spans="1:4" ht="15.6" outlineLevel="1">
      <c r="A159" s="37" t="s">
        <v>661</v>
      </c>
      <c r="B159" s="38" t="s">
        <v>11</v>
      </c>
      <c r="C159" s="37">
        <v>5.53</v>
      </c>
      <c r="D159" s="110"/>
    </row>
    <row r="160" spans="1:4" ht="15.6" outlineLevel="1">
      <c r="A160" s="37" t="s">
        <v>661</v>
      </c>
      <c r="B160" s="38" t="s">
        <v>17</v>
      </c>
      <c r="C160" s="37">
        <v>5.58</v>
      </c>
      <c r="D160" s="110"/>
    </row>
    <row r="161" spans="1:5" ht="15.6" outlineLevel="1">
      <c r="A161" s="37" t="s">
        <v>661</v>
      </c>
      <c r="B161" s="38" t="s">
        <v>18</v>
      </c>
      <c r="C161" s="37">
        <v>5.54</v>
      </c>
      <c r="D161" s="110"/>
    </row>
    <row r="162" spans="1:5" ht="15.6" outlineLevel="1">
      <c r="A162" s="37" t="s">
        <v>661</v>
      </c>
      <c r="B162" s="38" t="s">
        <v>19</v>
      </c>
      <c r="C162" s="37">
        <v>5.55</v>
      </c>
      <c r="D162" s="110"/>
    </row>
    <row r="163" spans="1:5" ht="15.6" outlineLevel="1">
      <c r="A163" s="37" t="s">
        <v>661</v>
      </c>
      <c r="B163" s="38" t="s">
        <v>16</v>
      </c>
      <c r="C163" s="37">
        <v>5.62</v>
      </c>
      <c r="D163" s="110"/>
      <c r="E163" t="s">
        <v>1303</v>
      </c>
    </row>
    <row r="164" spans="1:5" ht="15.6" outlineLevel="1">
      <c r="A164" s="37" t="s">
        <v>661</v>
      </c>
      <c r="B164" s="38" t="s">
        <v>20</v>
      </c>
      <c r="C164" s="37">
        <v>5.63</v>
      </c>
      <c r="D164" s="110"/>
    </row>
    <row r="165" spans="1:5" ht="15.6" outlineLevel="1">
      <c r="A165" s="37" t="s">
        <v>661</v>
      </c>
      <c r="B165" s="38" t="s">
        <v>23</v>
      </c>
      <c r="C165" s="37">
        <v>5.45</v>
      </c>
      <c r="D165" s="110"/>
    </row>
    <row r="166" spans="1:5" ht="15.6" outlineLevel="1">
      <c r="A166" s="37" t="s">
        <v>661</v>
      </c>
      <c r="B166" s="38" t="s">
        <v>24</v>
      </c>
      <c r="C166" s="37">
        <v>5.47</v>
      </c>
      <c r="D166" s="110"/>
    </row>
    <row r="167" spans="1:5" ht="15.6" outlineLevel="1">
      <c r="A167" s="37" t="s">
        <v>661</v>
      </c>
      <c r="B167" s="38" t="s">
        <v>25</v>
      </c>
      <c r="C167" s="37">
        <v>5.48</v>
      </c>
      <c r="D167" s="110"/>
    </row>
    <row r="168" spans="1:5" ht="15.6">
      <c r="A168" s="43" t="s">
        <v>661</v>
      </c>
      <c r="B168" s="38"/>
      <c r="C168" s="37"/>
      <c r="D168" s="110"/>
    </row>
    <row r="169" spans="1:5" ht="15.6" outlineLevel="1">
      <c r="A169" s="37" t="s">
        <v>1173</v>
      </c>
      <c r="B169" s="38" t="s">
        <v>0</v>
      </c>
      <c r="C169" s="37">
        <v>5.0999999999999996</v>
      </c>
      <c r="D169" s="110"/>
    </row>
    <row r="170" spans="1:5" ht="15.6" outlineLevel="1">
      <c r="A170" s="37" t="s">
        <v>1173</v>
      </c>
      <c r="B170" s="38" t="s">
        <v>1</v>
      </c>
      <c r="C170" s="37">
        <v>5.2</v>
      </c>
      <c r="D170" s="110"/>
    </row>
    <row r="171" spans="1:5" ht="15.6" outlineLevel="1">
      <c r="A171" s="37" t="s">
        <v>1173</v>
      </c>
      <c r="B171" s="38" t="s">
        <v>2</v>
      </c>
      <c r="C171" s="37">
        <v>5.3</v>
      </c>
      <c r="D171" s="110"/>
    </row>
    <row r="172" spans="1:5" ht="15.6" outlineLevel="1">
      <c r="A172" s="37" t="s">
        <v>1173</v>
      </c>
      <c r="B172" s="38" t="s">
        <v>319</v>
      </c>
      <c r="C172" s="37">
        <v>5.6</v>
      </c>
      <c r="D172" s="110"/>
    </row>
    <row r="173" spans="1:5" ht="15.6" outlineLevel="1">
      <c r="A173" s="37" t="s">
        <v>1173</v>
      </c>
      <c r="B173" s="38" t="s">
        <v>1300</v>
      </c>
      <c r="C173" s="39">
        <v>5.0999999999999996</v>
      </c>
      <c r="D173" s="110"/>
    </row>
    <row r="174" spans="1:5" ht="15.6" outlineLevel="1">
      <c r="A174" s="37" t="s">
        <v>1173</v>
      </c>
      <c r="B174" s="38" t="s">
        <v>1299</v>
      </c>
      <c r="C174" s="37">
        <v>5.14</v>
      </c>
      <c r="D174" s="110"/>
    </row>
    <row r="175" spans="1:5" ht="15.6" outlineLevel="1">
      <c r="A175" s="37" t="s">
        <v>1173</v>
      </c>
      <c r="B175" s="38" t="s">
        <v>4</v>
      </c>
      <c r="C175" s="37">
        <v>5.19</v>
      </c>
      <c r="D175" s="110"/>
    </row>
    <row r="176" spans="1:5" ht="15.6" outlineLevel="1">
      <c r="A176" s="37" t="s">
        <v>1173</v>
      </c>
      <c r="B176" s="38" t="s">
        <v>321</v>
      </c>
      <c r="C176" s="37">
        <v>5.24</v>
      </c>
      <c r="D176" s="110"/>
    </row>
    <row r="177" spans="1:4" ht="15.6" outlineLevel="1">
      <c r="A177" s="37" t="s">
        <v>1173</v>
      </c>
      <c r="B177" s="38" t="s">
        <v>5</v>
      </c>
      <c r="C177" s="37">
        <v>5.26</v>
      </c>
      <c r="D177" s="110"/>
    </row>
    <row r="178" spans="1:4" ht="15.6" outlineLevel="1">
      <c r="A178" s="37" t="s">
        <v>1173</v>
      </c>
      <c r="B178" s="38" t="s">
        <v>6</v>
      </c>
      <c r="C178" s="37">
        <v>5.27</v>
      </c>
      <c r="D178" s="110"/>
    </row>
    <row r="179" spans="1:4" ht="15.6" outlineLevel="1">
      <c r="A179" s="37" t="s">
        <v>1173</v>
      </c>
      <c r="B179" s="38" t="s">
        <v>7</v>
      </c>
      <c r="C179" s="37">
        <v>5.28</v>
      </c>
      <c r="D179" s="110"/>
    </row>
    <row r="180" spans="1:4" ht="15.6" outlineLevel="1">
      <c r="A180" s="37" t="s">
        <v>1173</v>
      </c>
      <c r="B180" s="38" t="s">
        <v>516</v>
      </c>
      <c r="C180" s="37">
        <v>5.29</v>
      </c>
      <c r="D180" s="110"/>
    </row>
    <row r="181" spans="1:4" ht="15.6" outlineLevel="1">
      <c r="A181" s="37" t="s">
        <v>1173</v>
      </c>
      <c r="B181" s="38" t="s">
        <v>8</v>
      </c>
      <c r="C181" s="39">
        <v>5.3</v>
      </c>
      <c r="D181" s="110"/>
    </row>
    <row r="182" spans="1:4" ht="15.6" outlineLevel="1">
      <c r="A182" s="37" t="s">
        <v>1173</v>
      </c>
      <c r="B182" s="38" t="s">
        <v>759</v>
      </c>
      <c r="C182" s="37">
        <v>5.32</v>
      </c>
      <c r="D182" s="110"/>
    </row>
    <row r="183" spans="1:4" ht="15.6" outlineLevel="1">
      <c r="A183" s="37" t="s">
        <v>1173</v>
      </c>
      <c r="B183" s="38" t="s">
        <v>298</v>
      </c>
      <c r="C183" s="37">
        <v>5.36</v>
      </c>
      <c r="D183" s="110"/>
    </row>
    <row r="184" spans="1:4" ht="15.6" outlineLevel="1">
      <c r="A184" s="37" t="s">
        <v>1173</v>
      </c>
      <c r="B184" s="38" t="s">
        <v>11</v>
      </c>
      <c r="C184" s="37">
        <v>5.53</v>
      </c>
      <c r="D184" s="110"/>
    </row>
    <row r="185" spans="1:4" ht="15.6" outlineLevel="1">
      <c r="A185" s="37" t="s">
        <v>1173</v>
      </c>
      <c r="B185" s="38" t="s">
        <v>17</v>
      </c>
      <c r="C185" s="37">
        <v>5.58</v>
      </c>
      <c r="D185" s="110"/>
    </row>
    <row r="186" spans="1:4" ht="15.6" outlineLevel="1">
      <c r="A186" s="37" t="s">
        <v>1173</v>
      </c>
      <c r="B186" s="38" t="s">
        <v>18</v>
      </c>
      <c r="C186" s="37">
        <v>5.54</v>
      </c>
      <c r="D186" s="110"/>
    </row>
    <row r="187" spans="1:4" ht="15.6" outlineLevel="1">
      <c r="A187" s="37" t="s">
        <v>1173</v>
      </c>
      <c r="B187" s="38" t="s">
        <v>19</v>
      </c>
      <c r="C187" s="37">
        <v>5.55</v>
      </c>
      <c r="D187" s="110"/>
    </row>
    <row r="188" spans="1:4" ht="15.6" outlineLevel="1">
      <c r="A188" s="37" t="s">
        <v>1173</v>
      </c>
      <c r="B188" s="38" t="s">
        <v>20</v>
      </c>
      <c r="C188" s="37">
        <v>5.63</v>
      </c>
      <c r="D188" s="110"/>
    </row>
    <row r="189" spans="1:4" ht="15.6" outlineLevel="1">
      <c r="A189" s="37" t="s">
        <v>1173</v>
      </c>
      <c r="B189" s="38" t="s">
        <v>23</v>
      </c>
      <c r="C189" s="37">
        <v>5.45</v>
      </c>
      <c r="D189" s="110"/>
    </row>
    <row r="190" spans="1:4" ht="15.6" outlineLevel="1">
      <c r="A190" s="37" t="s">
        <v>1173</v>
      </c>
      <c r="B190" s="38" t="s">
        <v>24</v>
      </c>
      <c r="C190" s="37">
        <v>5.47</v>
      </c>
      <c r="D190" s="110"/>
    </row>
    <row r="191" spans="1:4" ht="15.6" outlineLevel="1">
      <c r="A191" s="37" t="s">
        <v>1173</v>
      </c>
      <c r="B191" s="38" t="s">
        <v>25</v>
      </c>
      <c r="C191" s="37">
        <v>5.48</v>
      </c>
      <c r="D191" s="110"/>
    </row>
    <row r="192" spans="1:4" ht="15.6">
      <c r="A192" s="43" t="s">
        <v>1173</v>
      </c>
      <c r="B192" s="38"/>
      <c r="C192" s="37"/>
      <c r="D192" s="110"/>
    </row>
    <row r="193" spans="1:4" ht="15.6" outlineLevel="1">
      <c r="A193" s="37" t="s">
        <v>1304</v>
      </c>
      <c r="B193" s="38" t="s">
        <v>0</v>
      </c>
      <c r="C193" s="37">
        <v>5.0999999999999996</v>
      </c>
      <c r="D193" s="110"/>
    </row>
    <row r="194" spans="1:4" ht="15.6" outlineLevel="1">
      <c r="A194" s="37" t="s">
        <v>1304</v>
      </c>
      <c r="B194" s="38" t="s">
        <v>1</v>
      </c>
      <c r="C194" s="37">
        <v>5.2</v>
      </c>
      <c r="D194" s="110"/>
    </row>
    <row r="195" spans="1:4" ht="15.6" outlineLevel="1">
      <c r="A195" s="37" t="s">
        <v>1304</v>
      </c>
      <c r="B195" s="38" t="s">
        <v>2</v>
      </c>
      <c r="C195" s="37">
        <v>5.3</v>
      </c>
      <c r="D195" s="110"/>
    </row>
    <row r="196" spans="1:4" ht="15.6" outlineLevel="1">
      <c r="A196" s="37" t="s">
        <v>1304</v>
      </c>
      <c r="B196" s="38" t="s">
        <v>319</v>
      </c>
      <c r="C196" s="37">
        <v>5.6</v>
      </c>
      <c r="D196" s="110"/>
    </row>
    <row r="197" spans="1:4" ht="15.6" outlineLevel="1">
      <c r="A197" s="37" t="s">
        <v>1304</v>
      </c>
      <c r="B197" s="38" t="s">
        <v>1300</v>
      </c>
      <c r="C197" s="39">
        <v>5.0999999999999996</v>
      </c>
      <c r="D197" s="110"/>
    </row>
    <row r="198" spans="1:4" ht="15.6" outlineLevel="1">
      <c r="A198" s="37" t="s">
        <v>1304</v>
      </c>
      <c r="B198" s="38" t="s">
        <v>1299</v>
      </c>
      <c r="C198" s="37">
        <v>5.14</v>
      </c>
      <c r="D198" s="110"/>
    </row>
    <row r="199" spans="1:4" ht="15.6" outlineLevel="1">
      <c r="A199" s="37" t="s">
        <v>1304</v>
      </c>
      <c r="B199" s="38" t="s">
        <v>4</v>
      </c>
      <c r="C199" s="37">
        <v>5.19</v>
      </c>
      <c r="D199" s="110"/>
    </row>
    <row r="200" spans="1:4" ht="15.6" outlineLevel="1">
      <c r="A200" s="37" t="s">
        <v>1304</v>
      </c>
      <c r="B200" s="38" t="s">
        <v>321</v>
      </c>
      <c r="C200" s="37">
        <v>5.24</v>
      </c>
      <c r="D200" s="110"/>
    </row>
    <row r="201" spans="1:4" ht="15.6" outlineLevel="1">
      <c r="A201" s="37" t="s">
        <v>1304</v>
      </c>
      <c r="B201" s="38" t="s">
        <v>6</v>
      </c>
      <c r="C201" s="37">
        <v>5.27</v>
      </c>
      <c r="D201" s="110"/>
    </row>
    <row r="202" spans="1:4" ht="15.6" outlineLevel="1">
      <c r="A202" s="37" t="s">
        <v>1304</v>
      </c>
      <c r="B202" s="38" t="s">
        <v>7</v>
      </c>
      <c r="C202" s="37">
        <v>5.28</v>
      </c>
      <c r="D202" s="110"/>
    </row>
    <row r="203" spans="1:4" ht="15.6" outlineLevel="1">
      <c r="A203" s="37" t="s">
        <v>1304</v>
      </c>
      <c r="B203" s="38" t="s">
        <v>516</v>
      </c>
      <c r="C203" s="37">
        <v>5.29</v>
      </c>
      <c r="D203" s="110"/>
    </row>
    <row r="204" spans="1:4" ht="15.6" outlineLevel="1">
      <c r="A204" s="37" t="s">
        <v>1304</v>
      </c>
      <c r="B204" s="38" t="s">
        <v>8</v>
      </c>
      <c r="C204" s="39">
        <v>5.3</v>
      </c>
      <c r="D204" s="110"/>
    </row>
    <row r="205" spans="1:4" ht="15.6" outlineLevel="1">
      <c r="A205" s="37" t="s">
        <v>1304</v>
      </c>
      <c r="B205" s="38" t="s">
        <v>1305</v>
      </c>
      <c r="C205" s="37">
        <v>5.34</v>
      </c>
      <c r="D205" s="110"/>
    </row>
    <row r="206" spans="1:4" ht="15.6" outlineLevel="1">
      <c r="A206" s="37" t="s">
        <v>1304</v>
      </c>
      <c r="B206" s="38" t="s">
        <v>322</v>
      </c>
      <c r="C206" s="37">
        <v>5.31</v>
      </c>
      <c r="D206" s="110"/>
    </row>
    <row r="207" spans="1:4" ht="15.6" outlineLevel="1">
      <c r="A207" s="37" t="s">
        <v>1304</v>
      </c>
      <c r="B207" s="38" t="s">
        <v>1306</v>
      </c>
      <c r="C207" s="37">
        <v>5.101</v>
      </c>
      <c r="D207" s="110"/>
    </row>
    <row r="208" spans="1:4" ht="15.6" outlineLevel="1">
      <c r="A208" s="37" t="s">
        <v>1304</v>
      </c>
      <c r="B208" s="38" t="s">
        <v>298</v>
      </c>
      <c r="C208" s="37">
        <v>5.36</v>
      </c>
      <c r="D208" s="110"/>
    </row>
    <row r="209" spans="1:4" ht="15.6" outlineLevel="1">
      <c r="A209" s="37" t="s">
        <v>1304</v>
      </c>
      <c r="B209" s="38" t="s">
        <v>11</v>
      </c>
      <c r="C209" s="37">
        <v>5.53</v>
      </c>
      <c r="D209" s="110"/>
    </row>
    <row r="210" spans="1:4" ht="15.6" outlineLevel="1">
      <c r="A210" s="37" t="s">
        <v>1304</v>
      </c>
      <c r="B210" s="38" t="s">
        <v>1307</v>
      </c>
      <c r="C210" s="37">
        <v>5.1020000000000003</v>
      </c>
      <c r="D210" s="110"/>
    </row>
    <row r="211" spans="1:4" ht="15.6" outlineLevel="1">
      <c r="A211" s="37" t="s">
        <v>1304</v>
      </c>
      <c r="B211" s="38" t="s">
        <v>1308</v>
      </c>
      <c r="C211" s="40">
        <v>5.0999999999999996</v>
      </c>
      <c r="D211" s="110"/>
    </row>
    <row r="212" spans="1:4" ht="15.6" outlineLevel="1">
      <c r="A212" s="37" t="s">
        <v>1304</v>
      </c>
      <c r="B212" s="38" t="s">
        <v>17</v>
      </c>
      <c r="C212" s="37">
        <v>5.58</v>
      </c>
      <c r="D212" s="110"/>
    </row>
    <row r="213" spans="1:4" ht="15.6" outlineLevel="1">
      <c r="A213" s="37" t="s">
        <v>1304</v>
      </c>
      <c r="B213" s="38" t="s">
        <v>18</v>
      </c>
      <c r="C213" s="37">
        <v>5.54</v>
      </c>
      <c r="D213" s="110"/>
    </row>
    <row r="214" spans="1:4" ht="15.6" outlineLevel="1">
      <c r="A214" s="37" t="s">
        <v>1304</v>
      </c>
      <c r="B214" s="38" t="s">
        <v>19</v>
      </c>
      <c r="C214" s="37">
        <v>5.55</v>
      </c>
      <c r="D214" s="110"/>
    </row>
    <row r="215" spans="1:4" ht="15.6" outlineLevel="1">
      <c r="A215" s="37" t="s">
        <v>1304</v>
      </c>
      <c r="B215" s="38" t="s">
        <v>20</v>
      </c>
      <c r="C215" s="37">
        <v>5.63</v>
      </c>
      <c r="D215" s="110"/>
    </row>
    <row r="216" spans="1:4" ht="15.6" outlineLevel="1">
      <c r="A216" s="37" t="s">
        <v>1304</v>
      </c>
      <c r="B216" s="38" t="s">
        <v>24</v>
      </c>
      <c r="C216" s="37">
        <v>5.47</v>
      </c>
      <c r="D216" s="110"/>
    </row>
    <row r="217" spans="1:4" ht="15.6" outlineLevel="1">
      <c r="A217" s="37" t="s">
        <v>1304</v>
      </c>
      <c r="B217" s="38" t="s">
        <v>25</v>
      </c>
      <c r="C217" s="37">
        <v>5.48</v>
      </c>
      <c r="D217" s="110"/>
    </row>
    <row r="218" spans="1:4" ht="15.6">
      <c r="A218" s="43" t="s">
        <v>1304</v>
      </c>
      <c r="B218" s="38"/>
      <c r="C218" s="37"/>
      <c r="D218" s="110"/>
    </row>
    <row r="219" spans="1:4" ht="15.6" outlineLevel="1">
      <c r="A219" s="37" t="s">
        <v>1176</v>
      </c>
      <c r="B219" s="38" t="s">
        <v>0</v>
      </c>
      <c r="C219" s="37">
        <v>5.0999999999999996</v>
      </c>
      <c r="D219" s="110"/>
    </row>
    <row r="220" spans="1:4" ht="15.6" outlineLevel="1">
      <c r="A220" s="37" t="s">
        <v>1176</v>
      </c>
      <c r="B220" s="38" t="s">
        <v>1</v>
      </c>
      <c r="C220" s="37">
        <v>5.2</v>
      </c>
      <c r="D220" s="110"/>
    </row>
    <row r="221" spans="1:4" ht="15.6" outlineLevel="1">
      <c r="A221" s="37" t="s">
        <v>1176</v>
      </c>
      <c r="B221" s="38" t="s">
        <v>2</v>
      </c>
      <c r="C221" s="37">
        <v>5.3</v>
      </c>
      <c r="D221" s="110"/>
    </row>
    <row r="222" spans="1:4" ht="15.6" outlineLevel="1">
      <c r="A222" s="37" t="s">
        <v>1176</v>
      </c>
      <c r="B222" s="38" t="s">
        <v>319</v>
      </c>
      <c r="C222" s="37">
        <v>5.6</v>
      </c>
      <c r="D222" s="110"/>
    </row>
    <row r="223" spans="1:4" ht="15.6" outlineLevel="1">
      <c r="A223" s="37" t="s">
        <v>1176</v>
      </c>
      <c r="B223" s="38" t="s">
        <v>1300</v>
      </c>
      <c r="C223" s="39">
        <v>5.0999999999999996</v>
      </c>
      <c r="D223" s="110"/>
    </row>
    <row r="224" spans="1:4" ht="15.6" outlineLevel="1">
      <c r="A224" s="37" t="s">
        <v>1176</v>
      </c>
      <c r="B224" s="38" t="s">
        <v>1299</v>
      </c>
      <c r="C224" s="37">
        <v>5.14</v>
      </c>
      <c r="D224" s="110"/>
    </row>
    <row r="225" spans="1:4" ht="15.6" outlineLevel="1">
      <c r="A225" s="37" t="s">
        <v>1176</v>
      </c>
      <c r="B225" s="38" t="s">
        <v>4</v>
      </c>
      <c r="C225" s="37">
        <v>5.19</v>
      </c>
      <c r="D225" s="110"/>
    </row>
    <row r="226" spans="1:4" ht="15.6" outlineLevel="1">
      <c r="A226" s="37" t="s">
        <v>1176</v>
      </c>
      <c r="B226" s="38" t="s">
        <v>321</v>
      </c>
      <c r="C226" s="37">
        <v>5.24</v>
      </c>
      <c r="D226" s="110"/>
    </row>
    <row r="227" spans="1:4" ht="15.6" outlineLevel="1">
      <c r="A227" s="37" t="s">
        <v>1176</v>
      </c>
      <c r="B227" s="38" t="s">
        <v>5</v>
      </c>
      <c r="C227" s="37">
        <v>5.26</v>
      </c>
      <c r="D227" s="110"/>
    </row>
    <row r="228" spans="1:4" ht="15.6" outlineLevel="1">
      <c r="A228" s="37" t="s">
        <v>1176</v>
      </c>
      <c r="B228" s="38" t="s">
        <v>6</v>
      </c>
      <c r="C228" s="37">
        <v>5.27</v>
      </c>
      <c r="D228" s="110"/>
    </row>
    <row r="229" spans="1:4" ht="15.6" outlineLevel="1">
      <c r="A229" s="37" t="s">
        <v>1176</v>
      </c>
      <c r="B229" s="38" t="s">
        <v>7</v>
      </c>
      <c r="C229" s="37">
        <v>5.28</v>
      </c>
      <c r="D229" s="110"/>
    </row>
    <row r="230" spans="1:4" ht="15.6" outlineLevel="1">
      <c r="A230" s="37" t="s">
        <v>1176</v>
      </c>
      <c r="B230" s="38" t="s">
        <v>516</v>
      </c>
      <c r="C230" s="37">
        <v>5.29</v>
      </c>
      <c r="D230" s="110"/>
    </row>
    <row r="231" spans="1:4" ht="15.6" outlineLevel="1">
      <c r="A231" s="37" t="s">
        <v>1176</v>
      </c>
      <c r="B231" s="38" t="s">
        <v>8</v>
      </c>
      <c r="C231" s="39">
        <v>5.3</v>
      </c>
      <c r="D231" s="110"/>
    </row>
    <row r="232" spans="1:4" ht="15.6" outlineLevel="1">
      <c r="A232" s="37" t="s">
        <v>1176</v>
      </c>
      <c r="B232" s="38" t="s">
        <v>322</v>
      </c>
      <c r="C232" s="37">
        <v>5.31</v>
      </c>
      <c r="D232" s="110"/>
    </row>
    <row r="233" spans="1:4" ht="15.6" outlineLevel="1">
      <c r="A233" s="37" t="s">
        <v>1176</v>
      </c>
      <c r="B233" s="38" t="s">
        <v>365</v>
      </c>
      <c r="C233" s="37">
        <v>5.33</v>
      </c>
      <c r="D233" s="110"/>
    </row>
    <row r="234" spans="1:4" ht="15.6" outlineLevel="1">
      <c r="A234" s="37" t="s">
        <v>1176</v>
      </c>
      <c r="B234" s="38" t="s">
        <v>1306</v>
      </c>
      <c r="C234" s="37">
        <v>5.101</v>
      </c>
      <c r="D234" s="110"/>
    </row>
    <row r="235" spans="1:4" ht="15.6" outlineLevel="1">
      <c r="A235" s="37" t="s">
        <v>1176</v>
      </c>
      <c r="B235" s="38" t="s">
        <v>298</v>
      </c>
      <c r="C235" s="37">
        <v>5.36</v>
      </c>
      <c r="D235" s="110"/>
    </row>
    <row r="236" spans="1:4" ht="15.6" outlineLevel="1">
      <c r="A236" s="37" t="s">
        <v>1176</v>
      </c>
      <c r="B236" s="38" t="s">
        <v>11</v>
      </c>
      <c r="C236" s="37">
        <v>5.53</v>
      </c>
      <c r="D236" s="110"/>
    </row>
    <row r="237" spans="1:4" ht="15.6" outlineLevel="1">
      <c r="A237" s="37" t="s">
        <v>1176</v>
      </c>
      <c r="B237" s="38" t="s">
        <v>1307</v>
      </c>
      <c r="C237" s="37">
        <v>5.1020000000000003</v>
      </c>
      <c r="D237" s="110"/>
    </row>
    <row r="238" spans="1:4" ht="15.6" outlineLevel="1">
      <c r="A238" s="37" t="s">
        <v>1176</v>
      </c>
      <c r="B238" s="38" t="s">
        <v>17</v>
      </c>
      <c r="C238" s="37">
        <v>5.58</v>
      </c>
      <c r="D238" s="110"/>
    </row>
    <row r="239" spans="1:4" ht="15.6" outlineLevel="1">
      <c r="A239" s="37" t="s">
        <v>1176</v>
      </c>
      <c r="B239" s="38" t="s">
        <v>18</v>
      </c>
      <c r="C239" s="37">
        <v>5.54</v>
      </c>
      <c r="D239" s="110"/>
    </row>
    <row r="240" spans="1:4" ht="15.6" outlineLevel="1">
      <c r="A240" s="37" t="s">
        <v>1176</v>
      </c>
      <c r="B240" s="38" t="s">
        <v>19</v>
      </c>
      <c r="C240" s="37">
        <v>5.55</v>
      </c>
      <c r="D240" s="110"/>
    </row>
    <row r="241" spans="1:4" ht="15.6" outlineLevel="1">
      <c r="A241" s="37" t="s">
        <v>1176</v>
      </c>
      <c r="B241" s="38" t="s">
        <v>20</v>
      </c>
      <c r="C241" s="37">
        <v>5.63</v>
      </c>
      <c r="D241" s="110"/>
    </row>
    <row r="242" spans="1:4" ht="15.6" outlineLevel="1">
      <c r="A242" s="37" t="s">
        <v>1176</v>
      </c>
      <c r="B242" s="38" t="s">
        <v>24</v>
      </c>
      <c r="C242" s="37">
        <v>5.47</v>
      </c>
      <c r="D242" s="110"/>
    </row>
    <row r="243" spans="1:4" ht="15.6" outlineLevel="1">
      <c r="A243" s="37" t="s">
        <v>1176</v>
      </c>
      <c r="B243" s="38" t="s">
        <v>25</v>
      </c>
      <c r="C243" s="37">
        <v>5.48</v>
      </c>
      <c r="D243" s="110"/>
    </row>
    <row r="244" spans="1:4" ht="15.6">
      <c r="A244" s="43" t="s">
        <v>1176</v>
      </c>
      <c r="B244" s="38"/>
      <c r="C244" s="37"/>
      <c r="D244" s="110"/>
    </row>
    <row r="245" spans="1:4" ht="15.6" outlineLevel="1">
      <c r="A245" s="37" t="s">
        <v>1309</v>
      </c>
      <c r="B245" s="38" t="s">
        <v>0</v>
      </c>
      <c r="C245" s="37">
        <v>5.0999999999999996</v>
      </c>
      <c r="D245" s="110"/>
    </row>
    <row r="246" spans="1:4" ht="15.6" outlineLevel="1">
      <c r="A246" s="37" t="s">
        <v>1309</v>
      </c>
      <c r="B246" s="38" t="s">
        <v>1</v>
      </c>
      <c r="C246" s="37">
        <v>5.2</v>
      </c>
      <c r="D246" s="110"/>
    </row>
    <row r="247" spans="1:4" ht="15.6" outlineLevel="1">
      <c r="A247" s="37" t="s">
        <v>1309</v>
      </c>
      <c r="B247" s="38" t="s">
        <v>2</v>
      </c>
      <c r="C247" s="37">
        <v>5.3</v>
      </c>
      <c r="D247" s="110"/>
    </row>
    <row r="248" spans="1:4" ht="15.6" outlineLevel="1">
      <c r="A248" s="37" t="s">
        <v>1309</v>
      </c>
      <c r="B248" s="38" t="s">
        <v>319</v>
      </c>
      <c r="C248" s="37">
        <v>5.6</v>
      </c>
      <c r="D248" s="110"/>
    </row>
    <row r="249" spans="1:4" ht="15.6" outlineLevel="1">
      <c r="A249" s="37" t="s">
        <v>1309</v>
      </c>
      <c r="B249" s="38" t="s">
        <v>1300</v>
      </c>
      <c r="C249" s="39">
        <v>5.0999999999999996</v>
      </c>
      <c r="D249" s="110"/>
    </row>
    <row r="250" spans="1:4" ht="15.6" outlineLevel="1">
      <c r="A250" s="37" t="s">
        <v>1309</v>
      </c>
      <c r="B250" s="38" t="s">
        <v>1299</v>
      </c>
      <c r="C250" s="37">
        <v>5.14</v>
      </c>
      <c r="D250" s="110"/>
    </row>
    <row r="251" spans="1:4" ht="15.6" outlineLevel="1">
      <c r="A251" s="37" t="s">
        <v>1309</v>
      </c>
      <c r="B251" s="38" t="s">
        <v>4</v>
      </c>
      <c r="C251" s="37">
        <v>5.19</v>
      </c>
      <c r="D251" s="110"/>
    </row>
    <row r="252" spans="1:4" ht="15.6" outlineLevel="1">
      <c r="A252" s="37" t="s">
        <v>1309</v>
      </c>
      <c r="B252" s="38" t="s">
        <v>321</v>
      </c>
      <c r="C252" s="37">
        <v>5.24</v>
      </c>
      <c r="D252" s="110"/>
    </row>
    <row r="253" spans="1:4" ht="15.6" outlineLevel="1">
      <c r="A253" s="37" t="s">
        <v>1309</v>
      </c>
      <c r="B253" s="38" t="s">
        <v>6</v>
      </c>
      <c r="C253" s="37">
        <v>5.27</v>
      </c>
      <c r="D253" s="110"/>
    </row>
    <row r="254" spans="1:4" ht="15.6" outlineLevel="1">
      <c r="A254" s="37" t="s">
        <v>1309</v>
      </c>
      <c r="B254" s="38" t="s">
        <v>7</v>
      </c>
      <c r="C254" s="37">
        <v>5.28</v>
      </c>
      <c r="D254" s="110"/>
    </row>
    <row r="255" spans="1:4" ht="15.6" outlineLevel="1">
      <c r="A255" s="37" t="s">
        <v>1309</v>
      </c>
      <c r="B255" s="38" t="s">
        <v>8</v>
      </c>
      <c r="C255" s="39">
        <v>5.3</v>
      </c>
      <c r="D255" s="110"/>
    </row>
    <row r="256" spans="1:4" ht="15.6" outlineLevel="1">
      <c r="A256" s="37" t="s">
        <v>1309</v>
      </c>
      <c r="B256" s="38" t="s">
        <v>365</v>
      </c>
      <c r="C256" s="37">
        <v>5.33</v>
      </c>
      <c r="D256" s="110"/>
    </row>
    <row r="257" spans="1:4" ht="15.6" outlineLevel="1">
      <c r="A257" s="37" t="s">
        <v>1309</v>
      </c>
      <c r="B257" s="38" t="s">
        <v>298</v>
      </c>
      <c r="C257" s="37">
        <v>5.36</v>
      </c>
      <c r="D257" s="110"/>
    </row>
    <row r="258" spans="1:4" ht="15.6" outlineLevel="1">
      <c r="A258" s="37" t="s">
        <v>1309</v>
      </c>
      <c r="B258" s="38" t="s">
        <v>11</v>
      </c>
      <c r="C258" s="37">
        <v>5.53</v>
      </c>
      <c r="D258" s="110"/>
    </row>
    <row r="259" spans="1:4" ht="15.6" outlineLevel="1">
      <c r="A259" s="37" t="s">
        <v>1309</v>
      </c>
      <c r="B259" s="38" t="s">
        <v>17</v>
      </c>
      <c r="C259" s="37">
        <v>5.58</v>
      </c>
      <c r="D259" s="110"/>
    </row>
    <row r="260" spans="1:4" ht="15.6" outlineLevel="1">
      <c r="A260" s="37" t="s">
        <v>1309</v>
      </c>
      <c r="B260" s="38" t="s">
        <v>18</v>
      </c>
      <c r="C260" s="37">
        <v>5.54</v>
      </c>
      <c r="D260" s="110"/>
    </row>
    <row r="261" spans="1:4" ht="15.6" outlineLevel="1">
      <c r="A261" s="37" t="s">
        <v>1309</v>
      </c>
      <c r="B261" s="38" t="s">
        <v>19</v>
      </c>
      <c r="C261" s="37">
        <v>5.55</v>
      </c>
      <c r="D261" s="110"/>
    </row>
    <row r="262" spans="1:4" ht="15.6" outlineLevel="1">
      <c r="A262" s="37" t="s">
        <v>1309</v>
      </c>
      <c r="B262" s="38" t="s">
        <v>20</v>
      </c>
      <c r="C262" s="37">
        <v>5.63</v>
      </c>
      <c r="D262" s="110"/>
    </row>
    <row r="263" spans="1:4" ht="15.6" outlineLevel="1">
      <c r="A263" s="37" t="s">
        <v>1309</v>
      </c>
      <c r="B263" s="38" t="s">
        <v>24</v>
      </c>
      <c r="C263" s="37">
        <v>5.47</v>
      </c>
      <c r="D263" s="110"/>
    </row>
    <row r="264" spans="1:4" ht="15.6" outlineLevel="1">
      <c r="A264" s="37" t="s">
        <v>1309</v>
      </c>
      <c r="B264" s="38" t="s">
        <v>25</v>
      </c>
      <c r="C264" s="37">
        <v>5.48</v>
      </c>
      <c r="D264" s="110"/>
    </row>
    <row r="265" spans="1:4" ht="15.6">
      <c r="A265" s="43" t="s">
        <v>1309</v>
      </c>
      <c r="B265" s="38"/>
      <c r="C265" s="37"/>
      <c r="D265" s="110"/>
    </row>
    <row r="266" spans="1:4" ht="15.6" outlineLevel="1">
      <c r="A266" s="37" t="s">
        <v>1181</v>
      </c>
      <c r="B266" s="38" t="s">
        <v>0</v>
      </c>
      <c r="C266" s="37">
        <v>5.0999999999999996</v>
      </c>
      <c r="D266" s="110"/>
    </row>
    <row r="267" spans="1:4" ht="15.6" outlineLevel="1">
      <c r="A267" s="37" t="s">
        <v>1181</v>
      </c>
      <c r="B267" s="38" t="s">
        <v>1</v>
      </c>
      <c r="C267" s="37">
        <v>5.2</v>
      </c>
      <c r="D267" s="110"/>
    </row>
    <row r="268" spans="1:4" ht="15.6" outlineLevel="1">
      <c r="A268" s="37" t="s">
        <v>1181</v>
      </c>
      <c r="B268" s="38" t="s">
        <v>2</v>
      </c>
      <c r="C268" s="37">
        <v>5.3</v>
      </c>
      <c r="D268" s="110"/>
    </row>
    <row r="269" spans="1:4" ht="15.6" outlineLevel="1">
      <c r="A269" s="37" t="s">
        <v>1181</v>
      </c>
      <c r="B269" s="38" t="s">
        <v>319</v>
      </c>
      <c r="C269" s="37">
        <v>5.6</v>
      </c>
      <c r="D269" s="110"/>
    </row>
    <row r="270" spans="1:4" ht="15.6" outlineLevel="1">
      <c r="A270" s="37" t="s">
        <v>1181</v>
      </c>
      <c r="B270" s="38" t="s">
        <v>1300</v>
      </c>
      <c r="C270" s="39">
        <v>5.0999999999999996</v>
      </c>
      <c r="D270" s="110"/>
    </row>
    <row r="271" spans="1:4" ht="15.6" outlineLevel="1">
      <c r="A271" s="37" t="s">
        <v>1181</v>
      </c>
      <c r="B271" s="38" t="s">
        <v>1299</v>
      </c>
      <c r="C271" s="37">
        <v>5.14</v>
      </c>
      <c r="D271" s="110"/>
    </row>
    <row r="272" spans="1:4" ht="15.6" outlineLevel="1">
      <c r="A272" s="37" t="s">
        <v>1181</v>
      </c>
      <c r="B272" s="38" t="s">
        <v>4</v>
      </c>
      <c r="C272" s="37">
        <v>5.19</v>
      </c>
      <c r="D272" s="110"/>
    </row>
    <row r="273" spans="1:4" ht="15.6" outlineLevel="1">
      <c r="A273" s="37" t="s">
        <v>1181</v>
      </c>
      <c r="B273" s="38" t="s">
        <v>321</v>
      </c>
      <c r="C273" s="37">
        <v>5.24</v>
      </c>
      <c r="D273" s="110"/>
    </row>
    <row r="274" spans="1:4" ht="15.6" outlineLevel="1">
      <c r="A274" s="37" t="s">
        <v>1181</v>
      </c>
      <c r="B274" s="38" t="s">
        <v>5</v>
      </c>
      <c r="C274" s="37">
        <v>5.26</v>
      </c>
      <c r="D274" s="110"/>
    </row>
    <row r="275" spans="1:4" ht="15.6" outlineLevel="1">
      <c r="A275" s="37" t="s">
        <v>1181</v>
      </c>
      <c r="B275" s="38" t="s">
        <v>6</v>
      </c>
      <c r="C275" s="37">
        <v>5.27</v>
      </c>
      <c r="D275" s="110"/>
    </row>
    <row r="276" spans="1:4" ht="15.6" outlineLevel="1">
      <c r="A276" s="37" t="s">
        <v>1181</v>
      </c>
      <c r="B276" s="38" t="s">
        <v>7</v>
      </c>
      <c r="C276" s="37">
        <v>5.28</v>
      </c>
      <c r="D276" s="110"/>
    </row>
    <row r="277" spans="1:4" ht="15.6" outlineLevel="1">
      <c r="A277" s="37" t="s">
        <v>1181</v>
      </c>
      <c r="B277" s="38" t="s">
        <v>516</v>
      </c>
      <c r="C277" s="37">
        <v>5.29</v>
      </c>
      <c r="D277" s="110"/>
    </row>
    <row r="278" spans="1:4" ht="15.6" outlineLevel="1">
      <c r="A278" s="37" t="s">
        <v>1181</v>
      </c>
      <c r="B278" s="38" t="s">
        <v>8</v>
      </c>
      <c r="C278" s="39">
        <v>5.3</v>
      </c>
      <c r="D278" s="110"/>
    </row>
    <row r="279" spans="1:4" ht="15.6" outlineLevel="1">
      <c r="A279" s="37" t="s">
        <v>1181</v>
      </c>
      <c r="B279" s="38" t="s">
        <v>365</v>
      </c>
      <c r="C279" s="37">
        <v>5.33</v>
      </c>
      <c r="D279" s="110"/>
    </row>
    <row r="280" spans="1:4" ht="15.6" outlineLevel="1">
      <c r="A280" s="37" t="s">
        <v>1181</v>
      </c>
      <c r="B280" s="38" t="s">
        <v>298</v>
      </c>
      <c r="C280" s="37">
        <v>5.36</v>
      </c>
      <c r="D280" s="110"/>
    </row>
    <row r="281" spans="1:4" ht="15.6" outlineLevel="1">
      <c r="A281" s="37" t="s">
        <v>1181</v>
      </c>
      <c r="B281" s="38" t="s">
        <v>12</v>
      </c>
      <c r="C281" s="37">
        <v>5.69</v>
      </c>
      <c r="D281" s="110"/>
    </row>
    <row r="282" spans="1:4" ht="15.6" outlineLevel="1">
      <c r="A282" s="37" t="s">
        <v>1181</v>
      </c>
      <c r="B282" s="38" t="s">
        <v>14</v>
      </c>
      <c r="C282" s="39">
        <v>5.7</v>
      </c>
      <c r="D282" s="110"/>
    </row>
    <row r="283" spans="1:4" ht="15.6" outlineLevel="1">
      <c r="A283" s="37" t="s">
        <v>1181</v>
      </c>
      <c r="B283" s="38" t="s">
        <v>15</v>
      </c>
      <c r="C283" s="37">
        <v>5.74</v>
      </c>
      <c r="D283" s="110"/>
    </row>
    <row r="284" spans="1:4" ht="15.6" outlineLevel="1">
      <c r="A284" s="37" t="s">
        <v>1181</v>
      </c>
      <c r="B284" s="38" t="s">
        <v>9</v>
      </c>
      <c r="C284" s="37">
        <v>5.49</v>
      </c>
      <c r="D284" s="110"/>
    </row>
    <row r="285" spans="1:4" ht="15.6" outlineLevel="1">
      <c r="A285" s="37" t="s">
        <v>1181</v>
      </c>
      <c r="B285" s="38" t="s">
        <v>10</v>
      </c>
      <c r="C285" s="37">
        <v>5.51</v>
      </c>
      <c r="D285" s="110"/>
    </row>
    <row r="286" spans="1:4" ht="15.6" outlineLevel="1">
      <c r="A286" s="37" t="s">
        <v>1181</v>
      </c>
      <c r="B286" s="38" t="s">
        <v>1301</v>
      </c>
      <c r="C286" s="37">
        <v>5.52</v>
      </c>
      <c r="D286" s="110"/>
    </row>
    <row r="287" spans="1:4" ht="15.6" outlineLevel="1">
      <c r="A287" s="37" t="s">
        <v>1181</v>
      </c>
      <c r="B287" s="38" t="s">
        <v>11</v>
      </c>
      <c r="C287" s="37">
        <v>5.53</v>
      </c>
      <c r="D287" s="110"/>
    </row>
    <row r="288" spans="1:4" ht="15.6" outlineLevel="1">
      <c r="A288" s="37" t="s">
        <v>1181</v>
      </c>
      <c r="B288" s="38" t="s">
        <v>17</v>
      </c>
      <c r="C288" s="37">
        <v>5.58</v>
      </c>
      <c r="D288" s="110"/>
    </row>
    <row r="289" spans="1:4" ht="15.6" outlineLevel="1">
      <c r="A289" s="37" t="s">
        <v>1181</v>
      </c>
      <c r="B289" s="38" t="s">
        <v>18</v>
      </c>
      <c r="C289" s="37">
        <v>5.54</v>
      </c>
      <c r="D289" s="110"/>
    </row>
    <row r="290" spans="1:4" ht="15.6" outlineLevel="1">
      <c r="A290" s="37" t="s">
        <v>1181</v>
      </c>
      <c r="B290" s="38" t="s">
        <v>19</v>
      </c>
      <c r="C290" s="37">
        <v>5.55</v>
      </c>
      <c r="D290" s="110"/>
    </row>
    <row r="291" spans="1:4" ht="15.6" outlineLevel="1">
      <c r="A291" s="37" t="s">
        <v>1181</v>
      </c>
      <c r="B291" s="38" t="s">
        <v>20</v>
      </c>
      <c r="C291" s="37">
        <v>5.63</v>
      </c>
      <c r="D291" s="110"/>
    </row>
    <row r="292" spans="1:4" ht="15.6" outlineLevel="1">
      <c r="A292" s="37" t="s">
        <v>1181</v>
      </c>
      <c r="B292" s="38" t="s">
        <v>24</v>
      </c>
      <c r="C292" s="37">
        <v>5.47</v>
      </c>
      <c r="D292" s="110"/>
    </row>
    <row r="293" spans="1:4" ht="15.6" outlineLevel="1">
      <c r="A293" s="37" t="s">
        <v>1181</v>
      </c>
      <c r="B293" s="38" t="s">
        <v>25</v>
      </c>
      <c r="C293" s="37">
        <v>5.48</v>
      </c>
      <c r="D293" s="110"/>
    </row>
    <row r="294" spans="1:4" ht="15.6">
      <c r="A294" s="43" t="s">
        <v>1181</v>
      </c>
      <c r="B294" s="38"/>
      <c r="C294" s="37"/>
      <c r="D294" s="110"/>
    </row>
    <row r="295" spans="1:4" ht="31.2" outlineLevel="1">
      <c r="A295" s="37" t="s">
        <v>1188</v>
      </c>
      <c r="B295" s="38" t="s">
        <v>0</v>
      </c>
      <c r="C295" s="37">
        <v>5.0999999999999996</v>
      </c>
      <c r="D295" s="110"/>
    </row>
    <row r="296" spans="1:4" ht="31.2" outlineLevel="1">
      <c r="A296" s="37" t="s">
        <v>1188</v>
      </c>
      <c r="B296" s="38" t="s">
        <v>1</v>
      </c>
      <c r="C296" s="37">
        <v>5.2</v>
      </c>
      <c r="D296" s="110"/>
    </row>
    <row r="297" spans="1:4" ht="31.2" outlineLevel="1">
      <c r="A297" s="37" t="s">
        <v>1188</v>
      </c>
      <c r="B297" s="38" t="s">
        <v>2</v>
      </c>
      <c r="C297" s="37">
        <v>5.3</v>
      </c>
      <c r="D297" s="110"/>
    </row>
    <row r="298" spans="1:4" ht="31.2" outlineLevel="1">
      <c r="A298" s="37" t="s">
        <v>1188</v>
      </c>
      <c r="B298" s="38" t="s">
        <v>1299</v>
      </c>
      <c r="C298" s="37">
        <v>5.14</v>
      </c>
      <c r="D298" s="110"/>
    </row>
    <row r="299" spans="1:4" ht="31.2" outlineLevel="1">
      <c r="A299" s="37" t="s">
        <v>1188</v>
      </c>
      <c r="B299" s="38" t="s">
        <v>4</v>
      </c>
      <c r="C299" s="37">
        <v>5.19</v>
      </c>
      <c r="D299" s="110"/>
    </row>
    <row r="300" spans="1:4" ht="31.2" outlineLevel="1">
      <c r="A300" s="37" t="s">
        <v>1188</v>
      </c>
      <c r="B300" s="38" t="s">
        <v>321</v>
      </c>
      <c r="C300" s="37">
        <v>5.24</v>
      </c>
      <c r="D300" s="110"/>
    </row>
    <row r="301" spans="1:4" ht="31.2" outlineLevel="1">
      <c r="A301" s="37" t="s">
        <v>1188</v>
      </c>
      <c r="B301" s="38" t="s">
        <v>5</v>
      </c>
      <c r="C301" s="37">
        <v>5.26</v>
      </c>
      <c r="D301" s="110"/>
    </row>
    <row r="302" spans="1:4" ht="31.2" outlineLevel="1">
      <c r="A302" s="37" t="s">
        <v>1188</v>
      </c>
      <c r="B302" s="38" t="s">
        <v>6</v>
      </c>
      <c r="C302" s="37">
        <v>5.27</v>
      </c>
      <c r="D302" s="110"/>
    </row>
    <row r="303" spans="1:4" ht="31.2" outlineLevel="1">
      <c r="A303" s="37" t="s">
        <v>1188</v>
      </c>
      <c r="B303" s="38" t="s">
        <v>7</v>
      </c>
      <c r="C303" s="37">
        <v>5.28</v>
      </c>
      <c r="D303" s="110"/>
    </row>
    <row r="304" spans="1:4" ht="31.2" outlineLevel="1">
      <c r="A304" s="37" t="s">
        <v>1188</v>
      </c>
      <c r="B304" s="38" t="s">
        <v>330</v>
      </c>
      <c r="C304" s="37">
        <v>5.37</v>
      </c>
      <c r="D304" s="110"/>
    </row>
    <row r="305" spans="1:4" ht="31.2" outlineLevel="1">
      <c r="A305" s="37" t="s">
        <v>1188</v>
      </c>
      <c r="B305" s="38" t="s">
        <v>9</v>
      </c>
      <c r="C305" s="37">
        <v>5.49</v>
      </c>
      <c r="D305" s="110"/>
    </row>
    <row r="306" spans="1:4" ht="31.2" outlineLevel="1">
      <c r="A306" s="37" t="s">
        <v>1188</v>
      </c>
      <c r="B306" s="38" t="s">
        <v>10</v>
      </c>
      <c r="C306" s="37">
        <v>5.51</v>
      </c>
      <c r="D306" s="110"/>
    </row>
    <row r="307" spans="1:4" ht="31.2" outlineLevel="1">
      <c r="A307" s="37" t="s">
        <v>1188</v>
      </c>
      <c r="B307" s="38" t="s">
        <v>11</v>
      </c>
      <c r="C307" s="37">
        <v>5.53</v>
      </c>
      <c r="D307" s="110"/>
    </row>
    <row r="308" spans="1:4" ht="31.2" outlineLevel="1">
      <c r="A308" s="37" t="s">
        <v>1188</v>
      </c>
      <c r="B308" s="38" t="s">
        <v>12</v>
      </c>
      <c r="C308" s="37">
        <v>5.69</v>
      </c>
      <c r="D308" s="110"/>
    </row>
    <row r="309" spans="1:4" ht="31.2" outlineLevel="1">
      <c r="A309" s="37" t="s">
        <v>1188</v>
      </c>
      <c r="B309" s="38" t="s">
        <v>13</v>
      </c>
      <c r="C309" s="37">
        <v>5.75</v>
      </c>
      <c r="D309" s="110"/>
    </row>
    <row r="310" spans="1:4" ht="31.2" outlineLevel="1">
      <c r="A310" s="37" t="s">
        <v>1188</v>
      </c>
      <c r="B310" s="38" t="s">
        <v>14</v>
      </c>
      <c r="C310" s="39">
        <v>5.7</v>
      </c>
      <c r="D310" s="110"/>
    </row>
    <row r="311" spans="1:4" ht="31.2" outlineLevel="1">
      <c r="A311" s="37" t="s">
        <v>1188</v>
      </c>
      <c r="B311" s="38" t="s">
        <v>15</v>
      </c>
      <c r="C311" s="37">
        <v>5.74</v>
      </c>
      <c r="D311" s="110"/>
    </row>
    <row r="312" spans="1:4" ht="31.2" outlineLevel="1">
      <c r="A312" s="37" t="s">
        <v>1188</v>
      </c>
      <c r="B312" s="38" t="s">
        <v>17</v>
      </c>
      <c r="C312" s="37">
        <v>5.58</v>
      </c>
      <c r="D312" s="110"/>
    </row>
    <row r="313" spans="1:4" ht="31.2" outlineLevel="1">
      <c r="A313" s="37" t="s">
        <v>1188</v>
      </c>
      <c r="B313" s="38" t="s">
        <v>18</v>
      </c>
      <c r="C313" s="37">
        <v>5.54</v>
      </c>
      <c r="D313" s="110"/>
    </row>
    <row r="314" spans="1:4" ht="31.2" outlineLevel="1">
      <c r="A314" s="37" t="s">
        <v>1188</v>
      </c>
      <c r="B314" s="38" t="s">
        <v>19</v>
      </c>
      <c r="C314" s="37">
        <v>5.55</v>
      </c>
      <c r="D314" s="110"/>
    </row>
    <row r="315" spans="1:4" ht="31.2" outlineLevel="1">
      <c r="A315" s="37" t="s">
        <v>1188</v>
      </c>
      <c r="B315" s="38" t="s">
        <v>20</v>
      </c>
      <c r="C315" s="37">
        <v>5.63</v>
      </c>
      <c r="D315" s="110"/>
    </row>
    <row r="316" spans="1:4" ht="31.2" outlineLevel="1">
      <c r="A316" s="37" t="s">
        <v>1188</v>
      </c>
      <c r="B316" s="38" t="s">
        <v>21</v>
      </c>
      <c r="C316" s="37">
        <v>5.65</v>
      </c>
      <c r="D316" s="110"/>
    </row>
    <row r="317" spans="1:4" ht="31.2" outlineLevel="1">
      <c r="A317" s="37" t="s">
        <v>1188</v>
      </c>
      <c r="B317" s="38" t="s">
        <v>22</v>
      </c>
      <c r="C317" s="37">
        <v>5.68</v>
      </c>
      <c r="D317" s="110"/>
    </row>
    <row r="318" spans="1:4" ht="31.2" outlineLevel="1">
      <c r="A318" s="37" t="s">
        <v>1188</v>
      </c>
      <c r="B318" s="38" t="s">
        <v>24</v>
      </c>
      <c r="C318" s="37">
        <v>5.47</v>
      </c>
      <c r="D318" s="110"/>
    </row>
    <row r="319" spans="1:4" ht="31.2" outlineLevel="1">
      <c r="A319" s="37" t="s">
        <v>1188</v>
      </c>
      <c r="B319" s="38" t="s">
        <v>25</v>
      </c>
      <c r="C319" s="37">
        <v>5.48</v>
      </c>
      <c r="D319" s="110"/>
    </row>
    <row r="320" spans="1:4" ht="31.2">
      <c r="A320" s="43" t="s">
        <v>1188</v>
      </c>
      <c r="B320" s="38"/>
      <c r="C320" s="37"/>
      <c r="D320" s="110"/>
    </row>
    <row r="321" spans="1:4" ht="15.6" outlineLevel="1">
      <c r="A321" s="37" t="s">
        <v>1189</v>
      </c>
      <c r="B321" s="38" t="s">
        <v>0</v>
      </c>
      <c r="C321" s="37">
        <v>5.0999999999999996</v>
      </c>
      <c r="D321" s="110"/>
    </row>
    <row r="322" spans="1:4" ht="15.6" outlineLevel="1">
      <c r="A322" s="37" t="s">
        <v>1189</v>
      </c>
      <c r="B322" s="38" t="s">
        <v>1</v>
      </c>
      <c r="C322" s="37">
        <v>5.2</v>
      </c>
      <c r="D322" s="110"/>
    </row>
    <row r="323" spans="1:4" ht="15.6" outlineLevel="1">
      <c r="A323" s="37" t="s">
        <v>1189</v>
      </c>
      <c r="B323" s="38" t="s">
        <v>5</v>
      </c>
      <c r="C323" s="37">
        <v>5.26</v>
      </c>
      <c r="D323" s="110"/>
    </row>
    <row r="324" spans="1:4" ht="15.6" outlineLevel="1">
      <c r="A324" s="37" t="s">
        <v>1189</v>
      </c>
      <c r="B324" s="38" t="s">
        <v>1299</v>
      </c>
      <c r="C324" s="37">
        <v>5.14</v>
      </c>
      <c r="D324" s="110"/>
    </row>
    <row r="325" spans="1:4" ht="15.6" outlineLevel="1">
      <c r="A325" s="37" t="s">
        <v>1189</v>
      </c>
      <c r="B325" s="38" t="s">
        <v>4</v>
      </c>
      <c r="C325" s="37">
        <v>5.19</v>
      </c>
      <c r="D325" s="110"/>
    </row>
    <row r="326" spans="1:4" ht="15.6" outlineLevel="1">
      <c r="A326" s="37" t="s">
        <v>1189</v>
      </c>
      <c r="B326" s="38" t="s">
        <v>330</v>
      </c>
      <c r="C326" s="37">
        <v>5.37</v>
      </c>
      <c r="D326" s="110"/>
    </row>
    <row r="327" spans="1:4" ht="15.6" outlineLevel="1">
      <c r="A327" s="37" t="s">
        <v>1189</v>
      </c>
      <c r="B327" s="38" t="s">
        <v>12</v>
      </c>
      <c r="C327" s="37">
        <v>5.69</v>
      </c>
      <c r="D327" s="110"/>
    </row>
    <row r="328" spans="1:4" ht="15.6" outlineLevel="1">
      <c r="A328" s="37" t="s">
        <v>1189</v>
      </c>
      <c r="B328" s="38" t="s">
        <v>943</v>
      </c>
      <c r="C328" s="39">
        <v>5.8</v>
      </c>
      <c r="D328" s="110"/>
    </row>
    <row r="329" spans="1:4" ht="15.6" outlineLevel="1">
      <c r="A329" s="37" t="s">
        <v>1189</v>
      </c>
      <c r="B329" s="38" t="s">
        <v>13</v>
      </c>
      <c r="C329" s="37">
        <v>5.75</v>
      </c>
      <c r="D329" s="110"/>
    </row>
    <row r="330" spans="1:4" ht="15.6" outlineLevel="1">
      <c r="A330" s="37" t="s">
        <v>1189</v>
      </c>
      <c r="B330" s="38" t="s">
        <v>14</v>
      </c>
      <c r="C330" s="39">
        <v>5.7</v>
      </c>
      <c r="D330" s="110"/>
    </row>
    <row r="331" spans="1:4" ht="15.6" outlineLevel="1">
      <c r="A331" s="37" t="s">
        <v>1189</v>
      </c>
      <c r="B331" s="38" t="s">
        <v>15</v>
      </c>
      <c r="C331" s="37">
        <v>5.74</v>
      </c>
      <c r="D331" s="110"/>
    </row>
    <row r="332" spans="1:4" ht="15.6" outlineLevel="1">
      <c r="A332" s="37" t="s">
        <v>1189</v>
      </c>
      <c r="B332" s="38" t="s">
        <v>17</v>
      </c>
      <c r="C332" s="37">
        <v>5.58</v>
      </c>
      <c r="D332" s="110"/>
    </row>
    <row r="333" spans="1:4" ht="15.6" outlineLevel="1">
      <c r="A333" s="37" t="s">
        <v>1189</v>
      </c>
      <c r="B333" s="38" t="s">
        <v>19</v>
      </c>
      <c r="C333" s="37">
        <v>5.55</v>
      </c>
      <c r="D333" s="110"/>
    </row>
    <row r="334" spans="1:4" ht="15.6" outlineLevel="1">
      <c r="A334" s="37" t="s">
        <v>1189</v>
      </c>
      <c r="B334" s="38" t="s">
        <v>20</v>
      </c>
      <c r="C334" s="37">
        <v>5.63</v>
      </c>
      <c r="D334" s="110"/>
    </row>
    <row r="335" spans="1:4" ht="15.6" outlineLevel="1">
      <c r="A335" s="37" t="s">
        <v>1189</v>
      </c>
      <c r="B335" s="38" t="s">
        <v>21</v>
      </c>
      <c r="C335" s="37">
        <v>5.65</v>
      </c>
      <c r="D335" s="110"/>
    </row>
    <row r="336" spans="1:4" ht="15.6" outlineLevel="1">
      <c r="A336" s="37" t="s">
        <v>1189</v>
      </c>
      <c r="B336" s="38" t="s">
        <v>22</v>
      </c>
      <c r="C336" s="37">
        <v>5.68</v>
      </c>
      <c r="D336" s="110"/>
    </row>
    <row r="337" spans="1:4" ht="15.6" outlineLevel="1">
      <c r="A337" s="37" t="s">
        <v>1189</v>
      </c>
      <c r="B337" s="38" t="s">
        <v>24</v>
      </c>
      <c r="C337" s="37">
        <v>5.47</v>
      </c>
      <c r="D337" s="110"/>
    </row>
    <row r="338" spans="1:4" ht="15.6" outlineLevel="1">
      <c r="A338" s="37" t="s">
        <v>1189</v>
      </c>
      <c r="B338" s="38" t="s">
        <v>25</v>
      </c>
      <c r="C338" s="37">
        <v>5.48</v>
      </c>
      <c r="D338" s="110"/>
    </row>
    <row r="339" spans="1:4" ht="15.6">
      <c r="A339" s="43" t="s">
        <v>1189</v>
      </c>
      <c r="B339" s="38"/>
      <c r="C339" s="37"/>
      <c r="D339" s="110"/>
    </row>
    <row r="340" spans="1:4" ht="15.6" outlineLevel="1">
      <c r="A340" s="37" t="s">
        <v>1195</v>
      </c>
      <c r="B340" s="38" t="s">
        <v>1310</v>
      </c>
      <c r="C340" s="37">
        <v>5.0999999999999996</v>
      </c>
      <c r="D340" s="110"/>
    </row>
    <row r="341" spans="1:4" ht="15.6" outlineLevel="1">
      <c r="A341" s="37" t="s">
        <v>1195</v>
      </c>
      <c r="B341" s="38" t="s">
        <v>1</v>
      </c>
      <c r="C341" s="37">
        <v>5.2</v>
      </c>
      <c r="D341" s="110"/>
    </row>
    <row r="342" spans="1:4" ht="15.6" outlineLevel="1">
      <c r="A342" s="37" t="s">
        <v>1195</v>
      </c>
      <c r="B342" s="38" t="s">
        <v>5</v>
      </c>
      <c r="C342" s="37">
        <v>5.26</v>
      </c>
      <c r="D342" s="110"/>
    </row>
    <row r="343" spans="1:4" ht="15.6" outlineLevel="1">
      <c r="A343" s="37" t="s">
        <v>1195</v>
      </c>
      <c r="B343" s="38" t="s">
        <v>1311</v>
      </c>
      <c r="C343" s="37">
        <v>5.38</v>
      </c>
      <c r="D343" s="110"/>
    </row>
    <row r="344" spans="1:4" ht="15.6" outlineLevel="1">
      <c r="A344" s="37" t="s">
        <v>1195</v>
      </c>
      <c r="B344" s="38" t="s">
        <v>1312</v>
      </c>
      <c r="C344" s="37">
        <v>5.39</v>
      </c>
      <c r="D344" s="110"/>
    </row>
    <row r="345" spans="1:4" ht="15.6" outlineLevel="1">
      <c r="A345" s="37" t="s">
        <v>1195</v>
      </c>
      <c r="B345" s="38" t="s">
        <v>1313</v>
      </c>
      <c r="C345" s="39">
        <v>5.6</v>
      </c>
      <c r="D345" s="110"/>
    </row>
    <row r="346" spans="1:4" ht="15.6" outlineLevel="1">
      <c r="A346" s="37" t="s">
        <v>1195</v>
      </c>
      <c r="B346" s="38" t="s">
        <v>25</v>
      </c>
      <c r="C346" s="37">
        <v>5.48</v>
      </c>
      <c r="D346" s="110"/>
    </row>
    <row r="347" spans="1:4" ht="15.6">
      <c r="A347" s="43" t="s">
        <v>1195</v>
      </c>
      <c r="B347" s="38"/>
      <c r="C347" s="37"/>
      <c r="D347" s="110"/>
    </row>
    <row r="348" spans="1:4" ht="15.6" outlineLevel="1">
      <c r="A348" s="37" t="s">
        <v>1199</v>
      </c>
      <c r="B348" s="38" t="s">
        <v>0</v>
      </c>
      <c r="C348" s="37">
        <v>5.0999999999999996</v>
      </c>
      <c r="D348" s="110"/>
    </row>
    <row r="349" spans="1:4" ht="15.6" outlineLevel="1">
      <c r="A349" s="37" t="s">
        <v>1199</v>
      </c>
      <c r="B349" s="38" t="s">
        <v>1</v>
      </c>
      <c r="C349" s="37">
        <v>5.2</v>
      </c>
      <c r="D349" s="110"/>
    </row>
    <row r="350" spans="1:4" ht="15.6" outlineLevel="1">
      <c r="A350" s="37" t="s">
        <v>1199</v>
      </c>
      <c r="B350" s="38" t="s">
        <v>2</v>
      </c>
      <c r="C350" s="37">
        <v>5.3</v>
      </c>
      <c r="D350" s="110"/>
    </row>
    <row r="351" spans="1:4" ht="15.6" outlineLevel="1">
      <c r="A351" s="37" t="s">
        <v>1199</v>
      </c>
      <c r="B351" s="38" t="s">
        <v>319</v>
      </c>
      <c r="C351" s="37">
        <v>5.6</v>
      </c>
      <c r="D351" s="110"/>
    </row>
    <row r="352" spans="1:4" ht="15.6" outlineLevel="1">
      <c r="A352" s="37" t="s">
        <v>1199</v>
      </c>
      <c r="B352" s="38" t="s">
        <v>1300</v>
      </c>
      <c r="C352" s="39">
        <v>5.0999999999999996</v>
      </c>
      <c r="D352" s="110"/>
    </row>
    <row r="353" spans="1:4" ht="15.6" outlineLevel="1">
      <c r="A353" s="37" t="s">
        <v>1199</v>
      </c>
      <c r="B353" s="38" t="s">
        <v>1299</v>
      </c>
      <c r="C353" s="37">
        <v>5.14</v>
      </c>
      <c r="D353" s="110"/>
    </row>
    <row r="354" spans="1:4" ht="15.6" outlineLevel="1">
      <c r="A354" s="37" t="s">
        <v>1199</v>
      </c>
      <c r="B354" s="38" t="s">
        <v>4</v>
      </c>
      <c r="C354" s="37">
        <v>5.19</v>
      </c>
      <c r="D354" s="110"/>
    </row>
    <row r="355" spans="1:4" ht="15.6" outlineLevel="1">
      <c r="A355" s="37" t="s">
        <v>1199</v>
      </c>
      <c r="B355" s="38" t="s">
        <v>321</v>
      </c>
      <c r="C355" s="37">
        <v>5.24</v>
      </c>
      <c r="D355" s="110"/>
    </row>
    <row r="356" spans="1:4" ht="15.6" outlineLevel="1">
      <c r="A356" s="37" t="s">
        <v>1199</v>
      </c>
      <c r="B356" s="38" t="s">
        <v>5</v>
      </c>
      <c r="C356" s="37">
        <v>5.26</v>
      </c>
      <c r="D356" s="110"/>
    </row>
    <row r="357" spans="1:4" ht="15.6" outlineLevel="1">
      <c r="A357" s="37" t="s">
        <v>1199</v>
      </c>
      <c r="B357" s="38" t="s">
        <v>6</v>
      </c>
      <c r="C357" s="37">
        <v>5.27</v>
      </c>
      <c r="D357" s="110"/>
    </row>
    <row r="358" spans="1:4" ht="15.6" outlineLevel="1">
      <c r="A358" s="37" t="s">
        <v>1199</v>
      </c>
      <c r="B358" s="38" t="s">
        <v>7</v>
      </c>
      <c r="C358" s="37">
        <v>5.28</v>
      </c>
      <c r="D358" s="110"/>
    </row>
    <row r="359" spans="1:4" ht="15.6" outlineLevel="1">
      <c r="A359" s="37" t="s">
        <v>1199</v>
      </c>
      <c r="B359" s="38" t="s">
        <v>322</v>
      </c>
      <c r="C359" s="37">
        <v>5.31</v>
      </c>
      <c r="D359" s="110"/>
    </row>
    <row r="360" spans="1:4" ht="15.6" outlineLevel="1">
      <c r="A360" s="37" t="s">
        <v>1199</v>
      </c>
      <c r="B360" s="38" t="s">
        <v>298</v>
      </c>
      <c r="C360" s="37">
        <v>5.36</v>
      </c>
      <c r="D360" s="110"/>
    </row>
    <row r="361" spans="1:4" ht="15.6" outlineLevel="1">
      <c r="A361" s="37" t="s">
        <v>1199</v>
      </c>
      <c r="B361" s="38" t="s">
        <v>330</v>
      </c>
      <c r="C361" s="37">
        <v>5.37</v>
      </c>
      <c r="D361" s="110"/>
    </row>
    <row r="362" spans="1:4" ht="15.6" outlineLevel="1">
      <c r="A362" s="37" t="s">
        <v>1199</v>
      </c>
      <c r="B362" s="38" t="s">
        <v>9</v>
      </c>
      <c r="C362" s="37">
        <v>5.49</v>
      </c>
      <c r="D362" s="110"/>
    </row>
    <row r="363" spans="1:4" ht="15.6" outlineLevel="1">
      <c r="A363" s="37" t="s">
        <v>1199</v>
      </c>
      <c r="B363" s="38" t="s">
        <v>10</v>
      </c>
      <c r="C363" s="37">
        <v>5.51</v>
      </c>
      <c r="D363" s="110"/>
    </row>
    <row r="364" spans="1:4" ht="15.6" outlineLevel="1">
      <c r="A364" s="37" t="s">
        <v>1199</v>
      </c>
      <c r="B364" s="38" t="s">
        <v>1301</v>
      </c>
      <c r="C364" s="37">
        <v>5.52</v>
      </c>
      <c r="D364" s="110"/>
    </row>
    <row r="365" spans="1:4" ht="15.6" outlineLevel="1">
      <c r="A365" s="37" t="s">
        <v>1199</v>
      </c>
      <c r="B365" s="38" t="s">
        <v>11</v>
      </c>
      <c r="C365" s="37">
        <v>5.53</v>
      </c>
      <c r="D365" s="110"/>
    </row>
    <row r="366" spans="1:4" ht="15.6" outlineLevel="1">
      <c r="A366" s="37" t="s">
        <v>1199</v>
      </c>
      <c r="B366" s="38" t="s">
        <v>12</v>
      </c>
      <c r="C366" s="37">
        <v>5.69</v>
      </c>
      <c r="D366" s="110"/>
    </row>
    <row r="367" spans="1:4" ht="15.6" outlineLevel="1">
      <c r="A367" s="37" t="s">
        <v>1199</v>
      </c>
      <c r="B367" s="38" t="s">
        <v>943</v>
      </c>
      <c r="C367" s="39">
        <v>5.8</v>
      </c>
      <c r="D367" s="110"/>
    </row>
    <row r="368" spans="1:4" ht="15.6" outlineLevel="1">
      <c r="A368" s="37" t="s">
        <v>1199</v>
      </c>
      <c r="B368" s="38" t="s">
        <v>1099</v>
      </c>
      <c r="C368" s="39">
        <v>5.72</v>
      </c>
      <c r="D368" s="110"/>
    </row>
    <row r="369" spans="1:4" ht="15.6" outlineLevel="1">
      <c r="A369" s="37" t="s">
        <v>1199</v>
      </c>
      <c r="B369" s="38" t="s">
        <v>13</v>
      </c>
      <c r="C369" s="37">
        <v>5.75</v>
      </c>
      <c r="D369" s="110"/>
    </row>
    <row r="370" spans="1:4" ht="15.6" outlineLevel="1">
      <c r="A370" s="37" t="s">
        <v>1199</v>
      </c>
      <c r="B370" s="38" t="s">
        <v>14</v>
      </c>
      <c r="C370" s="39">
        <v>5.7</v>
      </c>
      <c r="D370" s="110"/>
    </row>
    <row r="371" spans="1:4" ht="15.6" outlineLevel="1">
      <c r="A371" s="37" t="s">
        <v>1199</v>
      </c>
      <c r="B371" s="38" t="s">
        <v>15</v>
      </c>
      <c r="C371" s="37">
        <v>5.74</v>
      </c>
      <c r="D371" s="110"/>
    </row>
    <row r="372" spans="1:4" ht="15.6" outlineLevel="1">
      <c r="A372" s="37" t="s">
        <v>1199</v>
      </c>
      <c r="B372" s="38" t="s">
        <v>600</v>
      </c>
      <c r="C372" s="37">
        <v>5.76</v>
      </c>
      <c r="D372" s="110"/>
    </row>
    <row r="373" spans="1:4" ht="15.6" outlineLevel="1">
      <c r="A373" s="37" t="s">
        <v>1199</v>
      </c>
      <c r="B373" s="38" t="s">
        <v>1020</v>
      </c>
      <c r="C373" s="37">
        <v>5.89</v>
      </c>
      <c r="D373" s="109" t="s">
        <v>1298</v>
      </c>
    </row>
    <row r="374" spans="1:4" ht="15.6" outlineLevel="1">
      <c r="A374" s="37" t="s">
        <v>1199</v>
      </c>
      <c r="B374" s="38" t="s">
        <v>323</v>
      </c>
      <c r="C374" s="37">
        <v>5.109</v>
      </c>
      <c r="D374" s="109"/>
    </row>
    <row r="375" spans="1:4" ht="15.6" outlineLevel="1">
      <c r="A375" s="37" t="s">
        <v>1199</v>
      </c>
      <c r="B375" s="38" t="s">
        <v>324</v>
      </c>
      <c r="C375" s="37">
        <v>5.1109999999999998</v>
      </c>
      <c r="D375" s="110"/>
    </row>
    <row r="376" spans="1:4" ht="15.6" outlineLevel="1">
      <c r="A376" s="37" t="s">
        <v>1199</v>
      </c>
      <c r="B376" s="38" t="s">
        <v>307</v>
      </c>
      <c r="C376" s="37">
        <v>5.1120000000000001</v>
      </c>
      <c r="D376" s="110"/>
    </row>
    <row r="377" spans="1:4" ht="15.6" outlineLevel="1">
      <c r="A377" s="37" t="s">
        <v>1199</v>
      </c>
      <c r="B377" s="38" t="s">
        <v>1314</v>
      </c>
      <c r="C377" s="37">
        <v>5.1130000000000004</v>
      </c>
      <c r="D377" s="110"/>
    </row>
    <row r="378" spans="1:4" ht="15.6" outlineLevel="1">
      <c r="A378" s="37" t="s">
        <v>1199</v>
      </c>
      <c r="B378" s="38" t="s">
        <v>17</v>
      </c>
      <c r="C378" s="37">
        <v>5.58</v>
      </c>
      <c r="D378" s="110"/>
    </row>
    <row r="379" spans="1:4" ht="15.6" outlineLevel="1">
      <c r="A379" s="37" t="s">
        <v>1199</v>
      </c>
      <c r="B379" s="38" t="s">
        <v>18</v>
      </c>
      <c r="C379" s="37">
        <v>5.54</v>
      </c>
      <c r="D379" s="110"/>
    </row>
    <row r="380" spans="1:4" ht="15.6" outlineLevel="1">
      <c r="A380" s="37" t="s">
        <v>1199</v>
      </c>
      <c r="B380" s="38" t="s">
        <v>19</v>
      </c>
      <c r="C380" s="37">
        <v>5.55</v>
      </c>
      <c r="D380" s="110"/>
    </row>
    <row r="381" spans="1:4" ht="15.6" outlineLevel="1">
      <c r="A381" s="37" t="s">
        <v>1199</v>
      </c>
      <c r="B381" s="38" t="s">
        <v>20</v>
      </c>
      <c r="C381" s="37">
        <v>5.63</v>
      </c>
      <c r="D381" s="110"/>
    </row>
    <row r="382" spans="1:4" ht="15.6" outlineLevel="1">
      <c r="A382" s="37" t="s">
        <v>1199</v>
      </c>
      <c r="B382" s="38" t="s">
        <v>21</v>
      </c>
      <c r="C382" s="37">
        <v>5.65</v>
      </c>
      <c r="D382" s="110"/>
    </row>
    <row r="383" spans="1:4" ht="15.6" outlineLevel="1">
      <c r="A383" s="37" t="s">
        <v>1199</v>
      </c>
      <c r="B383" s="38" t="s">
        <v>338</v>
      </c>
      <c r="C383" s="37">
        <v>5.66</v>
      </c>
      <c r="D383" s="110"/>
    </row>
    <row r="384" spans="1:4" ht="15.6" outlineLevel="1">
      <c r="A384" s="37" t="s">
        <v>1199</v>
      </c>
      <c r="B384" s="38" t="s">
        <v>22</v>
      </c>
      <c r="C384" s="37">
        <v>5.68</v>
      </c>
      <c r="D384" s="110"/>
    </row>
    <row r="385" spans="1:4" ht="15.6" outlineLevel="1">
      <c r="A385" s="37" t="s">
        <v>1199</v>
      </c>
      <c r="B385" s="38" t="s">
        <v>24</v>
      </c>
      <c r="C385" s="37">
        <v>5.47</v>
      </c>
      <c r="D385" s="110"/>
    </row>
    <row r="386" spans="1:4" ht="15.6" outlineLevel="1">
      <c r="A386" s="37" t="s">
        <v>1199</v>
      </c>
      <c r="B386" s="38" t="s">
        <v>25</v>
      </c>
      <c r="C386" s="37">
        <v>5.48</v>
      </c>
      <c r="D386" s="110"/>
    </row>
    <row r="387" spans="1:4" ht="31.2">
      <c r="A387" s="43" t="s">
        <v>1199</v>
      </c>
      <c r="B387" s="38"/>
      <c r="C387" s="37"/>
      <c r="D387" s="110"/>
    </row>
    <row r="388" spans="1:4" ht="15.6" outlineLevel="1">
      <c r="A388" s="37" t="s">
        <v>1201</v>
      </c>
      <c r="B388" s="38" t="s">
        <v>0</v>
      </c>
      <c r="C388" s="37">
        <v>5.0999999999999996</v>
      </c>
      <c r="D388" s="110"/>
    </row>
    <row r="389" spans="1:4" ht="15.6" outlineLevel="1">
      <c r="A389" s="37" t="s">
        <v>1201</v>
      </c>
      <c r="B389" s="38" t="s">
        <v>1</v>
      </c>
      <c r="C389" s="37">
        <v>5.2</v>
      </c>
      <c r="D389" s="110"/>
    </row>
    <row r="390" spans="1:4" ht="15.6" outlineLevel="1">
      <c r="A390" s="37" t="s">
        <v>1201</v>
      </c>
      <c r="B390" s="38" t="s">
        <v>2</v>
      </c>
      <c r="C390" s="37">
        <v>5.3</v>
      </c>
      <c r="D390" s="110"/>
    </row>
    <row r="391" spans="1:4" ht="15.6" outlineLevel="1">
      <c r="A391" s="37" t="s">
        <v>1201</v>
      </c>
      <c r="B391" s="38" t="s">
        <v>319</v>
      </c>
      <c r="C391" s="37">
        <v>5.6</v>
      </c>
      <c r="D391" s="110"/>
    </row>
    <row r="392" spans="1:4" ht="15.6" outlineLevel="1">
      <c r="A392" s="37" t="s">
        <v>1201</v>
      </c>
      <c r="B392" s="38" t="s">
        <v>1300</v>
      </c>
      <c r="C392" s="39">
        <v>5.0999999999999996</v>
      </c>
      <c r="D392" s="110"/>
    </row>
    <row r="393" spans="1:4" ht="15.6" outlineLevel="1">
      <c r="A393" s="37" t="s">
        <v>1201</v>
      </c>
      <c r="B393" s="38" t="s">
        <v>1299</v>
      </c>
      <c r="C393" s="37">
        <v>5.14</v>
      </c>
      <c r="D393" s="110"/>
    </row>
    <row r="394" spans="1:4" ht="15.6" outlineLevel="1">
      <c r="A394" s="37" t="s">
        <v>1201</v>
      </c>
      <c r="B394" s="38" t="s">
        <v>4</v>
      </c>
      <c r="C394" s="37">
        <v>5.19</v>
      </c>
      <c r="D394" s="110"/>
    </row>
    <row r="395" spans="1:4" ht="15.6" outlineLevel="1">
      <c r="A395" s="37" t="s">
        <v>1201</v>
      </c>
      <c r="B395" s="38" t="s">
        <v>321</v>
      </c>
      <c r="C395" s="37">
        <v>5.24</v>
      </c>
      <c r="D395" s="110"/>
    </row>
    <row r="396" spans="1:4" ht="15.6" outlineLevel="1">
      <c r="A396" s="37" t="s">
        <v>1201</v>
      </c>
      <c r="B396" s="38" t="s">
        <v>5</v>
      </c>
      <c r="C396" s="37">
        <v>5.26</v>
      </c>
      <c r="D396" s="110"/>
    </row>
    <row r="397" spans="1:4" ht="15.6" outlineLevel="1">
      <c r="A397" s="37" t="s">
        <v>1201</v>
      </c>
      <c r="B397" s="38" t="s">
        <v>6</v>
      </c>
      <c r="C397" s="37">
        <v>5.27</v>
      </c>
      <c r="D397" s="110"/>
    </row>
    <row r="398" spans="1:4" ht="15.6" outlineLevel="1">
      <c r="A398" s="37" t="s">
        <v>1201</v>
      </c>
      <c r="B398" s="38" t="s">
        <v>7</v>
      </c>
      <c r="C398" s="37">
        <v>5.28</v>
      </c>
      <c r="D398" s="110"/>
    </row>
    <row r="399" spans="1:4" ht="15.6" outlineLevel="1">
      <c r="A399" s="37" t="s">
        <v>1201</v>
      </c>
      <c r="B399" s="38" t="s">
        <v>516</v>
      </c>
      <c r="C399" s="37">
        <v>5.29</v>
      </c>
      <c r="D399" s="110"/>
    </row>
    <row r="400" spans="1:4" ht="15.6" outlineLevel="1">
      <c r="A400" s="37" t="s">
        <v>1201</v>
      </c>
      <c r="B400" s="38" t="s">
        <v>322</v>
      </c>
      <c r="C400" s="37">
        <v>5.31</v>
      </c>
      <c r="D400" s="110"/>
    </row>
    <row r="401" spans="1:4" ht="15.6" outlineLevel="1">
      <c r="A401" s="37" t="s">
        <v>1201</v>
      </c>
      <c r="B401" s="38" t="s">
        <v>298</v>
      </c>
      <c r="C401" s="37">
        <v>5.36</v>
      </c>
      <c r="D401" s="110"/>
    </row>
    <row r="402" spans="1:4" ht="15.6" outlineLevel="1">
      <c r="A402" s="37" t="s">
        <v>1201</v>
      </c>
      <c r="B402" s="38" t="s">
        <v>330</v>
      </c>
      <c r="C402" s="37">
        <v>5.37</v>
      </c>
      <c r="D402" s="110"/>
    </row>
    <row r="403" spans="1:4" ht="15.6" outlineLevel="1">
      <c r="A403" s="37" t="s">
        <v>1201</v>
      </c>
      <c r="B403" s="38" t="s">
        <v>9</v>
      </c>
      <c r="C403" s="37">
        <v>5.49</v>
      </c>
      <c r="D403" s="110"/>
    </row>
    <row r="404" spans="1:4" ht="15.6" outlineLevel="1">
      <c r="A404" s="37" t="s">
        <v>1201</v>
      </c>
      <c r="B404" s="38" t="s">
        <v>10</v>
      </c>
      <c r="C404" s="37">
        <v>5.51</v>
      </c>
      <c r="D404" s="110"/>
    </row>
    <row r="405" spans="1:4" ht="15.6" outlineLevel="1">
      <c r="A405" s="37" t="s">
        <v>1201</v>
      </c>
      <c r="B405" s="38" t="s">
        <v>1301</v>
      </c>
      <c r="C405" s="37">
        <v>5.52</v>
      </c>
      <c r="D405" s="110"/>
    </row>
    <row r="406" spans="1:4" ht="15.6" outlineLevel="1">
      <c r="A406" s="37" t="s">
        <v>1201</v>
      </c>
      <c r="B406" s="38" t="s">
        <v>11</v>
      </c>
      <c r="C406" s="37">
        <v>5.53</v>
      </c>
      <c r="D406" s="110"/>
    </row>
    <row r="407" spans="1:4" ht="15.6" outlineLevel="1">
      <c r="A407" s="37" t="s">
        <v>1201</v>
      </c>
      <c r="B407" s="38" t="s">
        <v>12</v>
      </c>
      <c r="C407" s="37">
        <v>5.69</v>
      </c>
      <c r="D407" s="110"/>
    </row>
    <row r="408" spans="1:4" ht="15.6" outlineLevel="1">
      <c r="A408" s="37" t="s">
        <v>1201</v>
      </c>
      <c r="B408" s="38" t="s">
        <v>13</v>
      </c>
      <c r="C408" s="37">
        <v>5.75</v>
      </c>
      <c r="D408" s="110"/>
    </row>
    <row r="409" spans="1:4" ht="15.6" outlineLevel="1">
      <c r="A409" s="37" t="s">
        <v>1201</v>
      </c>
      <c r="B409" s="38" t="s">
        <v>15</v>
      </c>
      <c r="C409" s="37">
        <v>5.74</v>
      </c>
      <c r="D409" s="110"/>
    </row>
    <row r="410" spans="1:4" ht="15.6" outlineLevel="1">
      <c r="A410" s="37" t="s">
        <v>1201</v>
      </c>
      <c r="B410" s="38" t="s">
        <v>14</v>
      </c>
      <c r="C410" s="39">
        <v>5.7</v>
      </c>
      <c r="D410" s="110"/>
    </row>
    <row r="411" spans="1:4" ht="15.6" outlineLevel="1">
      <c r="A411" s="37" t="s">
        <v>1201</v>
      </c>
      <c r="B411" s="38" t="s">
        <v>600</v>
      </c>
      <c r="C411" s="37">
        <v>5.76</v>
      </c>
      <c r="D411" s="110"/>
    </row>
    <row r="412" spans="1:4" ht="15.6" outlineLevel="1">
      <c r="A412" s="37" t="s">
        <v>1201</v>
      </c>
      <c r="B412" s="38" t="s">
        <v>1020</v>
      </c>
      <c r="C412" s="37">
        <v>5.89</v>
      </c>
      <c r="D412" s="109" t="s">
        <v>1298</v>
      </c>
    </row>
    <row r="413" spans="1:4" ht="15.6" outlineLevel="1">
      <c r="A413" s="37" t="s">
        <v>1201</v>
      </c>
      <c r="B413" s="38" t="s">
        <v>323</v>
      </c>
      <c r="C413" s="37">
        <v>5.109</v>
      </c>
      <c r="D413" s="110"/>
    </row>
    <row r="414" spans="1:4" ht="15.6" outlineLevel="1">
      <c r="A414" s="37" t="s">
        <v>1201</v>
      </c>
      <c r="B414" s="38" t="s">
        <v>324</v>
      </c>
      <c r="C414" s="37">
        <v>5.1109999999999998</v>
      </c>
      <c r="D414" s="110"/>
    </row>
    <row r="415" spans="1:4" ht="15.6" outlineLevel="1">
      <c r="A415" s="37" t="s">
        <v>1201</v>
      </c>
      <c r="B415" s="38" t="s">
        <v>307</v>
      </c>
      <c r="C415" s="37">
        <v>5.1120000000000001</v>
      </c>
      <c r="D415" s="110"/>
    </row>
    <row r="416" spans="1:4" ht="15.6" outlineLevel="1">
      <c r="A416" s="37" t="s">
        <v>1201</v>
      </c>
      <c r="B416" s="38" t="s">
        <v>1314</v>
      </c>
      <c r="C416" s="37">
        <v>5.1130000000000004</v>
      </c>
      <c r="D416" s="110"/>
    </row>
    <row r="417" spans="1:4" ht="15.6" outlineLevel="1">
      <c r="A417" s="37" t="s">
        <v>1201</v>
      </c>
      <c r="B417" s="38" t="s">
        <v>17</v>
      </c>
      <c r="C417" s="37">
        <v>5.58</v>
      </c>
      <c r="D417" s="110"/>
    </row>
    <row r="418" spans="1:4" ht="15.6" outlineLevel="1">
      <c r="A418" s="37" t="s">
        <v>1201</v>
      </c>
      <c r="B418" s="38" t="s">
        <v>18</v>
      </c>
      <c r="C418" s="37">
        <v>5.54</v>
      </c>
      <c r="D418" s="110"/>
    </row>
    <row r="419" spans="1:4" ht="15.6" outlineLevel="1">
      <c r="A419" s="37" t="s">
        <v>1201</v>
      </c>
      <c r="B419" s="38" t="s">
        <v>19</v>
      </c>
      <c r="C419" s="37">
        <v>5.55</v>
      </c>
      <c r="D419" s="110"/>
    </row>
    <row r="420" spans="1:4" ht="15.6" outlineLevel="1">
      <c r="A420" s="37" t="s">
        <v>1201</v>
      </c>
      <c r="B420" s="38" t="s">
        <v>20</v>
      </c>
      <c r="C420" s="37">
        <v>5.63</v>
      </c>
      <c r="D420" s="110"/>
    </row>
    <row r="421" spans="1:4" ht="15.6" outlineLevel="1">
      <c r="A421" s="37" t="s">
        <v>1201</v>
      </c>
      <c r="B421" s="38" t="s">
        <v>21</v>
      </c>
      <c r="C421" s="37">
        <v>5.65</v>
      </c>
      <c r="D421" s="110"/>
    </row>
    <row r="422" spans="1:4" ht="15.6" outlineLevel="1">
      <c r="A422" s="37" t="s">
        <v>1201</v>
      </c>
      <c r="B422" s="38" t="s">
        <v>338</v>
      </c>
      <c r="C422" s="37">
        <v>5.66</v>
      </c>
      <c r="D422" s="110"/>
    </row>
    <row r="423" spans="1:4" ht="15.6" outlineLevel="1">
      <c r="A423" s="37" t="s">
        <v>1201</v>
      </c>
      <c r="B423" s="38" t="s">
        <v>22</v>
      </c>
      <c r="C423" s="37">
        <v>5.68</v>
      </c>
      <c r="D423" s="110"/>
    </row>
    <row r="424" spans="1:4" ht="15.6" outlineLevel="1">
      <c r="A424" s="37" t="s">
        <v>1201</v>
      </c>
      <c r="B424" s="38" t="s">
        <v>24</v>
      </c>
      <c r="C424" s="37">
        <v>5.47</v>
      </c>
      <c r="D424" s="110"/>
    </row>
    <row r="425" spans="1:4" ht="15.6" outlineLevel="1">
      <c r="A425" s="37" t="s">
        <v>1201</v>
      </c>
      <c r="B425" s="38" t="s">
        <v>25</v>
      </c>
      <c r="C425" s="37">
        <v>5.48</v>
      </c>
      <c r="D425" s="110"/>
    </row>
    <row r="426" spans="1:4" ht="15.6">
      <c r="A426" s="43" t="s">
        <v>1201</v>
      </c>
      <c r="B426" s="38"/>
      <c r="C426" s="37"/>
      <c r="D426" s="110"/>
    </row>
    <row r="427" spans="1:4" ht="15.6" outlineLevel="1">
      <c r="A427" s="37" t="s">
        <v>1315</v>
      </c>
      <c r="B427" s="38" t="s">
        <v>0</v>
      </c>
      <c r="C427" s="37">
        <v>5.0999999999999996</v>
      </c>
      <c r="D427" s="110"/>
    </row>
    <row r="428" spans="1:4" ht="15.6" outlineLevel="1">
      <c r="A428" s="37" t="s">
        <v>1315</v>
      </c>
      <c r="B428" s="38" t="s">
        <v>1</v>
      </c>
      <c r="C428" s="37">
        <v>5.2</v>
      </c>
      <c r="D428" s="110"/>
    </row>
    <row r="429" spans="1:4" ht="15.6" outlineLevel="1">
      <c r="A429" s="37" t="s">
        <v>1315</v>
      </c>
      <c r="B429" s="38" t="s">
        <v>2</v>
      </c>
      <c r="C429" s="37">
        <v>5.3</v>
      </c>
      <c r="D429" s="110"/>
    </row>
    <row r="430" spans="1:4" ht="15.6" outlineLevel="1">
      <c r="A430" s="37" t="s">
        <v>1315</v>
      </c>
      <c r="B430" s="38" t="s">
        <v>319</v>
      </c>
      <c r="C430" s="37">
        <v>5.6</v>
      </c>
      <c r="D430" s="110"/>
    </row>
    <row r="431" spans="1:4" ht="15.6" outlineLevel="1">
      <c r="A431" s="37" t="s">
        <v>1315</v>
      </c>
      <c r="B431" s="38" t="s">
        <v>1300</v>
      </c>
      <c r="C431" s="39">
        <v>5.0999999999999996</v>
      </c>
      <c r="D431" s="110"/>
    </row>
    <row r="432" spans="1:4" ht="15.6" outlineLevel="1">
      <c r="A432" s="37" t="s">
        <v>1315</v>
      </c>
      <c r="B432" s="38" t="s">
        <v>1299</v>
      </c>
      <c r="C432" s="37">
        <v>5.14</v>
      </c>
      <c r="D432" s="110"/>
    </row>
    <row r="433" spans="1:4" ht="15.6" outlineLevel="1">
      <c r="A433" s="37" t="s">
        <v>1315</v>
      </c>
      <c r="B433" s="38" t="s">
        <v>4</v>
      </c>
      <c r="C433" s="37">
        <v>5.19</v>
      </c>
      <c r="D433" s="110"/>
    </row>
    <row r="434" spans="1:4" ht="15.6" outlineLevel="1">
      <c r="A434" s="37" t="s">
        <v>1315</v>
      </c>
      <c r="B434" s="38" t="s">
        <v>321</v>
      </c>
      <c r="C434" s="37">
        <v>5.24</v>
      </c>
      <c r="D434" s="110"/>
    </row>
    <row r="435" spans="1:4" ht="15.6" outlineLevel="1">
      <c r="A435" s="37" t="s">
        <v>1315</v>
      </c>
      <c r="B435" s="38" t="s">
        <v>5</v>
      </c>
      <c r="C435" s="37">
        <v>5.26</v>
      </c>
      <c r="D435" s="110"/>
    </row>
    <row r="436" spans="1:4" ht="15.6" outlineLevel="1">
      <c r="A436" s="37" t="s">
        <v>1315</v>
      </c>
      <c r="B436" s="38" t="s">
        <v>6</v>
      </c>
      <c r="C436" s="37">
        <v>5.27</v>
      </c>
      <c r="D436" s="110"/>
    </row>
    <row r="437" spans="1:4" ht="15.6" outlineLevel="1">
      <c r="A437" s="37" t="s">
        <v>1315</v>
      </c>
      <c r="B437" s="38" t="s">
        <v>7</v>
      </c>
      <c r="C437" s="37">
        <v>5.28</v>
      </c>
      <c r="D437" s="110"/>
    </row>
    <row r="438" spans="1:4" ht="15.6" outlineLevel="1">
      <c r="A438" s="37" t="s">
        <v>1315</v>
      </c>
      <c r="B438" s="38" t="s">
        <v>516</v>
      </c>
      <c r="C438" s="37">
        <v>5.29</v>
      </c>
      <c r="D438" s="110"/>
    </row>
    <row r="439" spans="1:4" ht="15.6" outlineLevel="1">
      <c r="A439" s="37" t="s">
        <v>1315</v>
      </c>
      <c r="B439" s="38" t="s">
        <v>322</v>
      </c>
      <c r="C439" s="37">
        <v>5.31</v>
      </c>
      <c r="D439" s="110"/>
    </row>
    <row r="440" spans="1:4" ht="15.6" outlineLevel="1">
      <c r="A440" s="37" t="s">
        <v>1315</v>
      </c>
      <c r="B440" s="38" t="s">
        <v>298</v>
      </c>
      <c r="C440" s="37">
        <v>5.36</v>
      </c>
      <c r="D440" s="110"/>
    </row>
    <row r="441" spans="1:4" ht="15.6" outlineLevel="1">
      <c r="A441" s="37" t="s">
        <v>1315</v>
      </c>
      <c r="B441" s="38" t="s">
        <v>330</v>
      </c>
      <c r="C441" s="37">
        <v>5.37</v>
      </c>
      <c r="D441" s="110"/>
    </row>
    <row r="442" spans="1:4" ht="15.6" outlineLevel="1">
      <c r="A442" s="37" t="s">
        <v>1315</v>
      </c>
      <c r="B442" s="38" t="s">
        <v>11</v>
      </c>
      <c r="C442" s="37">
        <v>5.53</v>
      </c>
      <c r="D442" s="110"/>
    </row>
    <row r="443" spans="1:4" ht="15.6" outlineLevel="1">
      <c r="A443" s="37" t="s">
        <v>1315</v>
      </c>
      <c r="B443" s="38" t="s">
        <v>323</v>
      </c>
      <c r="C443" s="37">
        <v>5.109</v>
      </c>
      <c r="D443" s="110"/>
    </row>
    <row r="444" spans="1:4" ht="15.6" outlineLevel="1">
      <c r="A444" s="37" t="s">
        <v>1315</v>
      </c>
      <c r="B444" s="38" t="s">
        <v>324</v>
      </c>
      <c r="C444" s="37">
        <v>5.1109999999999998</v>
      </c>
      <c r="D444" s="110"/>
    </row>
    <row r="445" spans="1:4" ht="15.6" outlineLevel="1">
      <c r="A445" s="37" t="s">
        <v>1315</v>
      </c>
      <c r="B445" s="38" t="s">
        <v>307</v>
      </c>
      <c r="C445" s="37">
        <v>5.1120000000000001</v>
      </c>
      <c r="D445" s="110"/>
    </row>
    <row r="446" spans="1:4" ht="15.6" outlineLevel="1">
      <c r="A446" s="37" t="s">
        <v>1315</v>
      </c>
      <c r="B446" s="38" t="s">
        <v>1314</v>
      </c>
      <c r="C446" s="37">
        <v>5.1130000000000004</v>
      </c>
      <c r="D446" s="110"/>
    </row>
    <row r="447" spans="1:4" ht="15.6" outlineLevel="1">
      <c r="A447" s="37" t="s">
        <v>1315</v>
      </c>
      <c r="B447" s="38" t="s">
        <v>17</v>
      </c>
      <c r="C447" s="37">
        <v>5.58</v>
      </c>
      <c r="D447" s="110"/>
    </row>
    <row r="448" spans="1:4" ht="15.6" outlineLevel="1">
      <c r="A448" s="37" t="s">
        <v>1315</v>
      </c>
      <c r="B448" s="38" t="s">
        <v>18</v>
      </c>
      <c r="C448" s="37">
        <v>5.54</v>
      </c>
      <c r="D448" s="110"/>
    </row>
    <row r="449" spans="1:4" ht="15.6" outlineLevel="1">
      <c r="A449" s="37" t="s">
        <v>1315</v>
      </c>
      <c r="B449" s="38" t="s">
        <v>19</v>
      </c>
      <c r="C449" s="37">
        <v>5.55</v>
      </c>
      <c r="D449" s="110"/>
    </row>
    <row r="450" spans="1:4" ht="15.6" outlineLevel="1">
      <c r="A450" s="37" t="s">
        <v>1315</v>
      </c>
      <c r="B450" s="38" t="s">
        <v>20</v>
      </c>
      <c r="C450" s="37">
        <v>5.63</v>
      </c>
      <c r="D450" s="110"/>
    </row>
    <row r="451" spans="1:4" ht="15.6" outlineLevel="1">
      <c r="A451" s="37" t="s">
        <v>1315</v>
      </c>
      <c r="B451" s="38" t="s">
        <v>24</v>
      </c>
      <c r="C451" s="37">
        <v>5.47</v>
      </c>
      <c r="D451" s="110"/>
    </row>
    <row r="452" spans="1:4" ht="15.6" outlineLevel="1">
      <c r="A452" s="37" t="s">
        <v>1315</v>
      </c>
      <c r="B452" s="38" t="s">
        <v>25</v>
      </c>
      <c r="C452" s="37">
        <v>5.48</v>
      </c>
      <c r="D452" s="110"/>
    </row>
    <row r="453" spans="1:4" ht="15.6">
      <c r="A453" s="43" t="s">
        <v>1315</v>
      </c>
      <c r="B453" s="38"/>
      <c r="C453" s="37"/>
      <c r="D453" s="110"/>
    </row>
    <row r="454" spans="1:4" ht="15.6" outlineLevel="1">
      <c r="A454" s="37" t="s">
        <v>964</v>
      </c>
      <c r="B454" s="38" t="s">
        <v>0</v>
      </c>
      <c r="C454" s="37">
        <v>5.0999999999999996</v>
      </c>
      <c r="D454" s="110"/>
    </row>
    <row r="455" spans="1:4" ht="15.6" outlineLevel="1">
      <c r="A455" s="37" t="s">
        <v>964</v>
      </c>
      <c r="B455" s="38" t="s">
        <v>1</v>
      </c>
      <c r="C455" s="37">
        <v>5.2</v>
      </c>
      <c r="D455" s="110"/>
    </row>
    <row r="456" spans="1:4" ht="15.6" outlineLevel="1">
      <c r="A456" s="37" t="s">
        <v>964</v>
      </c>
      <c r="B456" s="38" t="s">
        <v>382</v>
      </c>
      <c r="C456" s="37">
        <v>5.5</v>
      </c>
      <c r="D456" s="110"/>
    </row>
    <row r="457" spans="1:4" ht="15.6" outlineLevel="1">
      <c r="A457" s="37" t="s">
        <v>964</v>
      </c>
      <c r="B457" s="38" t="s">
        <v>383</v>
      </c>
      <c r="C457" s="37">
        <v>5.8</v>
      </c>
      <c r="D457" s="109" t="s">
        <v>1298</v>
      </c>
    </row>
    <row r="458" spans="1:4" ht="15.6" outlineLevel="1">
      <c r="A458" s="37" t="s">
        <v>964</v>
      </c>
      <c r="B458" s="38" t="s">
        <v>384</v>
      </c>
      <c r="C458" s="37">
        <v>5.12</v>
      </c>
      <c r="D458" s="109" t="s">
        <v>1298</v>
      </c>
    </row>
    <row r="459" spans="1:4" ht="15.6" outlineLevel="1">
      <c r="A459" s="37" t="s">
        <v>964</v>
      </c>
      <c r="B459" s="38" t="s">
        <v>385</v>
      </c>
      <c r="C459" s="37">
        <v>5.15</v>
      </c>
      <c r="D459" s="110"/>
    </row>
    <row r="460" spans="1:4" ht="15.6" outlineLevel="1">
      <c r="A460" s="37" t="s">
        <v>964</v>
      </c>
      <c r="B460" s="38" t="s">
        <v>386</v>
      </c>
      <c r="C460" s="39">
        <v>5.2</v>
      </c>
      <c r="D460" s="109"/>
    </row>
    <row r="461" spans="1:4" ht="15.6" outlineLevel="1">
      <c r="A461" s="37" t="s">
        <v>964</v>
      </c>
      <c r="B461" s="38" t="s">
        <v>387</v>
      </c>
      <c r="C461" s="37">
        <v>5.25</v>
      </c>
      <c r="D461" s="110"/>
    </row>
    <row r="462" spans="1:4" ht="15.6" outlineLevel="1">
      <c r="A462" s="37" t="s">
        <v>964</v>
      </c>
      <c r="B462" s="38" t="s">
        <v>5</v>
      </c>
      <c r="C462" s="37">
        <v>5.26</v>
      </c>
      <c r="D462" s="110"/>
    </row>
    <row r="463" spans="1:4" ht="15.6" outlineLevel="1">
      <c r="A463" s="37" t="s">
        <v>964</v>
      </c>
      <c r="B463" s="38" t="s">
        <v>1021</v>
      </c>
      <c r="C463" s="37">
        <v>5.1139999999999999</v>
      </c>
      <c r="D463" s="109" t="s">
        <v>1298</v>
      </c>
    </row>
    <row r="464" spans="1:4" ht="15.6" outlineLevel="1">
      <c r="A464" s="37" t="s">
        <v>964</v>
      </c>
      <c r="B464" s="38" t="s">
        <v>6</v>
      </c>
      <c r="C464" s="37">
        <v>5.27</v>
      </c>
      <c r="D464" s="110"/>
    </row>
    <row r="465" spans="1:4" ht="15.6" outlineLevel="1">
      <c r="A465" s="37" t="s">
        <v>964</v>
      </c>
      <c r="B465" s="38" t="s">
        <v>1316</v>
      </c>
      <c r="C465" s="37">
        <v>5.1150000000000002</v>
      </c>
      <c r="D465" s="109" t="s">
        <v>1298</v>
      </c>
    </row>
    <row r="466" spans="1:4" ht="15.6" outlineLevel="1">
      <c r="A466" s="37" t="s">
        <v>964</v>
      </c>
      <c r="B466" s="38" t="s">
        <v>1317</v>
      </c>
      <c r="C466" s="37">
        <v>5.1159999999999997</v>
      </c>
      <c r="D466" s="109" t="s">
        <v>1298</v>
      </c>
    </row>
    <row r="467" spans="1:4" ht="15.6" outlineLevel="1">
      <c r="A467" s="37" t="s">
        <v>964</v>
      </c>
      <c r="B467" s="38" t="s">
        <v>7</v>
      </c>
      <c r="C467" s="37">
        <v>5.28</v>
      </c>
      <c r="D467" s="110"/>
    </row>
    <row r="468" spans="1:4" ht="15.6" outlineLevel="1">
      <c r="A468" s="37" t="s">
        <v>964</v>
      </c>
      <c r="B468" s="38" t="s">
        <v>298</v>
      </c>
      <c r="C468" s="37">
        <v>5.36</v>
      </c>
      <c r="D468" s="110"/>
    </row>
    <row r="469" spans="1:4" ht="15.6" outlineLevel="1">
      <c r="A469" s="37" t="s">
        <v>964</v>
      </c>
      <c r="B469" s="38" t="s">
        <v>330</v>
      </c>
      <c r="C469" s="37">
        <v>5.37</v>
      </c>
      <c r="D469" s="110"/>
    </row>
    <row r="470" spans="1:4" ht="15.6" outlineLevel="1">
      <c r="A470" s="37" t="s">
        <v>964</v>
      </c>
      <c r="B470" s="38" t="s">
        <v>11</v>
      </c>
      <c r="C470" s="37">
        <v>5.53</v>
      </c>
      <c r="D470" s="110"/>
    </row>
    <row r="471" spans="1:4" ht="15.6" outlineLevel="1">
      <c r="A471" s="37" t="s">
        <v>964</v>
      </c>
      <c r="B471" s="38" t="s">
        <v>323</v>
      </c>
      <c r="C471" s="37">
        <v>5.109</v>
      </c>
      <c r="D471" s="110"/>
    </row>
    <row r="472" spans="1:4" ht="15.6" outlineLevel="1">
      <c r="A472" s="37" t="s">
        <v>964</v>
      </c>
      <c r="B472" s="38" t="s">
        <v>324</v>
      </c>
      <c r="C472" s="37">
        <v>5.1109999999999998</v>
      </c>
      <c r="D472" s="110"/>
    </row>
    <row r="473" spans="1:4" ht="15.6" outlineLevel="1">
      <c r="A473" s="37" t="s">
        <v>964</v>
      </c>
      <c r="B473" s="38" t="s">
        <v>307</v>
      </c>
      <c r="C473" s="37">
        <v>5.1120000000000001</v>
      </c>
      <c r="D473" s="110"/>
    </row>
    <row r="474" spans="1:4" ht="15.6" outlineLevel="1">
      <c r="A474" s="37" t="s">
        <v>964</v>
      </c>
      <c r="B474" s="38" t="s">
        <v>18</v>
      </c>
      <c r="C474" s="37">
        <v>5.54</v>
      </c>
      <c r="D474" s="110"/>
    </row>
    <row r="475" spans="1:4" ht="15.6" outlineLevel="1">
      <c r="A475" s="37" t="s">
        <v>964</v>
      </c>
      <c r="B475" s="38" t="s">
        <v>1318</v>
      </c>
      <c r="C475" s="37">
        <v>5.61</v>
      </c>
      <c r="D475" s="110"/>
    </row>
    <row r="476" spans="1:4" ht="15.6" outlineLevel="1">
      <c r="A476" s="37" t="s">
        <v>964</v>
      </c>
      <c r="B476" s="38" t="s">
        <v>20</v>
      </c>
      <c r="C476" s="37">
        <v>5.63</v>
      </c>
      <c r="D476" s="110"/>
    </row>
    <row r="477" spans="1:4" ht="15.6" outlineLevel="1">
      <c r="A477" s="37" t="s">
        <v>964</v>
      </c>
      <c r="B477" s="38" t="s">
        <v>1319</v>
      </c>
      <c r="C477" s="37">
        <v>5.46</v>
      </c>
      <c r="D477" s="110"/>
    </row>
    <row r="478" spans="1:4" ht="15.6" outlineLevel="1">
      <c r="A478" s="37" t="s">
        <v>964</v>
      </c>
      <c r="B478" s="38" t="s">
        <v>24</v>
      </c>
      <c r="C478" s="37">
        <v>5.47</v>
      </c>
      <c r="D478" s="110"/>
    </row>
    <row r="479" spans="1:4" ht="15.6" outlineLevel="1">
      <c r="A479" s="37" t="s">
        <v>964</v>
      </c>
      <c r="B479" s="38" t="s">
        <v>25</v>
      </c>
      <c r="C479" s="37">
        <v>5.48</v>
      </c>
      <c r="D479" s="110"/>
    </row>
    <row r="480" spans="1:4" ht="15.6">
      <c r="A480" s="43" t="s">
        <v>964</v>
      </c>
      <c r="B480" s="38"/>
      <c r="C480" s="37"/>
      <c r="D480" s="110"/>
    </row>
    <row r="481" spans="1:4" ht="15.6" outlineLevel="1">
      <c r="A481" s="37" t="s">
        <v>1320</v>
      </c>
      <c r="B481" s="38" t="s">
        <v>0</v>
      </c>
      <c r="C481" s="37">
        <v>5.0999999999999996</v>
      </c>
      <c r="D481" s="110"/>
    </row>
    <row r="482" spans="1:4" ht="15.6" outlineLevel="1">
      <c r="A482" s="37" t="s">
        <v>1320</v>
      </c>
      <c r="B482" s="38" t="s">
        <v>1</v>
      </c>
      <c r="C482" s="37">
        <v>5.2</v>
      </c>
      <c r="D482" s="110"/>
    </row>
    <row r="483" spans="1:4" ht="15.6" outlineLevel="1">
      <c r="A483" s="37" t="s">
        <v>1320</v>
      </c>
      <c r="B483" s="38" t="s">
        <v>2</v>
      </c>
      <c r="C483" s="37">
        <v>5.3</v>
      </c>
      <c r="D483" s="110"/>
    </row>
    <row r="484" spans="1:4" ht="15.6" outlineLevel="1">
      <c r="A484" s="37" t="s">
        <v>1320</v>
      </c>
      <c r="B484" s="38" t="s">
        <v>319</v>
      </c>
      <c r="C484" s="37">
        <v>5.6</v>
      </c>
      <c r="D484" s="110"/>
    </row>
    <row r="485" spans="1:4" ht="15.6" outlineLevel="1">
      <c r="A485" s="37" t="s">
        <v>1320</v>
      </c>
      <c r="B485" s="38" t="s">
        <v>1300</v>
      </c>
      <c r="C485" s="39">
        <v>5.0999999999999996</v>
      </c>
      <c r="D485" s="110"/>
    </row>
    <row r="486" spans="1:4" ht="15.6" outlineLevel="1">
      <c r="A486" s="37" t="s">
        <v>1320</v>
      </c>
      <c r="B486" s="38" t="s">
        <v>1299</v>
      </c>
      <c r="C486" s="37">
        <v>5.14</v>
      </c>
      <c r="D486" s="110"/>
    </row>
    <row r="487" spans="1:4" ht="15.6" outlineLevel="1">
      <c r="A487" s="37" t="s">
        <v>1320</v>
      </c>
      <c r="B487" s="38" t="s">
        <v>4</v>
      </c>
      <c r="C487" s="37">
        <v>5.19</v>
      </c>
      <c r="D487" s="110"/>
    </row>
    <row r="488" spans="1:4" ht="15.6" outlineLevel="1">
      <c r="A488" s="37" t="s">
        <v>1320</v>
      </c>
      <c r="B488" s="38" t="s">
        <v>321</v>
      </c>
      <c r="C488" s="37">
        <v>5.24</v>
      </c>
      <c r="D488" s="110"/>
    </row>
    <row r="489" spans="1:4" ht="15.6" outlineLevel="1">
      <c r="A489" s="37" t="s">
        <v>1320</v>
      </c>
      <c r="B489" s="38" t="s">
        <v>6</v>
      </c>
      <c r="C489" s="37">
        <v>5.27</v>
      </c>
      <c r="D489" s="110"/>
    </row>
    <row r="490" spans="1:4" ht="15.6" outlineLevel="1">
      <c r="A490" s="37" t="s">
        <v>1320</v>
      </c>
      <c r="B490" s="38" t="s">
        <v>7</v>
      </c>
      <c r="C490" s="37">
        <v>5.28</v>
      </c>
      <c r="D490" s="110"/>
    </row>
    <row r="491" spans="1:4" ht="15.6" outlineLevel="1">
      <c r="A491" s="37" t="s">
        <v>1320</v>
      </c>
      <c r="B491" s="38" t="s">
        <v>516</v>
      </c>
      <c r="C491" s="37">
        <v>5.29</v>
      </c>
      <c r="D491" s="110"/>
    </row>
    <row r="492" spans="1:4" ht="15.6" outlineLevel="1">
      <c r="A492" s="37" t="s">
        <v>1320</v>
      </c>
      <c r="B492" s="38" t="s">
        <v>1305</v>
      </c>
      <c r="C492" s="37">
        <v>5.34</v>
      </c>
      <c r="D492" s="110"/>
    </row>
    <row r="493" spans="1:4" ht="15.6" outlineLevel="1">
      <c r="A493" s="37" t="s">
        <v>1320</v>
      </c>
      <c r="B493" s="38" t="s">
        <v>322</v>
      </c>
      <c r="C493" s="37">
        <v>5.31</v>
      </c>
      <c r="D493" s="110"/>
    </row>
    <row r="494" spans="1:4" ht="15.6" outlineLevel="1">
      <c r="A494" s="37" t="s">
        <v>1320</v>
      </c>
      <c r="B494" s="38" t="s">
        <v>1306</v>
      </c>
      <c r="C494" s="37">
        <v>5.101</v>
      </c>
      <c r="D494" s="110"/>
    </row>
    <row r="495" spans="1:4" ht="15.6" outlineLevel="1">
      <c r="A495" s="37" t="s">
        <v>1320</v>
      </c>
      <c r="B495" s="38" t="s">
        <v>298</v>
      </c>
      <c r="C495" s="37">
        <v>5.36</v>
      </c>
      <c r="D495" s="110"/>
    </row>
    <row r="496" spans="1:4" ht="15.6" outlineLevel="1">
      <c r="A496" s="37" t="s">
        <v>1320</v>
      </c>
      <c r="B496" s="38" t="s">
        <v>330</v>
      </c>
      <c r="C496" s="37">
        <v>5.37</v>
      </c>
      <c r="D496" s="110"/>
    </row>
    <row r="497" spans="1:4" ht="15.6" outlineLevel="1">
      <c r="A497" s="37" t="s">
        <v>1320</v>
      </c>
      <c r="B497" s="38" t="s">
        <v>11</v>
      </c>
      <c r="C497" s="37">
        <v>5.53</v>
      </c>
      <c r="D497" s="110"/>
    </row>
    <row r="498" spans="1:4" ht="15.6" outlineLevel="1">
      <c r="A498" s="37" t="s">
        <v>1320</v>
      </c>
      <c r="B498" s="38" t="s">
        <v>323</v>
      </c>
      <c r="C498" s="37">
        <v>5.109</v>
      </c>
      <c r="D498" s="110"/>
    </row>
    <row r="499" spans="1:4" ht="15.6" outlineLevel="1">
      <c r="A499" s="37" t="s">
        <v>1320</v>
      </c>
      <c r="B499" s="38" t="s">
        <v>324</v>
      </c>
      <c r="C499" s="37">
        <v>5.1109999999999998</v>
      </c>
      <c r="D499" s="110"/>
    </row>
    <row r="500" spans="1:4" ht="15.6" outlineLevel="1">
      <c r="A500" s="37" t="s">
        <v>1320</v>
      </c>
      <c r="B500" s="38" t="s">
        <v>307</v>
      </c>
      <c r="C500" s="37">
        <v>5.1120000000000001</v>
      </c>
      <c r="D500" s="110"/>
    </row>
    <row r="501" spans="1:4" ht="15.6" outlineLevel="1">
      <c r="A501" s="37" t="s">
        <v>1320</v>
      </c>
      <c r="B501" s="38" t="s">
        <v>1307</v>
      </c>
      <c r="C501" s="37">
        <v>5.1020000000000003</v>
      </c>
      <c r="D501" s="110"/>
    </row>
    <row r="502" spans="1:4" ht="15.6" outlineLevel="1">
      <c r="A502" s="37" t="s">
        <v>1320</v>
      </c>
      <c r="B502" s="38" t="s">
        <v>1308</v>
      </c>
      <c r="C502" s="40">
        <v>5.0999999999999996</v>
      </c>
      <c r="D502" s="110"/>
    </row>
    <row r="503" spans="1:4" ht="15.6" outlineLevel="1">
      <c r="A503" s="37" t="s">
        <v>1320</v>
      </c>
      <c r="B503" s="38" t="s">
        <v>17</v>
      </c>
      <c r="C503" s="37">
        <v>5.58</v>
      </c>
      <c r="D503" s="110"/>
    </row>
    <row r="504" spans="1:4" ht="15.6" outlineLevel="1">
      <c r="A504" s="37" t="s">
        <v>1320</v>
      </c>
      <c r="B504" s="38" t="s">
        <v>19</v>
      </c>
      <c r="C504" s="37">
        <v>5.55</v>
      </c>
      <c r="D504" s="110"/>
    </row>
    <row r="505" spans="1:4" ht="15.6" outlineLevel="1">
      <c r="A505" s="37" t="s">
        <v>1320</v>
      </c>
      <c r="B505" s="38" t="s">
        <v>18</v>
      </c>
      <c r="C505" s="37">
        <v>5.54</v>
      </c>
      <c r="D505" s="110"/>
    </row>
    <row r="506" spans="1:4" ht="15.6" outlineLevel="1">
      <c r="A506" s="37" t="s">
        <v>1320</v>
      </c>
      <c r="B506" s="38" t="s">
        <v>20</v>
      </c>
      <c r="C506" s="37">
        <v>5.63</v>
      </c>
      <c r="D506" s="110"/>
    </row>
    <row r="507" spans="1:4" ht="15.6" outlineLevel="1">
      <c r="A507" s="37" t="s">
        <v>1320</v>
      </c>
      <c r="B507" s="38" t="s">
        <v>24</v>
      </c>
      <c r="C507" s="37">
        <v>5.47</v>
      </c>
      <c r="D507" s="110"/>
    </row>
    <row r="508" spans="1:4" ht="15.6" outlineLevel="1">
      <c r="A508" s="37" t="s">
        <v>1320</v>
      </c>
      <c r="B508" s="38" t="s">
        <v>25</v>
      </c>
      <c r="C508" s="37">
        <v>5.48</v>
      </c>
      <c r="D508" s="110"/>
    </row>
    <row r="509" spans="1:4" ht="15.6">
      <c r="A509" s="43" t="s">
        <v>1320</v>
      </c>
      <c r="B509" s="38"/>
      <c r="C509" s="37"/>
      <c r="D509" s="110"/>
    </row>
    <row r="510" spans="1:4" ht="15.6" outlineLevel="1">
      <c r="A510" s="37" t="s">
        <v>1219</v>
      </c>
      <c r="B510" s="38" t="s">
        <v>0</v>
      </c>
      <c r="C510" s="37">
        <v>5.0999999999999996</v>
      </c>
      <c r="D510" s="110"/>
    </row>
    <row r="511" spans="1:4" ht="15.6" outlineLevel="1">
      <c r="A511" s="37" t="s">
        <v>1219</v>
      </c>
      <c r="B511" s="38" t="s">
        <v>1</v>
      </c>
      <c r="C511" s="37">
        <v>5.2</v>
      </c>
      <c r="D511" s="110"/>
    </row>
    <row r="512" spans="1:4" ht="15.6" outlineLevel="1">
      <c r="A512" s="37" t="s">
        <v>1219</v>
      </c>
      <c r="B512" s="38" t="s">
        <v>2</v>
      </c>
      <c r="C512" s="37">
        <v>5.3</v>
      </c>
      <c r="D512" s="110"/>
    </row>
    <row r="513" spans="1:4" ht="15.6" outlineLevel="1">
      <c r="A513" s="37" t="s">
        <v>1219</v>
      </c>
      <c r="B513" s="38" t="s">
        <v>319</v>
      </c>
      <c r="C513" s="37">
        <v>5.6</v>
      </c>
      <c r="D513" s="110"/>
    </row>
    <row r="514" spans="1:4" ht="15.6" outlineLevel="1">
      <c r="A514" s="37" t="s">
        <v>1219</v>
      </c>
      <c r="B514" s="38" t="s">
        <v>1300</v>
      </c>
      <c r="C514" s="39">
        <v>5.0999999999999996</v>
      </c>
      <c r="D514" s="110"/>
    </row>
    <row r="515" spans="1:4" ht="15.6" outlineLevel="1">
      <c r="A515" s="37" t="s">
        <v>1219</v>
      </c>
      <c r="B515" s="38" t="s">
        <v>1299</v>
      </c>
      <c r="C515" s="37">
        <v>5.14</v>
      </c>
      <c r="D515" s="110"/>
    </row>
    <row r="516" spans="1:4" ht="15.6" outlineLevel="1">
      <c r="A516" s="37" t="s">
        <v>1219</v>
      </c>
      <c r="B516" s="38" t="s">
        <v>4</v>
      </c>
      <c r="C516" s="37">
        <v>5.19</v>
      </c>
      <c r="D516" s="110"/>
    </row>
    <row r="517" spans="1:4" ht="15.6" outlineLevel="1">
      <c r="A517" s="37" t="s">
        <v>1219</v>
      </c>
      <c r="B517" s="38" t="s">
        <v>321</v>
      </c>
      <c r="C517" s="37">
        <v>5.24</v>
      </c>
      <c r="D517" s="110"/>
    </row>
    <row r="518" spans="1:4" ht="15.6" outlineLevel="1">
      <c r="A518" s="37" t="s">
        <v>1219</v>
      </c>
      <c r="B518" s="38" t="s">
        <v>5</v>
      </c>
      <c r="C518" s="37">
        <v>5.26</v>
      </c>
      <c r="D518" s="110"/>
    </row>
    <row r="519" spans="1:4" ht="15.6" outlineLevel="1">
      <c r="A519" s="37" t="s">
        <v>1219</v>
      </c>
      <c r="B519" s="38" t="s">
        <v>6</v>
      </c>
      <c r="C519" s="37">
        <v>5.27</v>
      </c>
      <c r="D519" s="110"/>
    </row>
    <row r="520" spans="1:4" ht="15.6" outlineLevel="1">
      <c r="A520" s="37" t="s">
        <v>1219</v>
      </c>
      <c r="B520" s="38" t="s">
        <v>7</v>
      </c>
      <c r="C520" s="37">
        <v>5.28</v>
      </c>
      <c r="D520" s="110"/>
    </row>
    <row r="521" spans="1:4" ht="15.6" outlineLevel="1">
      <c r="A521" s="37" t="s">
        <v>1219</v>
      </c>
      <c r="B521" s="38" t="s">
        <v>322</v>
      </c>
      <c r="C521" s="37">
        <v>5.31</v>
      </c>
      <c r="D521" s="110"/>
    </row>
    <row r="522" spans="1:4" ht="15.6" outlineLevel="1">
      <c r="A522" s="37" t="s">
        <v>1219</v>
      </c>
      <c r="B522" s="38" t="s">
        <v>365</v>
      </c>
      <c r="C522" s="37">
        <v>5.33</v>
      </c>
      <c r="D522" s="110"/>
    </row>
    <row r="523" spans="1:4" ht="15.6" outlineLevel="1">
      <c r="A523" s="37" t="s">
        <v>1219</v>
      </c>
      <c r="B523" s="38" t="s">
        <v>1306</v>
      </c>
      <c r="C523" s="37">
        <v>5.101</v>
      </c>
      <c r="D523" s="110"/>
    </row>
    <row r="524" spans="1:4" ht="15.6" outlineLevel="1">
      <c r="A524" s="37" t="s">
        <v>1219</v>
      </c>
      <c r="B524" s="38" t="s">
        <v>298</v>
      </c>
      <c r="C524" s="37">
        <v>5.36</v>
      </c>
      <c r="D524" s="110"/>
    </row>
    <row r="525" spans="1:4" ht="15.6" outlineLevel="1">
      <c r="A525" s="37" t="s">
        <v>1219</v>
      </c>
      <c r="B525" s="38" t="s">
        <v>330</v>
      </c>
      <c r="C525" s="37">
        <v>5.37</v>
      </c>
      <c r="D525" s="110"/>
    </row>
    <row r="526" spans="1:4" ht="15.6" outlineLevel="1">
      <c r="A526" s="37" t="s">
        <v>1219</v>
      </c>
      <c r="B526" s="38" t="s">
        <v>11</v>
      </c>
      <c r="C526" s="37">
        <v>5.53</v>
      </c>
      <c r="D526" s="110"/>
    </row>
    <row r="527" spans="1:4" ht="15.6" outlineLevel="1">
      <c r="A527" s="37" t="s">
        <v>1219</v>
      </c>
      <c r="B527" s="38" t="s">
        <v>323</v>
      </c>
      <c r="C527" s="37">
        <v>5.109</v>
      </c>
      <c r="D527" s="110"/>
    </row>
    <row r="528" spans="1:4" ht="15.6" outlineLevel="1">
      <c r="A528" s="37" t="s">
        <v>1219</v>
      </c>
      <c r="B528" s="38" t="s">
        <v>324</v>
      </c>
      <c r="C528" s="37">
        <v>5.1109999999999998</v>
      </c>
      <c r="D528" s="110"/>
    </row>
    <row r="529" spans="1:4" ht="15.6" outlineLevel="1">
      <c r="A529" s="37" t="s">
        <v>1219</v>
      </c>
      <c r="B529" s="38" t="s">
        <v>307</v>
      </c>
      <c r="C529" s="37">
        <v>5.1120000000000001</v>
      </c>
      <c r="D529" s="110"/>
    </row>
    <row r="530" spans="1:4" ht="15.6" outlineLevel="1">
      <c r="A530" s="37" t="s">
        <v>1219</v>
      </c>
      <c r="B530" s="38" t="s">
        <v>1307</v>
      </c>
      <c r="C530" s="37">
        <v>5.1020000000000003</v>
      </c>
      <c r="D530" s="110"/>
    </row>
    <row r="531" spans="1:4" ht="15.6" outlineLevel="1">
      <c r="A531" s="37" t="s">
        <v>1219</v>
      </c>
      <c r="B531" s="38" t="s">
        <v>1308</v>
      </c>
      <c r="C531" s="40">
        <v>5.0999999999999996</v>
      </c>
      <c r="D531" s="110"/>
    </row>
    <row r="532" spans="1:4" ht="15.6" outlineLevel="1">
      <c r="A532" s="37" t="s">
        <v>1219</v>
      </c>
      <c r="B532" s="38" t="s">
        <v>17</v>
      </c>
      <c r="C532" s="37">
        <v>5.58</v>
      </c>
      <c r="D532" s="110"/>
    </row>
    <row r="533" spans="1:4" ht="15.6" outlineLevel="1">
      <c r="A533" s="37" t="s">
        <v>1219</v>
      </c>
      <c r="B533" s="38" t="s">
        <v>19</v>
      </c>
      <c r="C533" s="37">
        <v>5.55</v>
      </c>
      <c r="D533" s="110"/>
    </row>
    <row r="534" spans="1:4" ht="15.6" outlineLevel="1">
      <c r="A534" s="37" t="s">
        <v>1219</v>
      </c>
      <c r="B534" s="38" t="s">
        <v>18</v>
      </c>
      <c r="C534" s="37">
        <v>5.54</v>
      </c>
      <c r="D534" s="110"/>
    </row>
    <row r="535" spans="1:4" ht="15.6" outlineLevel="1">
      <c r="A535" s="37" t="s">
        <v>1219</v>
      </c>
      <c r="B535" s="38" t="s">
        <v>20</v>
      </c>
      <c r="C535" s="37">
        <v>5.63</v>
      </c>
      <c r="D535" s="110"/>
    </row>
    <row r="536" spans="1:4" ht="15.6" outlineLevel="1">
      <c r="A536" s="37" t="s">
        <v>1219</v>
      </c>
      <c r="B536" s="38" t="s">
        <v>24</v>
      </c>
      <c r="C536" s="37">
        <v>5.47</v>
      </c>
      <c r="D536" s="110"/>
    </row>
    <row r="537" spans="1:4" ht="15.6" outlineLevel="1">
      <c r="A537" s="37" t="s">
        <v>1219</v>
      </c>
      <c r="B537" s="38" t="s">
        <v>25</v>
      </c>
      <c r="C537" s="37">
        <v>5.48</v>
      </c>
      <c r="D537" s="110"/>
    </row>
    <row r="538" spans="1:4" ht="15.6">
      <c r="A538" s="43" t="s">
        <v>1219</v>
      </c>
      <c r="B538" s="38"/>
      <c r="C538" s="37"/>
      <c r="D538" s="110"/>
    </row>
    <row r="539" spans="1:4" ht="15.6" outlineLevel="1">
      <c r="A539" s="37" t="s">
        <v>1228</v>
      </c>
      <c r="B539" s="38" t="s">
        <v>0</v>
      </c>
      <c r="C539" s="37">
        <v>5.0999999999999996</v>
      </c>
      <c r="D539" s="110"/>
    </row>
    <row r="540" spans="1:4" ht="15.6" outlineLevel="1">
      <c r="A540" s="37" t="s">
        <v>1228</v>
      </c>
      <c r="B540" s="38" t="s">
        <v>1</v>
      </c>
      <c r="C540" s="37">
        <v>5.2</v>
      </c>
      <c r="D540" s="110"/>
    </row>
    <row r="541" spans="1:4" ht="15.6" outlineLevel="1">
      <c r="A541" s="37" t="s">
        <v>1228</v>
      </c>
      <c r="B541" s="38" t="s">
        <v>5</v>
      </c>
      <c r="C541" s="37">
        <v>5.26</v>
      </c>
      <c r="D541" s="110"/>
    </row>
    <row r="542" spans="1:4" ht="15.6" outlineLevel="1">
      <c r="A542" s="37" t="s">
        <v>1228</v>
      </c>
      <c r="B542" s="38" t="s">
        <v>1321</v>
      </c>
      <c r="C542" s="37">
        <v>5.21</v>
      </c>
      <c r="D542" s="110"/>
    </row>
    <row r="543" spans="1:4" ht="15.6" outlineLevel="1">
      <c r="A543" s="37" t="s">
        <v>1228</v>
      </c>
      <c r="B543" s="38" t="s">
        <v>1322</v>
      </c>
      <c r="C543" s="37">
        <v>5.53</v>
      </c>
      <c r="D543" s="110"/>
    </row>
    <row r="544" spans="1:4" ht="15.6" outlineLevel="1">
      <c r="A544" s="37" t="s">
        <v>1228</v>
      </c>
      <c r="B544" s="38" t="s">
        <v>18</v>
      </c>
      <c r="C544" s="37">
        <v>5.54</v>
      </c>
      <c r="D544" s="110"/>
    </row>
    <row r="545" spans="1:4" ht="15.6" outlineLevel="1">
      <c r="A545" s="37" t="s">
        <v>1228</v>
      </c>
      <c r="B545" s="38" t="s">
        <v>1323</v>
      </c>
      <c r="C545" s="37">
        <v>5.58</v>
      </c>
      <c r="D545" s="110"/>
    </row>
    <row r="546" spans="1:4" ht="15.6" outlineLevel="1">
      <c r="A546" s="37" t="s">
        <v>1228</v>
      </c>
      <c r="B546" s="38" t="s">
        <v>1324</v>
      </c>
      <c r="C546" s="37">
        <v>5.1180000000000003</v>
      </c>
      <c r="D546" s="110"/>
    </row>
    <row r="547" spans="1:4" ht="15.6" outlineLevel="1">
      <c r="A547" s="37" t="s">
        <v>1228</v>
      </c>
      <c r="B547" s="38" t="s">
        <v>1325</v>
      </c>
      <c r="C547" s="37">
        <v>5.47</v>
      </c>
      <c r="D547" s="110"/>
    </row>
    <row r="548" spans="1:4" ht="15.6" outlineLevel="1">
      <c r="A548" s="37" t="s">
        <v>1228</v>
      </c>
      <c r="B548" s="38" t="s">
        <v>1326</v>
      </c>
      <c r="C548" s="37">
        <v>5.48</v>
      </c>
      <c r="D548" s="110"/>
    </row>
    <row r="549" spans="1:4" ht="15.6" outlineLevel="1">
      <c r="A549" s="37" t="s">
        <v>1228</v>
      </c>
      <c r="B549" s="38" t="s">
        <v>1327</v>
      </c>
      <c r="C549" s="37">
        <v>5.21</v>
      </c>
      <c r="D549" s="110"/>
    </row>
    <row r="550" spans="1:4" ht="15.6" outlineLevel="1">
      <c r="A550" s="37" t="s">
        <v>1228</v>
      </c>
      <c r="B550" s="38" t="s">
        <v>1328</v>
      </c>
      <c r="C550" s="37">
        <v>5.53</v>
      </c>
      <c r="D550" s="110"/>
    </row>
    <row r="551" spans="1:4" ht="15.6" outlineLevel="1">
      <c r="A551" s="37" t="s">
        <v>1228</v>
      </c>
      <c r="B551" s="38" t="s">
        <v>18</v>
      </c>
      <c r="C551" s="37">
        <v>5.54</v>
      </c>
      <c r="D551" s="110"/>
    </row>
    <row r="552" spans="1:4" ht="15.6" outlineLevel="1">
      <c r="A552" s="37" t="s">
        <v>1228</v>
      </c>
      <c r="B552" s="38" t="s">
        <v>1329</v>
      </c>
      <c r="C552" s="37">
        <v>5.58</v>
      </c>
      <c r="D552" s="110"/>
    </row>
    <row r="553" spans="1:4" ht="15.6" outlineLevel="1">
      <c r="A553" s="37" t="s">
        <v>1228</v>
      </c>
      <c r="B553" s="38" t="s">
        <v>1330</v>
      </c>
      <c r="C553" s="37">
        <v>5.1180000000000003</v>
      </c>
      <c r="D553" s="110"/>
    </row>
    <row r="554" spans="1:4" ht="15.6" outlineLevel="1">
      <c r="A554" s="37" t="s">
        <v>1228</v>
      </c>
      <c r="B554" s="38" t="s">
        <v>1331</v>
      </c>
      <c r="C554" s="37">
        <v>5.47</v>
      </c>
      <c r="D554" s="110"/>
    </row>
    <row r="555" spans="1:4" ht="15.6" outlineLevel="1">
      <c r="A555" s="37" t="s">
        <v>1228</v>
      </c>
      <c r="B555" s="38" t="s">
        <v>1332</v>
      </c>
      <c r="C555" s="37">
        <v>5.48</v>
      </c>
      <c r="D555" s="110"/>
    </row>
    <row r="556" spans="1:4" ht="15.6" outlineLevel="1">
      <c r="A556" s="37" t="s">
        <v>1228</v>
      </c>
      <c r="B556" s="38" t="s">
        <v>1333</v>
      </c>
      <c r="C556" s="37">
        <v>5.63</v>
      </c>
      <c r="D556" s="110"/>
    </row>
    <row r="557" spans="1:4" ht="15.6" outlineLevel="1">
      <c r="A557" s="37" t="s">
        <v>1228</v>
      </c>
      <c r="B557" s="38" t="s">
        <v>6</v>
      </c>
      <c r="C557" s="37">
        <v>5.27</v>
      </c>
      <c r="D557" s="110"/>
    </row>
    <row r="558" spans="1:4" ht="15.6" outlineLevel="1">
      <c r="A558" s="37" t="s">
        <v>1228</v>
      </c>
      <c r="B558" s="38" t="s">
        <v>7</v>
      </c>
      <c r="C558" s="37">
        <v>5.28</v>
      </c>
      <c r="D558" s="110"/>
    </row>
    <row r="559" spans="1:4" ht="15.6" outlineLevel="1">
      <c r="A559" s="37" t="s">
        <v>1228</v>
      </c>
      <c r="B559" s="38" t="s">
        <v>1334</v>
      </c>
      <c r="C559" s="37">
        <v>5.35</v>
      </c>
      <c r="D559" s="110"/>
    </row>
    <row r="560" spans="1:4" ht="15.6" outlineLevel="1">
      <c r="A560" s="37" t="s">
        <v>1228</v>
      </c>
      <c r="B560" s="38" t="s">
        <v>1117</v>
      </c>
      <c r="C560" s="37">
        <v>5.1189999999999998</v>
      </c>
      <c r="D560" s="110"/>
    </row>
    <row r="561" spans="1:4" ht="15.6" outlineLevel="1">
      <c r="A561" s="37" t="s">
        <v>1228</v>
      </c>
      <c r="B561" s="38" t="s">
        <v>1124</v>
      </c>
      <c r="C561" s="40">
        <v>5.12</v>
      </c>
      <c r="D561" s="110"/>
    </row>
    <row r="562" spans="1:4" ht="15.6" outlineLevel="1">
      <c r="A562" s="37" t="s">
        <v>1228</v>
      </c>
      <c r="B562" s="38" t="s">
        <v>514</v>
      </c>
      <c r="C562" s="37">
        <v>5.1210000000000004</v>
      </c>
      <c r="D562" s="110"/>
    </row>
    <row r="563" spans="1:4" ht="15.6" outlineLevel="1">
      <c r="A563" s="37" t="s">
        <v>1228</v>
      </c>
      <c r="B563" s="38" t="s">
        <v>298</v>
      </c>
      <c r="C563" s="37">
        <v>5.36</v>
      </c>
      <c r="D563" s="110"/>
    </row>
    <row r="564" spans="1:4" ht="15.6" outlineLevel="1">
      <c r="A564" s="37" t="s">
        <v>1228</v>
      </c>
      <c r="B564" s="38" t="s">
        <v>1335</v>
      </c>
      <c r="C564" s="37">
        <v>5.1219999999999999</v>
      </c>
      <c r="D564" s="110"/>
    </row>
    <row r="565" spans="1:4" ht="15.6" outlineLevel="1">
      <c r="A565" s="37" t="s">
        <v>1228</v>
      </c>
      <c r="B565" s="38" t="s">
        <v>1336</v>
      </c>
      <c r="C565" s="37">
        <v>5.1230000000000002</v>
      </c>
      <c r="D565" s="110"/>
    </row>
    <row r="566" spans="1:4" ht="15.6" outlineLevel="1">
      <c r="A566" s="37" t="s">
        <v>1228</v>
      </c>
      <c r="B566" s="38" t="s">
        <v>1088</v>
      </c>
      <c r="C566" s="37">
        <v>5.1239999999999997</v>
      </c>
      <c r="D566" s="110"/>
    </row>
    <row r="567" spans="1:4" ht="15.6" outlineLevel="1">
      <c r="A567" s="37" t="s">
        <v>1228</v>
      </c>
      <c r="B567" s="38" t="s">
        <v>1096</v>
      </c>
      <c r="C567" s="37">
        <v>5.125</v>
      </c>
      <c r="D567" s="110"/>
    </row>
    <row r="568" spans="1:4" ht="15.6" outlineLevel="1">
      <c r="A568" s="37" t="s">
        <v>1228</v>
      </c>
      <c r="B568" s="38" t="s">
        <v>1337</v>
      </c>
      <c r="C568" s="37">
        <v>5.1260000000000003</v>
      </c>
      <c r="D568" s="110"/>
    </row>
    <row r="569" spans="1:4" ht="15.6" outlineLevel="1">
      <c r="A569" s="37" t="s">
        <v>1228</v>
      </c>
      <c r="B569" s="38" t="s">
        <v>1114</v>
      </c>
      <c r="C569" s="37">
        <v>5.1269999999999998</v>
      </c>
      <c r="D569" s="110"/>
    </row>
    <row r="570" spans="1:4" ht="15.6" outlineLevel="1">
      <c r="A570" s="37" t="s">
        <v>1228</v>
      </c>
      <c r="B570" s="38" t="s">
        <v>1099</v>
      </c>
      <c r="C570" s="39">
        <v>5.72</v>
      </c>
      <c r="D570" s="110"/>
    </row>
    <row r="571" spans="1:4" ht="15.6" outlineLevel="1">
      <c r="A571" s="37" t="s">
        <v>1228</v>
      </c>
      <c r="B571" s="38" t="s">
        <v>1110</v>
      </c>
      <c r="C571" s="37">
        <v>5.1280000000000001</v>
      </c>
      <c r="D571" s="110"/>
    </row>
    <row r="572" spans="1:4" ht="15.6" outlineLevel="1">
      <c r="A572" s="37" t="s">
        <v>1228</v>
      </c>
      <c r="B572" s="38" t="s">
        <v>1338</v>
      </c>
      <c r="C572" s="37">
        <v>5.1289999999999996</v>
      </c>
      <c r="D572" s="109" t="s">
        <v>1298</v>
      </c>
    </row>
    <row r="573" spans="1:4" ht="15.6" outlineLevel="1">
      <c r="A573" s="37" t="s">
        <v>1228</v>
      </c>
      <c r="B573" s="38" t="s">
        <v>1339</v>
      </c>
      <c r="C573" s="37">
        <v>5.1310000000000002</v>
      </c>
      <c r="D573" s="110"/>
    </row>
    <row r="574" spans="1:4" ht="15.6" outlineLevel="1">
      <c r="A574" s="37" t="s">
        <v>1228</v>
      </c>
      <c r="B574" s="38" t="s">
        <v>1340</v>
      </c>
      <c r="C574" s="37">
        <v>5.1319999999999997</v>
      </c>
      <c r="D574" s="109" t="s">
        <v>1298</v>
      </c>
    </row>
    <row r="575" spans="1:4" ht="15.6" outlineLevel="1">
      <c r="A575" s="37" t="s">
        <v>1228</v>
      </c>
      <c r="B575" s="38" t="s">
        <v>1139</v>
      </c>
      <c r="C575" s="37">
        <v>5.133</v>
      </c>
      <c r="D575" s="109" t="s">
        <v>1298</v>
      </c>
    </row>
    <row r="576" spans="1:4" ht="15.6" outlineLevel="1">
      <c r="A576" s="37" t="s">
        <v>1228</v>
      </c>
      <c r="B576" s="38" t="s">
        <v>1341</v>
      </c>
      <c r="C576" s="37">
        <v>5.1340000000000003</v>
      </c>
      <c r="D576" s="109" t="s">
        <v>1298</v>
      </c>
    </row>
    <row r="577" spans="1:4" ht="15.6" outlineLevel="1">
      <c r="A577" s="37" t="s">
        <v>1228</v>
      </c>
      <c r="B577" s="38" t="s">
        <v>1342</v>
      </c>
      <c r="C577" s="40">
        <v>5.13</v>
      </c>
      <c r="D577" s="110"/>
    </row>
    <row r="578" spans="1:4" ht="15.6" outlineLevel="1">
      <c r="A578" s="37" t="s">
        <v>1228</v>
      </c>
      <c r="B578" s="38" t="s">
        <v>24</v>
      </c>
      <c r="C578" s="37">
        <v>5.47</v>
      </c>
      <c r="D578" s="110"/>
    </row>
    <row r="579" spans="1:4" ht="15.6" outlineLevel="1">
      <c r="A579" s="37" t="s">
        <v>1228</v>
      </c>
      <c r="B579" s="38" t="s">
        <v>25</v>
      </c>
      <c r="C579" s="37">
        <v>5.48</v>
      </c>
      <c r="D579" s="110"/>
    </row>
    <row r="580" spans="1:4" ht="15.6">
      <c r="A580" s="43" t="s">
        <v>1228</v>
      </c>
      <c r="B580" s="38"/>
      <c r="C580" s="37"/>
      <c r="D580" s="110"/>
    </row>
    <row r="581" spans="1:4" ht="15.6" outlineLevel="1">
      <c r="A581" s="37" t="s">
        <v>1221</v>
      </c>
      <c r="B581" s="38" t="s">
        <v>0</v>
      </c>
      <c r="C581" s="37">
        <v>5.0999999999999996</v>
      </c>
      <c r="D581" s="110"/>
    </row>
    <row r="582" spans="1:4" ht="15.6" outlineLevel="1">
      <c r="A582" s="37" t="s">
        <v>1221</v>
      </c>
      <c r="B582" s="38" t="s">
        <v>1</v>
      </c>
      <c r="C582" s="37">
        <v>5.2</v>
      </c>
      <c r="D582" s="110"/>
    </row>
    <row r="583" spans="1:4" ht="15.6" outlineLevel="1">
      <c r="A583" s="37" t="s">
        <v>1221</v>
      </c>
      <c r="B583" s="38" t="s">
        <v>293</v>
      </c>
      <c r="C583" s="37">
        <v>5.9</v>
      </c>
      <c r="D583" s="109" t="s">
        <v>1298</v>
      </c>
    </row>
    <row r="584" spans="1:4" ht="15.6" outlineLevel="1">
      <c r="A584" s="37" t="s">
        <v>1221</v>
      </c>
      <c r="B584" s="38" t="s">
        <v>294</v>
      </c>
      <c r="C584" s="37">
        <v>5.13</v>
      </c>
      <c r="D584" s="109" t="s">
        <v>1298</v>
      </c>
    </row>
    <row r="585" spans="1:4" ht="15.6" outlineLevel="1">
      <c r="A585" s="37" t="s">
        <v>1221</v>
      </c>
      <c r="B585" s="38" t="s">
        <v>295</v>
      </c>
      <c r="C585" s="37">
        <v>5.16</v>
      </c>
      <c r="D585" s="109" t="s">
        <v>1298</v>
      </c>
    </row>
    <row r="586" spans="1:4" ht="15.6" outlineLevel="1">
      <c r="A586" s="37" t="s">
        <v>1221</v>
      </c>
      <c r="B586" s="38" t="s">
        <v>296</v>
      </c>
      <c r="C586" s="37">
        <v>5.22</v>
      </c>
      <c r="D586" s="109"/>
    </row>
    <row r="587" spans="1:4" ht="15.6" outlineLevel="1">
      <c r="A587" s="37" t="s">
        <v>1221</v>
      </c>
      <c r="B587" s="38" t="s">
        <v>5</v>
      </c>
      <c r="C587" s="37">
        <v>5.26</v>
      </c>
      <c r="D587" s="110"/>
    </row>
    <row r="588" spans="1:4" ht="15.6" outlineLevel="1">
      <c r="A588" s="37" t="s">
        <v>1221</v>
      </c>
      <c r="B588" s="38" t="s">
        <v>1343</v>
      </c>
      <c r="C588" s="37">
        <v>5.77</v>
      </c>
      <c r="D588" s="110"/>
    </row>
    <row r="589" spans="1:4" ht="15.6" outlineLevel="1">
      <c r="A589" s="37" t="s">
        <v>1221</v>
      </c>
      <c r="B589" s="38" t="s">
        <v>6</v>
      </c>
      <c r="C589" s="37">
        <v>5.27</v>
      </c>
      <c r="D589" s="110"/>
    </row>
    <row r="590" spans="1:4" ht="15.6" outlineLevel="1">
      <c r="A590" s="37" t="s">
        <v>1221</v>
      </c>
      <c r="B590" s="38" t="s">
        <v>7</v>
      </c>
      <c r="C590" s="37">
        <v>5.28</v>
      </c>
      <c r="D590" s="109" t="s">
        <v>1298</v>
      </c>
    </row>
    <row r="591" spans="1:4" ht="15.6" outlineLevel="1">
      <c r="A591" s="37" t="s">
        <v>1221</v>
      </c>
      <c r="B591" s="38" t="s">
        <v>322</v>
      </c>
      <c r="C591" s="37">
        <v>5.31</v>
      </c>
      <c r="D591" s="110"/>
    </row>
    <row r="592" spans="1:4" ht="15.6" outlineLevel="1">
      <c r="A592" s="37" t="s">
        <v>1221</v>
      </c>
      <c r="B592" s="38" t="s">
        <v>298</v>
      </c>
      <c r="C592" s="37">
        <v>5.36</v>
      </c>
      <c r="D592" s="110"/>
    </row>
    <row r="593" spans="1:4" ht="15.6" outlineLevel="1">
      <c r="A593" s="37" t="s">
        <v>1221</v>
      </c>
      <c r="B593" s="38" t="s">
        <v>1344</v>
      </c>
      <c r="C593" s="37">
        <v>5.78</v>
      </c>
      <c r="D593" s="110"/>
    </row>
    <row r="594" spans="1:4" ht="15.6" outlineLevel="1">
      <c r="A594" s="37" t="s">
        <v>1221</v>
      </c>
      <c r="B594" s="38" t="s">
        <v>1345</v>
      </c>
      <c r="C594" s="37">
        <v>5.79</v>
      </c>
      <c r="D594" s="109" t="s">
        <v>1298</v>
      </c>
    </row>
    <row r="595" spans="1:4" ht="15.6" outlineLevel="1">
      <c r="A595" s="37" t="s">
        <v>1221</v>
      </c>
      <c r="B595" s="38" t="s">
        <v>1346</v>
      </c>
      <c r="C595" s="37">
        <v>5.41</v>
      </c>
      <c r="D595" s="110"/>
    </row>
    <row r="596" spans="1:4" ht="15.6" outlineLevel="1">
      <c r="A596" s="37" t="s">
        <v>1221</v>
      </c>
      <c r="B596" s="38" t="s">
        <v>9</v>
      </c>
      <c r="C596" s="37">
        <v>5.49</v>
      </c>
      <c r="D596" s="110"/>
    </row>
    <row r="597" spans="1:4" ht="15.6" outlineLevel="1">
      <c r="A597" s="37" t="s">
        <v>1221</v>
      </c>
      <c r="B597" s="38" t="s">
        <v>10</v>
      </c>
      <c r="C597" s="37">
        <v>5.51</v>
      </c>
      <c r="D597" s="110"/>
    </row>
    <row r="598" spans="1:4" ht="15.6" outlineLevel="1">
      <c r="A598" s="37" t="s">
        <v>1221</v>
      </c>
      <c r="B598" s="38" t="s">
        <v>1347</v>
      </c>
      <c r="C598" s="37">
        <v>5.52</v>
      </c>
      <c r="D598" s="110"/>
    </row>
    <row r="599" spans="1:4" ht="15.6" outlineLevel="1">
      <c r="A599" s="37" t="s">
        <v>1221</v>
      </c>
      <c r="B599" s="38" t="s">
        <v>11</v>
      </c>
      <c r="C599" s="37">
        <v>5.53</v>
      </c>
      <c r="D599" s="110"/>
    </row>
    <row r="600" spans="1:4" ht="15.6" outlineLevel="1">
      <c r="A600" s="37" t="s">
        <v>1221</v>
      </c>
      <c r="B600" s="38" t="s">
        <v>12</v>
      </c>
      <c r="C600" s="37">
        <v>5.69</v>
      </c>
      <c r="D600" s="110"/>
    </row>
    <row r="601" spans="1:4" ht="15.6" outlineLevel="1">
      <c r="A601" s="37" t="s">
        <v>1221</v>
      </c>
      <c r="B601" s="38" t="s">
        <v>300</v>
      </c>
      <c r="C601" s="37">
        <v>5.71</v>
      </c>
      <c r="D601" s="110"/>
    </row>
    <row r="602" spans="1:4" ht="15.6" outlineLevel="1">
      <c r="A602" s="37" t="s">
        <v>1221</v>
      </c>
      <c r="B602" s="38" t="s">
        <v>14</v>
      </c>
      <c r="C602" s="39">
        <v>5.7</v>
      </c>
      <c r="D602" s="110"/>
    </row>
    <row r="603" spans="1:4" ht="15.6" outlineLevel="1">
      <c r="A603" s="37" t="s">
        <v>1221</v>
      </c>
      <c r="B603" s="38" t="s">
        <v>943</v>
      </c>
      <c r="C603" s="39">
        <v>5.8</v>
      </c>
      <c r="D603" s="109" t="s">
        <v>1298</v>
      </c>
    </row>
    <row r="604" spans="1:4" ht="15.6" outlineLevel="1">
      <c r="A604" s="37" t="s">
        <v>1221</v>
      </c>
      <c r="B604" s="38" t="s">
        <v>1099</v>
      </c>
      <c r="C604" s="39">
        <v>5.72</v>
      </c>
      <c r="D604" s="109" t="s">
        <v>1298</v>
      </c>
    </row>
    <row r="605" spans="1:4" ht="15.6" outlineLevel="1">
      <c r="A605" s="37" t="s">
        <v>1221</v>
      </c>
      <c r="B605" s="38" t="s">
        <v>1348</v>
      </c>
      <c r="C605" s="37">
        <v>5.73</v>
      </c>
      <c r="D605" s="109" t="s">
        <v>1298</v>
      </c>
    </row>
    <row r="606" spans="1:4" ht="15.6" outlineLevel="1">
      <c r="A606" s="37" t="s">
        <v>1221</v>
      </c>
      <c r="B606" s="38" t="s">
        <v>15</v>
      </c>
      <c r="C606" s="37">
        <v>5.74</v>
      </c>
      <c r="D606" s="110"/>
    </row>
    <row r="607" spans="1:4" ht="15.6" outlineLevel="1">
      <c r="A607" s="37" t="s">
        <v>1221</v>
      </c>
      <c r="B607" s="38" t="s">
        <v>13</v>
      </c>
      <c r="C607" s="37">
        <v>5.75</v>
      </c>
      <c r="D607" s="110"/>
    </row>
    <row r="608" spans="1:4" ht="15.6" outlineLevel="1">
      <c r="A608" s="37" t="s">
        <v>1221</v>
      </c>
      <c r="B608" s="38" t="s">
        <v>600</v>
      </c>
      <c r="C608" s="37">
        <v>5.76</v>
      </c>
      <c r="D608" s="110"/>
    </row>
    <row r="609" spans="1:4" ht="15.6" outlineLevel="1">
      <c r="A609" s="37" t="s">
        <v>1221</v>
      </c>
      <c r="B609" s="38" t="s">
        <v>947</v>
      </c>
      <c r="C609" s="37">
        <v>5.81</v>
      </c>
      <c r="D609" s="109" t="s">
        <v>1298</v>
      </c>
    </row>
    <row r="610" spans="1:4" ht="15.6" outlineLevel="1">
      <c r="A610" s="37" t="s">
        <v>1221</v>
      </c>
      <c r="B610" s="38" t="s">
        <v>1349</v>
      </c>
      <c r="C610" s="37">
        <v>5.82</v>
      </c>
      <c r="D610" s="109" t="s">
        <v>1298</v>
      </c>
    </row>
    <row r="611" spans="1:4" ht="15.6" outlineLevel="1">
      <c r="A611" s="37" t="s">
        <v>1221</v>
      </c>
      <c r="B611" s="38" t="s">
        <v>1350</v>
      </c>
      <c r="C611" s="37">
        <v>5.83</v>
      </c>
      <c r="D611" s="109" t="s">
        <v>1298</v>
      </c>
    </row>
    <row r="612" spans="1:4" ht="15.6" outlineLevel="1">
      <c r="A612" s="37" t="s">
        <v>1221</v>
      </c>
      <c r="B612" s="38" t="s">
        <v>1351</v>
      </c>
      <c r="C612" s="37">
        <v>5.84</v>
      </c>
      <c r="D612" s="110"/>
    </row>
    <row r="613" spans="1:4" ht="15.6" outlineLevel="1">
      <c r="A613" s="37" t="s">
        <v>1221</v>
      </c>
      <c r="B613" s="38" t="s">
        <v>970</v>
      </c>
      <c r="C613" s="37">
        <v>5.85</v>
      </c>
      <c r="D613" s="109" t="s">
        <v>1298</v>
      </c>
    </row>
    <row r="614" spans="1:4" ht="15.6" outlineLevel="1">
      <c r="A614" s="37" t="s">
        <v>1221</v>
      </c>
      <c r="B614" s="38" t="s">
        <v>971</v>
      </c>
      <c r="C614" s="37">
        <v>5.86</v>
      </c>
      <c r="D614" s="109" t="s">
        <v>1298</v>
      </c>
    </row>
    <row r="615" spans="1:4" ht="15.6" outlineLevel="1">
      <c r="A615" s="37" t="s">
        <v>1221</v>
      </c>
      <c r="B615" s="38" t="s">
        <v>1352</v>
      </c>
      <c r="C615" s="37">
        <v>5.88</v>
      </c>
      <c r="D615" s="109" t="s">
        <v>1298</v>
      </c>
    </row>
    <row r="616" spans="1:4" ht="15.6" outlineLevel="1">
      <c r="A616" s="37" t="s">
        <v>1221</v>
      </c>
      <c r="B616" s="38" t="s">
        <v>977</v>
      </c>
      <c r="C616" s="37">
        <v>5.87</v>
      </c>
      <c r="D616" s="110"/>
    </row>
    <row r="617" spans="1:4" ht="15.6" outlineLevel="1">
      <c r="A617" s="37" t="s">
        <v>1221</v>
      </c>
      <c r="B617" s="38" t="s">
        <v>323</v>
      </c>
      <c r="C617" s="37">
        <v>5.109</v>
      </c>
      <c r="D617" s="110"/>
    </row>
    <row r="618" spans="1:4" ht="15.6" outlineLevel="1">
      <c r="A618" s="37" t="s">
        <v>1221</v>
      </c>
      <c r="B618" s="38" t="s">
        <v>336</v>
      </c>
      <c r="C618" s="40">
        <v>5.1100000000000003</v>
      </c>
      <c r="D618" s="109" t="s">
        <v>1298</v>
      </c>
    </row>
    <row r="619" spans="1:4" ht="15.6" outlineLevel="1">
      <c r="A619" s="37" t="s">
        <v>1221</v>
      </c>
      <c r="B619" s="38" t="s">
        <v>324</v>
      </c>
      <c r="C619" s="37">
        <v>5.1109999999999998</v>
      </c>
      <c r="D619" s="110"/>
    </row>
    <row r="620" spans="1:4" ht="15.6" outlineLevel="1">
      <c r="A620" s="37" t="s">
        <v>1221</v>
      </c>
      <c r="B620" s="38" t="s">
        <v>307</v>
      </c>
      <c r="C620" s="37">
        <v>5.1120000000000001</v>
      </c>
      <c r="D620" s="110"/>
    </row>
    <row r="621" spans="1:4" ht="15.6" outlineLevel="1">
      <c r="A621" s="37" t="s">
        <v>1221</v>
      </c>
      <c r="B621" s="38" t="s">
        <v>1314</v>
      </c>
      <c r="C621" s="37">
        <v>5.1130000000000004</v>
      </c>
      <c r="D621" s="110"/>
    </row>
    <row r="622" spans="1:4" ht="15.6" outlineLevel="1">
      <c r="A622" s="37" t="s">
        <v>1221</v>
      </c>
      <c r="B622" s="38" t="s">
        <v>1353</v>
      </c>
      <c r="C622" s="37">
        <v>5.99</v>
      </c>
      <c r="D622" s="109" t="s">
        <v>1298</v>
      </c>
    </row>
    <row r="623" spans="1:4" ht="15.6" outlineLevel="1">
      <c r="A623" s="37" t="s">
        <v>1221</v>
      </c>
      <c r="B623" s="38" t="s">
        <v>1354</v>
      </c>
      <c r="C623" s="37">
        <v>5.58</v>
      </c>
      <c r="D623" s="109"/>
    </row>
    <row r="624" spans="1:4" ht="15.6" outlineLevel="1">
      <c r="A624" s="37" t="s">
        <v>1221</v>
      </c>
      <c r="B624" s="38" t="s">
        <v>18</v>
      </c>
      <c r="C624" s="37">
        <v>5.54</v>
      </c>
      <c r="D624" s="110"/>
    </row>
    <row r="625" spans="1:4" ht="15.6" outlineLevel="1">
      <c r="A625" s="37" t="s">
        <v>1221</v>
      </c>
      <c r="B625" s="38" t="s">
        <v>1355</v>
      </c>
      <c r="C625" s="37">
        <v>5.56</v>
      </c>
      <c r="D625" s="110"/>
    </row>
    <row r="626" spans="1:4" ht="15.6" outlineLevel="1">
      <c r="A626" s="37" t="s">
        <v>1221</v>
      </c>
      <c r="B626" s="38" t="s">
        <v>20</v>
      </c>
      <c r="C626" s="37">
        <v>5.63</v>
      </c>
      <c r="D626" s="110"/>
    </row>
    <row r="627" spans="1:4" ht="15.6" outlineLevel="1">
      <c r="A627" s="37" t="s">
        <v>1221</v>
      </c>
      <c r="B627" s="38" t="s">
        <v>337</v>
      </c>
      <c r="C627" s="37">
        <v>5.64</v>
      </c>
      <c r="D627" s="110"/>
    </row>
    <row r="628" spans="1:4" ht="15.6" outlineLevel="1">
      <c r="A628" s="37" t="s">
        <v>1221</v>
      </c>
      <c r="B628" s="38" t="s">
        <v>21</v>
      </c>
      <c r="C628" s="37">
        <v>5.65</v>
      </c>
      <c r="D628" s="110"/>
    </row>
    <row r="629" spans="1:4" ht="15.6" outlineLevel="1">
      <c r="A629" s="37" t="s">
        <v>1221</v>
      </c>
      <c r="B629" s="38" t="s">
        <v>338</v>
      </c>
      <c r="C629" s="37">
        <v>5.66</v>
      </c>
      <c r="D629" s="110"/>
    </row>
    <row r="630" spans="1:4" ht="15.6" outlineLevel="1">
      <c r="A630" s="37" t="s">
        <v>1221</v>
      </c>
      <c r="B630" s="38" t="s">
        <v>1020</v>
      </c>
      <c r="C630" s="37">
        <v>5.89</v>
      </c>
      <c r="D630" s="109" t="s">
        <v>1298</v>
      </c>
    </row>
    <row r="631" spans="1:4" ht="15.6" outlineLevel="1">
      <c r="A631" s="37" t="s">
        <v>1221</v>
      </c>
      <c r="B631" s="38" t="s">
        <v>22</v>
      </c>
      <c r="C631" s="37">
        <v>5.68</v>
      </c>
      <c r="D631" s="110"/>
    </row>
    <row r="632" spans="1:4" ht="15.6" outlineLevel="1">
      <c r="A632" s="37" t="s">
        <v>1221</v>
      </c>
      <c r="B632" s="38" t="s">
        <v>24</v>
      </c>
      <c r="C632" s="37">
        <v>5.47</v>
      </c>
      <c r="D632" s="110"/>
    </row>
    <row r="633" spans="1:4" ht="15.6" outlineLevel="1">
      <c r="A633" s="37" t="s">
        <v>1221</v>
      </c>
      <c r="B633" s="38" t="s">
        <v>25</v>
      </c>
      <c r="C633" s="37">
        <v>5.48</v>
      </c>
      <c r="D633" s="110"/>
    </row>
    <row r="634" spans="1:4" ht="15.6">
      <c r="A634" s="43" t="s">
        <v>1221</v>
      </c>
      <c r="B634" s="38"/>
      <c r="C634" s="37"/>
      <c r="D634" s="110"/>
    </row>
    <row r="635" spans="1:4" ht="15.6" outlineLevel="1">
      <c r="A635" s="37" t="s">
        <v>1240</v>
      </c>
      <c r="B635" s="38" t="s">
        <v>0</v>
      </c>
      <c r="C635" s="37">
        <v>5.0999999999999996</v>
      </c>
      <c r="D635" s="110"/>
    </row>
    <row r="636" spans="1:4" ht="15.6" outlineLevel="1">
      <c r="A636" s="37" t="s">
        <v>1240</v>
      </c>
      <c r="B636" s="38" t="s">
        <v>1</v>
      </c>
      <c r="C636" s="37">
        <v>5.2</v>
      </c>
      <c r="D636" s="110"/>
    </row>
    <row r="637" spans="1:4" ht="15.6" outlineLevel="1">
      <c r="A637" s="37" t="s">
        <v>1240</v>
      </c>
      <c r="B637" s="38" t="s">
        <v>2</v>
      </c>
      <c r="C637" s="37">
        <v>5.3</v>
      </c>
      <c r="D637" s="110"/>
    </row>
    <row r="638" spans="1:4" ht="15.6" outlineLevel="1">
      <c r="A638" s="37" t="s">
        <v>1240</v>
      </c>
      <c r="B638" s="38" t="s">
        <v>319</v>
      </c>
      <c r="C638" s="37">
        <v>5.6</v>
      </c>
      <c r="D638" s="110"/>
    </row>
    <row r="639" spans="1:4" ht="15.6" outlineLevel="1">
      <c r="A639" s="37" t="s">
        <v>1240</v>
      </c>
      <c r="B639" s="38" t="s">
        <v>1300</v>
      </c>
      <c r="C639" s="39">
        <v>5.0999999999999996</v>
      </c>
      <c r="D639" s="110"/>
    </row>
    <row r="640" spans="1:4" ht="15.6" outlineLevel="1">
      <c r="A640" s="37" t="s">
        <v>1240</v>
      </c>
      <c r="B640" s="38" t="s">
        <v>1299</v>
      </c>
      <c r="C640" s="37">
        <v>5.14</v>
      </c>
      <c r="D640" s="110"/>
    </row>
    <row r="641" spans="1:4" ht="15.6" outlineLevel="1">
      <c r="A641" s="37" t="s">
        <v>1240</v>
      </c>
      <c r="B641" s="38" t="s">
        <v>4</v>
      </c>
      <c r="C641" s="37">
        <v>5.19</v>
      </c>
      <c r="D641" s="110"/>
    </row>
    <row r="642" spans="1:4" ht="15.6" outlineLevel="1">
      <c r="A642" s="37" t="s">
        <v>1240</v>
      </c>
      <c r="B642" s="38" t="s">
        <v>321</v>
      </c>
      <c r="C642" s="37">
        <v>5.24</v>
      </c>
      <c r="D642" s="110"/>
    </row>
    <row r="643" spans="1:4" ht="15.6" outlineLevel="1">
      <c r="A643" s="37" t="s">
        <v>1240</v>
      </c>
      <c r="B643" s="38" t="s">
        <v>5</v>
      </c>
      <c r="C643" s="37">
        <v>5.26</v>
      </c>
      <c r="D643" s="110"/>
    </row>
    <row r="644" spans="1:4" ht="15.6" outlineLevel="1">
      <c r="A644" s="37" t="s">
        <v>1240</v>
      </c>
      <c r="B644" s="38" t="s">
        <v>6</v>
      </c>
      <c r="C644" s="37">
        <v>5.27</v>
      </c>
      <c r="D644" s="110"/>
    </row>
    <row r="645" spans="1:4" ht="15.6" outlineLevel="1">
      <c r="A645" s="37" t="s">
        <v>1240</v>
      </c>
      <c r="B645" s="38" t="s">
        <v>7</v>
      </c>
      <c r="C645" s="37">
        <v>5.28</v>
      </c>
      <c r="D645" s="110"/>
    </row>
    <row r="646" spans="1:4" ht="15.6" outlineLevel="1">
      <c r="A646" s="37" t="s">
        <v>1240</v>
      </c>
      <c r="B646" s="38" t="s">
        <v>298</v>
      </c>
      <c r="C646" s="37">
        <v>5.36</v>
      </c>
      <c r="D646" s="110"/>
    </row>
    <row r="647" spans="1:4" ht="15.6" outlineLevel="1">
      <c r="A647" s="37" t="s">
        <v>1240</v>
      </c>
      <c r="B647" s="38" t="s">
        <v>365</v>
      </c>
      <c r="C647" s="37">
        <v>5.33</v>
      </c>
      <c r="D647" s="110"/>
    </row>
    <row r="648" spans="1:4" ht="15.6" outlineLevel="1">
      <c r="A648" s="37" t="s">
        <v>1240</v>
      </c>
      <c r="B648" s="38" t="s">
        <v>330</v>
      </c>
      <c r="C648" s="37">
        <v>5.37</v>
      </c>
      <c r="D648" s="110"/>
    </row>
    <row r="649" spans="1:4" ht="15.6" outlineLevel="1">
      <c r="A649" s="37" t="s">
        <v>1240</v>
      </c>
      <c r="B649" s="38" t="s">
        <v>9</v>
      </c>
      <c r="C649" s="37">
        <v>5.49</v>
      </c>
      <c r="D649" s="110"/>
    </row>
    <row r="650" spans="1:4" ht="15.6" outlineLevel="1">
      <c r="A650" s="37" t="s">
        <v>1240</v>
      </c>
      <c r="B650" s="38" t="s">
        <v>10</v>
      </c>
      <c r="C650" s="37">
        <v>5.51</v>
      </c>
      <c r="D650" s="110"/>
    </row>
    <row r="651" spans="1:4" ht="15.6" outlineLevel="1">
      <c r="A651" s="37" t="s">
        <v>1240</v>
      </c>
      <c r="B651" s="38" t="s">
        <v>1301</v>
      </c>
      <c r="C651" s="37">
        <v>5.52</v>
      </c>
      <c r="D651" s="110"/>
    </row>
    <row r="652" spans="1:4" ht="15.6" outlineLevel="1">
      <c r="A652" s="37" t="s">
        <v>1240</v>
      </c>
      <c r="B652" s="38" t="s">
        <v>11</v>
      </c>
      <c r="C652" s="37">
        <v>5.53</v>
      </c>
      <c r="D652" s="110"/>
    </row>
    <row r="653" spans="1:4" ht="15.6" outlineLevel="1">
      <c r="A653" s="37" t="s">
        <v>1240</v>
      </c>
      <c r="B653" s="38" t="s">
        <v>12</v>
      </c>
      <c r="C653" s="37">
        <v>5.69</v>
      </c>
      <c r="D653" s="110"/>
    </row>
    <row r="654" spans="1:4" ht="15.6" outlineLevel="1">
      <c r="A654" s="37" t="s">
        <v>1240</v>
      </c>
      <c r="B654" s="38" t="s">
        <v>14</v>
      </c>
      <c r="C654" s="39">
        <v>5.7</v>
      </c>
      <c r="D654" s="110"/>
    </row>
    <row r="655" spans="1:4" ht="15.6" outlineLevel="1">
      <c r="A655" s="37" t="s">
        <v>1240</v>
      </c>
      <c r="B655" s="38" t="s">
        <v>15</v>
      </c>
      <c r="C655" s="37">
        <v>5.74</v>
      </c>
      <c r="D655" s="110"/>
    </row>
    <row r="656" spans="1:4" ht="15.6" outlineLevel="1">
      <c r="A656" s="37" t="s">
        <v>1240</v>
      </c>
      <c r="B656" s="38" t="s">
        <v>323</v>
      </c>
      <c r="C656" s="37">
        <v>5.109</v>
      </c>
      <c r="D656" s="110"/>
    </row>
    <row r="657" spans="1:4" ht="15.6" outlineLevel="1">
      <c r="A657" s="37" t="s">
        <v>1240</v>
      </c>
      <c r="B657" s="38" t="s">
        <v>324</v>
      </c>
      <c r="C657" s="37">
        <v>5.1109999999999998</v>
      </c>
      <c r="D657" s="110"/>
    </row>
    <row r="658" spans="1:4" ht="15.6" outlineLevel="1">
      <c r="A658" s="37" t="s">
        <v>1240</v>
      </c>
      <c r="B658" s="38" t="s">
        <v>307</v>
      </c>
      <c r="C658" s="37">
        <v>5.1120000000000001</v>
      </c>
      <c r="D658" s="110"/>
    </row>
    <row r="659" spans="1:4" ht="15.6" outlineLevel="1">
      <c r="A659" s="37" t="s">
        <v>1240</v>
      </c>
      <c r="B659" s="38" t="s">
        <v>17</v>
      </c>
      <c r="C659" s="37">
        <v>5.58</v>
      </c>
      <c r="D659" s="110"/>
    </row>
    <row r="660" spans="1:4" ht="15.6" outlineLevel="1">
      <c r="A660" s="37" t="s">
        <v>1240</v>
      </c>
      <c r="B660" s="38" t="s">
        <v>18</v>
      </c>
      <c r="C660" s="37">
        <v>5.54</v>
      </c>
      <c r="D660" s="110"/>
    </row>
    <row r="661" spans="1:4" ht="15.6" outlineLevel="1">
      <c r="A661" s="37" t="s">
        <v>1240</v>
      </c>
      <c r="B661" s="38" t="s">
        <v>19</v>
      </c>
      <c r="C661" s="37">
        <v>5.55</v>
      </c>
      <c r="D661" s="110"/>
    </row>
    <row r="662" spans="1:4" ht="15.6" outlineLevel="1">
      <c r="A662" s="37" t="s">
        <v>1240</v>
      </c>
      <c r="B662" s="38" t="s">
        <v>20</v>
      </c>
      <c r="C662" s="37">
        <v>5.63</v>
      </c>
      <c r="D662" s="110"/>
    </row>
    <row r="663" spans="1:4" ht="15.6" outlineLevel="1">
      <c r="A663" s="37" t="s">
        <v>1240</v>
      </c>
      <c r="B663" s="38" t="s">
        <v>24</v>
      </c>
      <c r="C663" s="37">
        <v>5.47</v>
      </c>
      <c r="D663" s="110"/>
    </row>
    <row r="664" spans="1:4" ht="15.6" outlineLevel="1">
      <c r="A664" s="37" t="s">
        <v>1240</v>
      </c>
      <c r="B664" s="38" t="s">
        <v>25</v>
      </c>
      <c r="C664" s="37">
        <v>5.48</v>
      </c>
      <c r="D664" s="110"/>
    </row>
    <row r="665" spans="1:4" ht="15.6">
      <c r="A665" s="43" t="s">
        <v>1240</v>
      </c>
      <c r="B665" s="38"/>
      <c r="C665" s="37"/>
      <c r="D665" s="110"/>
    </row>
    <row r="666" spans="1:4" ht="15.6" outlineLevel="1">
      <c r="A666" s="37" t="s">
        <v>1245</v>
      </c>
      <c r="B666" s="38" t="s">
        <v>0</v>
      </c>
      <c r="C666" s="37">
        <v>5.0999999999999996</v>
      </c>
      <c r="D666" s="110"/>
    </row>
    <row r="667" spans="1:4" ht="15.6" outlineLevel="1">
      <c r="A667" s="37" t="s">
        <v>1245</v>
      </c>
      <c r="B667" s="38" t="s">
        <v>1</v>
      </c>
      <c r="C667" s="37">
        <v>5.2</v>
      </c>
      <c r="D667" s="110"/>
    </row>
    <row r="668" spans="1:4" ht="15.6" outlineLevel="1">
      <c r="A668" s="37" t="s">
        <v>1245</v>
      </c>
      <c r="B668" s="38" t="s">
        <v>346</v>
      </c>
      <c r="C668" s="37">
        <v>5.4</v>
      </c>
      <c r="D668" s="110"/>
    </row>
    <row r="669" spans="1:4" ht="15.6" outlineLevel="1">
      <c r="A669" s="37" t="s">
        <v>1245</v>
      </c>
      <c r="B669" s="38" t="s">
        <v>347</v>
      </c>
      <c r="C669" s="37">
        <v>5.7</v>
      </c>
      <c r="D669" s="110"/>
    </row>
    <row r="670" spans="1:4" ht="15.6" outlineLevel="1">
      <c r="A670" s="37" t="s">
        <v>1245</v>
      </c>
      <c r="B670" s="38" t="s">
        <v>348</v>
      </c>
      <c r="C670" s="37">
        <v>5.1100000000000003</v>
      </c>
      <c r="D670" s="110"/>
    </row>
    <row r="671" spans="1:4" ht="15.6" outlineLevel="1">
      <c r="A671" s="37" t="s">
        <v>1245</v>
      </c>
      <c r="B671" s="38" t="s">
        <v>5</v>
      </c>
      <c r="C671" s="37">
        <v>5.26</v>
      </c>
      <c r="D671" s="110"/>
    </row>
    <row r="672" spans="1:4" ht="15.6" outlineLevel="1">
      <c r="A672" s="37" t="s">
        <v>1245</v>
      </c>
      <c r="B672" s="38" t="s">
        <v>349</v>
      </c>
      <c r="C672" s="37">
        <v>5.43</v>
      </c>
      <c r="D672" s="110"/>
    </row>
    <row r="673" spans="1:4" ht="15.6" outlineLevel="1">
      <c r="A673" s="37" t="s">
        <v>1245</v>
      </c>
      <c r="B673" s="38" t="s">
        <v>6</v>
      </c>
      <c r="C673" s="37">
        <v>5.27</v>
      </c>
      <c r="D673" s="110"/>
    </row>
    <row r="674" spans="1:4" ht="15.6" outlineLevel="1">
      <c r="A674" s="37" t="s">
        <v>1245</v>
      </c>
      <c r="B674" s="38" t="s">
        <v>7</v>
      </c>
      <c r="C674" s="37">
        <v>5.28</v>
      </c>
      <c r="D674" s="110"/>
    </row>
    <row r="675" spans="1:4" ht="15.6" outlineLevel="1">
      <c r="A675" s="37" t="s">
        <v>1245</v>
      </c>
      <c r="B675" s="38" t="s">
        <v>298</v>
      </c>
      <c r="C675" s="37">
        <v>5.36</v>
      </c>
      <c r="D675" s="110"/>
    </row>
    <row r="676" spans="1:4" ht="15.6" outlineLevel="1">
      <c r="A676" s="37" t="s">
        <v>1245</v>
      </c>
      <c r="B676" s="38" t="s">
        <v>350</v>
      </c>
      <c r="C676" s="39">
        <v>5.5</v>
      </c>
      <c r="D676" s="110"/>
    </row>
    <row r="677" spans="1:4" ht="15.6" outlineLevel="1">
      <c r="A677" s="37" t="s">
        <v>1245</v>
      </c>
      <c r="B677" s="38" t="s">
        <v>10</v>
      </c>
      <c r="C677" s="37">
        <v>5.51</v>
      </c>
      <c r="D677" s="110"/>
    </row>
    <row r="678" spans="1:4" ht="15.6" outlineLevel="1">
      <c r="A678" s="37" t="s">
        <v>1245</v>
      </c>
      <c r="B678" s="38" t="s">
        <v>11</v>
      </c>
      <c r="C678" s="37">
        <v>5.53</v>
      </c>
      <c r="D678" s="110"/>
    </row>
    <row r="679" spans="1:4" ht="15.6" outlineLevel="1">
      <c r="A679" s="37" t="s">
        <v>1245</v>
      </c>
      <c r="B679" s="38" t="s">
        <v>12</v>
      </c>
      <c r="C679" s="37">
        <v>5.69</v>
      </c>
      <c r="D679" s="110"/>
    </row>
    <row r="680" spans="1:4" ht="15.6" outlineLevel="1">
      <c r="A680" s="37" t="s">
        <v>1245</v>
      </c>
      <c r="B680" s="38" t="s">
        <v>14</v>
      </c>
      <c r="C680" s="39">
        <v>5.7</v>
      </c>
      <c r="D680" s="109" t="s">
        <v>1298</v>
      </c>
    </row>
    <row r="681" spans="1:4" ht="15.6" outlineLevel="1">
      <c r="A681" s="37" t="s">
        <v>1245</v>
      </c>
      <c r="B681" s="38" t="s">
        <v>15</v>
      </c>
      <c r="C681" s="37">
        <v>5.74</v>
      </c>
      <c r="D681" s="110"/>
    </row>
    <row r="682" spans="1:4" ht="15.6" outlineLevel="1">
      <c r="A682" s="37" t="s">
        <v>1245</v>
      </c>
      <c r="B682" s="38" t="s">
        <v>308</v>
      </c>
      <c r="C682" s="37">
        <v>5.59</v>
      </c>
      <c r="D682" s="110"/>
    </row>
    <row r="683" spans="1:4" ht="15.6" outlineLevel="1">
      <c r="A683" s="37" t="s">
        <v>1245</v>
      </c>
      <c r="B683" s="38" t="s">
        <v>18</v>
      </c>
      <c r="C683" s="37">
        <v>5.54</v>
      </c>
      <c r="D683" s="110"/>
    </row>
    <row r="684" spans="1:4" ht="15.6" outlineLevel="1">
      <c r="A684" s="37" t="s">
        <v>1245</v>
      </c>
      <c r="B684" s="38" t="s">
        <v>351</v>
      </c>
      <c r="C684" s="37">
        <v>5.57</v>
      </c>
      <c r="D684" s="110"/>
    </row>
    <row r="685" spans="1:4" ht="15.6" outlineLevel="1">
      <c r="A685" s="37" t="s">
        <v>1245</v>
      </c>
      <c r="B685" s="38" t="s">
        <v>20</v>
      </c>
      <c r="C685" s="37">
        <v>5.63</v>
      </c>
      <c r="D685" s="110"/>
    </row>
    <row r="686" spans="1:4" ht="15.6" outlineLevel="1">
      <c r="A686" s="37" t="s">
        <v>1245</v>
      </c>
      <c r="B686" s="38" t="s">
        <v>24</v>
      </c>
      <c r="C686" s="37">
        <v>5.47</v>
      </c>
      <c r="D686" s="110"/>
    </row>
    <row r="687" spans="1:4" ht="15.6" outlineLevel="1">
      <c r="A687" s="37" t="s">
        <v>1245</v>
      </c>
      <c r="B687" s="38" t="s">
        <v>25</v>
      </c>
      <c r="C687" s="37">
        <v>5.48</v>
      </c>
      <c r="D687" s="110"/>
    </row>
    <row r="688" spans="1:4" ht="15.6">
      <c r="A688" s="43" t="s">
        <v>1245</v>
      </c>
      <c r="B688" s="38"/>
      <c r="C688" s="37"/>
      <c r="D688" s="110"/>
    </row>
    <row r="689" spans="1:4" ht="15.6" outlineLevel="1">
      <c r="A689" s="37" t="s">
        <v>1248</v>
      </c>
      <c r="B689" s="38" t="s">
        <v>0</v>
      </c>
      <c r="C689" s="37">
        <v>5.0999999999999996</v>
      </c>
      <c r="D689" s="110"/>
    </row>
    <row r="690" spans="1:4" ht="15.6" outlineLevel="1">
      <c r="A690" s="37" t="s">
        <v>1248</v>
      </c>
      <c r="B690" s="38" t="s">
        <v>1</v>
      </c>
      <c r="C690" s="37">
        <v>5.2</v>
      </c>
      <c r="D690" s="110"/>
    </row>
    <row r="691" spans="1:4" ht="15.6" outlineLevel="1">
      <c r="A691" s="37" t="s">
        <v>1248</v>
      </c>
      <c r="B691" s="38" t="s">
        <v>328</v>
      </c>
      <c r="C691" s="37">
        <v>5.17</v>
      </c>
      <c r="D691" s="110"/>
    </row>
    <row r="692" spans="1:4" ht="15.6" outlineLevel="1">
      <c r="A692" s="37" t="s">
        <v>1248</v>
      </c>
      <c r="B692" s="38" t="s">
        <v>5</v>
      </c>
      <c r="C692" s="37">
        <v>5.26</v>
      </c>
      <c r="D692" s="110"/>
    </row>
    <row r="693" spans="1:4" ht="15.6" outlineLevel="1">
      <c r="A693" s="37" t="s">
        <v>1248</v>
      </c>
      <c r="B693" s="38" t="s">
        <v>329</v>
      </c>
      <c r="C693" s="37">
        <v>5.1029999999999998</v>
      </c>
      <c r="D693" s="110"/>
    </row>
    <row r="694" spans="1:4" ht="15.6" outlineLevel="1">
      <c r="A694" s="37" t="s">
        <v>1248</v>
      </c>
      <c r="B694" s="38" t="s">
        <v>298</v>
      </c>
      <c r="C694" s="37">
        <v>5.36</v>
      </c>
      <c r="D694" s="110"/>
    </row>
    <row r="695" spans="1:4" ht="15.6" outlineLevel="1">
      <c r="A695" s="37" t="s">
        <v>1248</v>
      </c>
      <c r="B695" s="38" t="s">
        <v>330</v>
      </c>
      <c r="C695" s="37">
        <v>5.37</v>
      </c>
      <c r="D695" s="110"/>
    </row>
    <row r="696" spans="1:4" ht="15.6" outlineLevel="1">
      <c r="A696" s="37" t="s">
        <v>1248</v>
      </c>
      <c r="B696" s="38" t="s">
        <v>331</v>
      </c>
      <c r="C696" s="37">
        <v>5.1040000000000001</v>
      </c>
      <c r="D696" s="110"/>
    </row>
    <row r="697" spans="1:4" ht="15.6" outlineLevel="1">
      <c r="A697" s="37" t="s">
        <v>1248</v>
      </c>
      <c r="B697" s="38" t="s">
        <v>332</v>
      </c>
      <c r="C697" s="37">
        <v>5.1050000000000004</v>
      </c>
      <c r="D697" s="110"/>
    </row>
    <row r="698" spans="1:4" ht="15.6" outlineLevel="1">
      <c r="A698" s="37" t="s">
        <v>1248</v>
      </c>
      <c r="B698" s="38" t="s">
        <v>333</v>
      </c>
      <c r="C698" s="37">
        <v>5.1059999999999999</v>
      </c>
      <c r="D698" s="110"/>
    </row>
    <row r="699" spans="1:4" ht="15.6" outlineLevel="1">
      <c r="A699" s="37" t="s">
        <v>1248</v>
      </c>
      <c r="B699" s="38" t="s">
        <v>334</v>
      </c>
      <c r="C699" s="37">
        <v>5.1070000000000002</v>
      </c>
      <c r="D699" s="110"/>
    </row>
    <row r="700" spans="1:4" ht="15.6" outlineLevel="1">
      <c r="A700" s="37" t="s">
        <v>1248</v>
      </c>
      <c r="B700" s="38" t="s">
        <v>1071</v>
      </c>
      <c r="C700" s="37">
        <v>5.1079999999999997</v>
      </c>
      <c r="D700" s="109" t="s">
        <v>1298</v>
      </c>
    </row>
    <row r="701" spans="1:4" ht="15.6" outlineLevel="1">
      <c r="A701" s="37" t="s">
        <v>1248</v>
      </c>
      <c r="B701" s="38" t="s">
        <v>323</v>
      </c>
      <c r="C701" s="37">
        <v>5.109</v>
      </c>
      <c r="D701" s="110"/>
    </row>
    <row r="702" spans="1:4" ht="15.6" outlineLevel="1">
      <c r="A702" s="37" t="s">
        <v>1248</v>
      </c>
      <c r="B702" s="38" t="s">
        <v>336</v>
      </c>
      <c r="C702" s="40">
        <v>5.1100000000000003</v>
      </c>
      <c r="D702" s="109" t="s">
        <v>1298</v>
      </c>
    </row>
    <row r="703" spans="1:4" ht="15.6" outlineLevel="1">
      <c r="A703" s="37" t="s">
        <v>1248</v>
      </c>
      <c r="B703" s="38" t="s">
        <v>324</v>
      </c>
      <c r="C703" s="37">
        <v>5.1109999999999998</v>
      </c>
      <c r="D703" s="110"/>
    </row>
    <row r="704" spans="1:4" ht="15.6" outlineLevel="1">
      <c r="A704" s="37" t="s">
        <v>1248</v>
      </c>
      <c r="B704" s="38" t="s">
        <v>307</v>
      </c>
      <c r="C704" s="37">
        <v>5.1120000000000001</v>
      </c>
      <c r="D704" s="110"/>
    </row>
    <row r="705" spans="1:4" ht="15.6" outlineLevel="1">
      <c r="A705" s="37" t="s">
        <v>1248</v>
      </c>
      <c r="B705" s="38" t="s">
        <v>11</v>
      </c>
      <c r="C705" s="37">
        <v>5.53</v>
      </c>
      <c r="D705" s="110"/>
    </row>
    <row r="706" spans="1:4" ht="15.6" outlineLevel="1">
      <c r="A706" s="37" t="s">
        <v>1248</v>
      </c>
      <c r="B706" s="38" t="s">
        <v>337</v>
      </c>
      <c r="C706" s="37">
        <v>5.64</v>
      </c>
      <c r="D706" s="110"/>
    </row>
    <row r="707" spans="1:4" ht="15.6" outlineLevel="1">
      <c r="A707" s="37" t="s">
        <v>1248</v>
      </c>
      <c r="B707" s="38" t="s">
        <v>20</v>
      </c>
      <c r="C707" s="37">
        <v>5.63</v>
      </c>
      <c r="D707" s="110"/>
    </row>
    <row r="708" spans="1:4" ht="15.6" outlineLevel="1">
      <c r="A708" s="37" t="s">
        <v>1248</v>
      </c>
      <c r="B708" s="38" t="s">
        <v>21</v>
      </c>
      <c r="C708" s="37">
        <v>5.65</v>
      </c>
      <c r="D708" s="110"/>
    </row>
    <row r="709" spans="1:4" ht="15.6" outlineLevel="1">
      <c r="A709" s="37" t="s">
        <v>1248</v>
      </c>
      <c r="B709" s="38" t="s">
        <v>338</v>
      </c>
      <c r="C709" s="37">
        <v>5.66</v>
      </c>
      <c r="D709" s="110"/>
    </row>
    <row r="710" spans="1:4" ht="15.6" outlineLevel="1">
      <c r="A710" s="37" t="s">
        <v>1248</v>
      </c>
      <c r="B710" s="38" t="s">
        <v>22</v>
      </c>
      <c r="C710" s="37">
        <v>5.68</v>
      </c>
      <c r="D710" s="110"/>
    </row>
    <row r="711" spans="1:4" ht="15.6" outlineLevel="1">
      <c r="A711" s="37" t="s">
        <v>1248</v>
      </c>
      <c r="B711" s="38" t="s">
        <v>24</v>
      </c>
      <c r="C711" s="37">
        <v>5.47</v>
      </c>
      <c r="D711" s="110"/>
    </row>
    <row r="712" spans="1:4" ht="15.6" outlineLevel="1">
      <c r="A712" s="37" t="s">
        <v>1248</v>
      </c>
      <c r="B712" s="38" t="s">
        <v>25</v>
      </c>
      <c r="C712" s="37">
        <v>5.48</v>
      </c>
      <c r="D712" s="110"/>
    </row>
    <row r="713" spans="1:4" ht="15.6">
      <c r="A713" s="43" t="s">
        <v>1248</v>
      </c>
      <c r="B713" s="38"/>
      <c r="C713" s="37"/>
      <c r="D713" s="110"/>
    </row>
    <row r="714" spans="1:4" ht="15.6" outlineLevel="1">
      <c r="A714" s="37" t="s">
        <v>1356</v>
      </c>
      <c r="B714" s="38" t="s">
        <v>0</v>
      </c>
      <c r="C714" s="37">
        <v>5.0999999999999996</v>
      </c>
      <c r="D714" s="110"/>
    </row>
    <row r="715" spans="1:4" ht="15.6" outlineLevel="1">
      <c r="A715" s="37" t="s">
        <v>1356</v>
      </c>
      <c r="B715" s="38" t="s">
        <v>1</v>
      </c>
      <c r="C715" s="37">
        <v>5.2</v>
      </c>
      <c r="D715" s="110"/>
    </row>
    <row r="716" spans="1:4" ht="15.6" outlineLevel="1">
      <c r="A716" s="37" t="s">
        <v>1356</v>
      </c>
      <c r="B716" s="38" t="s">
        <v>2</v>
      </c>
      <c r="C716" s="37">
        <v>5.3</v>
      </c>
      <c r="D716" s="110"/>
    </row>
    <row r="717" spans="1:4" ht="15.6" outlineLevel="1">
      <c r="A717" s="37" t="s">
        <v>1356</v>
      </c>
      <c r="B717" s="38" t="s">
        <v>319</v>
      </c>
      <c r="C717" s="37">
        <v>5.6</v>
      </c>
      <c r="D717" s="110"/>
    </row>
    <row r="718" spans="1:4" ht="15.6" outlineLevel="1">
      <c r="A718" s="37" t="s">
        <v>1356</v>
      </c>
      <c r="B718" s="38" t="s">
        <v>1300</v>
      </c>
      <c r="C718" s="39">
        <v>5.0999999999999996</v>
      </c>
      <c r="D718" s="110"/>
    </row>
    <row r="719" spans="1:4" ht="15.6" outlineLevel="1">
      <c r="A719" s="37" t="s">
        <v>1356</v>
      </c>
      <c r="B719" s="38" t="s">
        <v>1299</v>
      </c>
      <c r="C719" s="37">
        <v>5.14</v>
      </c>
      <c r="D719" s="110"/>
    </row>
    <row r="720" spans="1:4" ht="15.6" outlineLevel="1">
      <c r="A720" s="37" t="s">
        <v>1356</v>
      </c>
      <c r="B720" s="38" t="s">
        <v>4</v>
      </c>
      <c r="C720" s="37">
        <v>5.19</v>
      </c>
      <c r="D720" s="110"/>
    </row>
    <row r="721" spans="1:4" ht="15.6" outlineLevel="1">
      <c r="A721" s="37" t="s">
        <v>1356</v>
      </c>
      <c r="B721" s="38" t="s">
        <v>321</v>
      </c>
      <c r="C721" s="37">
        <v>5.24</v>
      </c>
      <c r="D721" s="110"/>
    </row>
    <row r="722" spans="1:4" ht="15.6" outlineLevel="1">
      <c r="A722" s="37" t="s">
        <v>1356</v>
      </c>
      <c r="B722" s="38" t="s">
        <v>5</v>
      </c>
      <c r="C722" s="37">
        <v>5.26</v>
      </c>
      <c r="D722" s="110"/>
    </row>
    <row r="723" spans="1:4" ht="15.6" outlineLevel="1">
      <c r="A723" s="37" t="s">
        <v>1356</v>
      </c>
      <c r="B723" s="38" t="s">
        <v>6</v>
      </c>
      <c r="C723" s="37">
        <v>5.27</v>
      </c>
      <c r="D723" s="110"/>
    </row>
    <row r="724" spans="1:4" ht="15.6" outlineLevel="1">
      <c r="A724" s="37" t="s">
        <v>1356</v>
      </c>
      <c r="B724" s="38" t="s">
        <v>7</v>
      </c>
      <c r="C724" s="37">
        <v>5.28</v>
      </c>
      <c r="D724" s="110"/>
    </row>
    <row r="725" spans="1:4" ht="15.6" outlineLevel="1">
      <c r="A725" s="37" t="s">
        <v>1356</v>
      </c>
      <c r="B725" s="38" t="s">
        <v>322</v>
      </c>
      <c r="C725" s="37">
        <v>5.31</v>
      </c>
      <c r="D725" s="110"/>
    </row>
    <row r="726" spans="1:4" ht="15.6" outlineLevel="1">
      <c r="A726" s="37" t="s">
        <v>1356</v>
      </c>
      <c r="B726" s="38" t="s">
        <v>298</v>
      </c>
      <c r="C726" s="37">
        <v>5.36</v>
      </c>
      <c r="D726" s="110"/>
    </row>
    <row r="727" spans="1:4" ht="15.6" outlineLevel="1">
      <c r="A727" s="37" t="s">
        <v>1356</v>
      </c>
      <c r="B727" s="38" t="s">
        <v>11</v>
      </c>
      <c r="C727" s="37">
        <v>5.53</v>
      </c>
      <c r="D727" s="110"/>
    </row>
    <row r="728" spans="1:4" ht="15.6" outlineLevel="1">
      <c r="A728" s="37" t="s">
        <v>1356</v>
      </c>
      <c r="B728" s="38" t="s">
        <v>323</v>
      </c>
      <c r="C728" s="37">
        <v>5.109</v>
      </c>
      <c r="D728" s="110"/>
    </row>
    <row r="729" spans="1:4" ht="15.6" outlineLevel="1">
      <c r="A729" s="37" t="s">
        <v>1356</v>
      </c>
      <c r="B729" s="38" t="s">
        <v>324</v>
      </c>
      <c r="C729" s="37">
        <v>5.1109999999999998</v>
      </c>
      <c r="D729" s="110"/>
    </row>
    <row r="730" spans="1:4" ht="15.6" outlineLevel="1">
      <c r="A730" s="37" t="s">
        <v>1356</v>
      </c>
      <c r="B730" s="38" t="s">
        <v>307</v>
      </c>
      <c r="C730" s="37">
        <v>5.1120000000000001</v>
      </c>
      <c r="D730" s="110"/>
    </row>
    <row r="731" spans="1:4" ht="15.6" outlineLevel="1">
      <c r="A731" s="37" t="s">
        <v>1356</v>
      </c>
      <c r="B731" s="38" t="s">
        <v>1314</v>
      </c>
      <c r="C731" s="37">
        <v>5.1130000000000004</v>
      </c>
      <c r="D731" s="110"/>
    </row>
    <row r="732" spans="1:4" ht="15.6" outlineLevel="1">
      <c r="A732" s="37" t="s">
        <v>1356</v>
      </c>
      <c r="B732" s="38" t="s">
        <v>326</v>
      </c>
      <c r="C732" s="37">
        <v>5.117</v>
      </c>
      <c r="D732" s="110"/>
    </row>
    <row r="733" spans="1:4" ht="15.6" outlineLevel="1">
      <c r="A733" s="37" t="s">
        <v>1356</v>
      </c>
      <c r="B733" s="38" t="s">
        <v>327</v>
      </c>
      <c r="C733" s="37">
        <v>5.67</v>
      </c>
      <c r="D733" s="110"/>
    </row>
    <row r="734" spans="1:4" ht="15.6" outlineLevel="1">
      <c r="A734" s="37" t="s">
        <v>1356</v>
      </c>
      <c r="B734" s="38" t="s">
        <v>20</v>
      </c>
      <c r="C734" s="37">
        <v>5.63</v>
      </c>
      <c r="D734" s="110"/>
    </row>
    <row r="735" spans="1:4" ht="15.6" outlineLevel="1">
      <c r="A735" s="37" t="s">
        <v>1356</v>
      </c>
      <c r="B735" s="38" t="s">
        <v>24</v>
      </c>
      <c r="C735" s="37">
        <v>5.47</v>
      </c>
      <c r="D735" s="110"/>
    </row>
    <row r="736" spans="1:4" ht="15.6" outlineLevel="1">
      <c r="A736" s="37" t="s">
        <v>1356</v>
      </c>
      <c r="B736" s="38" t="s">
        <v>25</v>
      </c>
      <c r="C736" s="37">
        <v>5.48</v>
      </c>
      <c r="D736" s="110"/>
    </row>
    <row r="737" spans="1:4" ht="15.6">
      <c r="A737" s="43" t="s">
        <v>1357</v>
      </c>
      <c r="B737" s="38"/>
      <c r="C737" s="37"/>
      <c r="D737" s="110"/>
    </row>
    <row r="738" spans="1:4" ht="15.6" outlineLevel="1">
      <c r="A738" s="37" t="s">
        <v>1250</v>
      </c>
      <c r="B738" s="38" t="s">
        <v>0</v>
      </c>
      <c r="C738" s="37">
        <v>5.0999999999999996</v>
      </c>
      <c r="D738" s="110"/>
    </row>
    <row r="739" spans="1:4" ht="15.6" outlineLevel="1">
      <c r="A739" s="37" t="s">
        <v>1250</v>
      </c>
      <c r="B739" s="38" t="s">
        <v>1</v>
      </c>
      <c r="C739" s="37">
        <v>5.2</v>
      </c>
      <c r="D739" s="110"/>
    </row>
    <row r="740" spans="1:4" ht="15.6" outlineLevel="1">
      <c r="A740" s="37" t="s">
        <v>1250</v>
      </c>
      <c r="B740" s="38" t="s">
        <v>304</v>
      </c>
      <c r="C740" s="37">
        <v>5.18</v>
      </c>
      <c r="D740" s="110"/>
    </row>
    <row r="741" spans="1:4" ht="15.6" outlineLevel="1">
      <c r="A741" s="37" t="s">
        <v>1250</v>
      </c>
      <c r="B741" s="38" t="s">
        <v>305</v>
      </c>
      <c r="C741" s="37">
        <v>5.23</v>
      </c>
      <c r="D741" s="110"/>
    </row>
    <row r="742" spans="1:4" ht="15.6" outlineLevel="1">
      <c r="A742" s="37" t="s">
        <v>1250</v>
      </c>
      <c r="B742" s="38" t="s">
        <v>5</v>
      </c>
      <c r="C742" s="37">
        <v>5.26</v>
      </c>
      <c r="D742" s="110"/>
    </row>
    <row r="743" spans="1:4" ht="15.6" outlineLevel="1">
      <c r="A743" s="37" t="s">
        <v>1250</v>
      </c>
      <c r="B743" s="38" t="s">
        <v>6</v>
      </c>
      <c r="C743" s="37">
        <v>5.27</v>
      </c>
      <c r="D743" s="110"/>
    </row>
    <row r="744" spans="1:4" ht="15.6" outlineLevel="1">
      <c r="A744" s="37" t="s">
        <v>1250</v>
      </c>
      <c r="B744" s="38" t="s">
        <v>7</v>
      </c>
      <c r="C744" s="37">
        <v>5.28</v>
      </c>
      <c r="D744" s="110"/>
    </row>
    <row r="745" spans="1:4" ht="15.6" outlineLevel="1">
      <c r="A745" s="37" t="s">
        <v>1250</v>
      </c>
      <c r="B745" s="38" t="s">
        <v>298</v>
      </c>
      <c r="C745" s="37">
        <v>5.36</v>
      </c>
      <c r="D745" s="110"/>
    </row>
    <row r="746" spans="1:4" ht="15.6" outlineLevel="1">
      <c r="A746" s="37" t="s">
        <v>1250</v>
      </c>
      <c r="B746" s="38" t="s">
        <v>306</v>
      </c>
      <c r="C746" s="37">
        <v>5.44</v>
      </c>
      <c r="D746" s="110"/>
    </row>
    <row r="747" spans="1:4" ht="15.6" outlineLevel="1">
      <c r="A747" s="37" t="s">
        <v>1250</v>
      </c>
      <c r="B747" s="38" t="s">
        <v>11</v>
      </c>
      <c r="C747" s="37">
        <v>5.53</v>
      </c>
      <c r="D747" s="110"/>
    </row>
    <row r="748" spans="1:4" ht="15.6" outlineLevel="1">
      <c r="A748" s="37" t="s">
        <v>1250</v>
      </c>
      <c r="B748" s="38" t="s">
        <v>307</v>
      </c>
      <c r="C748" s="37">
        <v>5.1120000000000001</v>
      </c>
      <c r="D748" s="110"/>
    </row>
    <row r="749" spans="1:4" ht="15.6" outlineLevel="1">
      <c r="A749" s="37" t="s">
        <v>1250</v>
      </c>
      <c r="B749" s="38" t="s">
        <v>308</v>
      </c>
      <c r="C749" s="37">
        <v>5.59</v>
      </c>
      <c r="D749" s="110"/>
    </row>
    <row r="750" spans="1:4" ht="15.6" outlineLevel="1">
      <c r="A750" s="37" t="s">
        <v>1250</v>
      </c>
      <c r="B750" s="38" t="s">
        <v>18</v>
      </c>
      <c r="C750" s="37">
        <v>5.54</v>
      </c>
      <c r="D750" s="110"/>
    </row>
    <row r="751" spans="1:4" ht="15.6" outlineLevel="1">
      <c r="A751" s="37" t="s">
        <v>1250</v>
      </c>
      <c r="B751" s="38" t="s">
        <v>20</v>
      </c>
      <c r="C751" s="37">
        <v>5.63</v>
      </c>
      <c r="D751" s="110"/>
    </row>
    <row r="752" spans="1:4" ht="15.6" outlineLevel="1">
      <c r="A752" s="37" t="s">
        <v>1250</v>
      </c>
      <c r="B752" s="38" t="s">
        <v>21</v>
      </c>
      <c r="C752" s="37">
        <v>5.65</v>
      </c>
      <c r="D752" s="110"/>
    </row>
    <row r="753" spans="1:4" ht="15.6" outlineLevel="1">
      <c r="A753" s="37" t="s">
        <v>1250</v>
      </c>
      <c r="B753" s="38" t="s">
        <v>22</v>
      </c>
      <c r="C753" s="37">
        <v>5.68</v>
      </c>
      <c r="D753" s="110"/>
    </row>
    <row r="754" spans="1:4" ht="15.6" outlineLevel="1">
      <c r="A754" s="37" t="s">
        <v>1250</v>
      </c>
      <c r="B754" s="38" t="s">
        <v>24</v>
      </c>
      <c r="C754" s="37">
        <v>5.47</v>
      </c>
      <c r="D754" s="110"/>
    </row>
    <row r="755" spans="1:4" ht="15.6" outlineLevel="1">
      <c r="A755" s="37" t="s">
        <v>1250</v>
      </c>
      <c r="B755" s="38" t="s">
        <v>25</v>
      </c>
      <c r="C755" s="37">
        <v>5.48</v>
      </c>
      <c r="D755" s="110"/>
    </row>
    <row r="756" spans="1:4" ht="15.6">
      <c r="A756" s="43" t="s">
        <v>1250</v>
      </c>
      <c r="B756" s="38"/>
      <c r="C756" s="37"/>
      <c r="D756" s="110"/>
    </row>
    <row r="757" spans="1:4" ht="15.6" outlineLevel="1">
      <c r="A757" s="37" t="s">
        <v>1358</v>
      </c>
      <c r="B757" s="38" t="s">
        <v>0</v>
      </c>
      <c r="C757" s="37">
        <v>5.0999999999999996</v>
      </c>
      <c r="D757" s="110"/>
    </row>
    <row r="758" spans="1:4" ht="15.6" outlineLevel="1">
      <c r="A758" s="37" t="s">
        <v>1358</v>
      </c>
      <c r="B758" s="38" t="s">
        <v>1</v>
      </c>
      <c r="C758" s="37">
        <v>5.2</v>
      </c>
      <c r="D758" s="110"/>
    </row>
    <row r="759" spans="1:4" ht="15.6" outlineLevel="1">
      <c r="A759" s="37" t="s">
        <v>1358</v>
      </c>
      <c r="B759" s="38" t="s">
        <v>293</v>
      </c>
      <c r="C759" s="37">
        <v>5.9</v>
      </c>
      <c r="D759" s="109" t="s">
        <v>1298</v>
      </c>
    </row>
    <row r="760" spans="1:4" ht="15.6" outlineLevel="1">
      <c r="A760" s="37" t="s">
        <v>1358</v>
      </c>
      <c r="B760" s="38" t="s">
        <v>294</v>
      </c>
      <c r="C760" s="37">
        <v>5.13</v>
      </c>
      <c r="D760" s="110"/>
    </row>
    <row r="761" spans="1:4" ht="15.6" outlineLevel="1">
      <c r="A761" s="37" t="s">
        <v>1358</v>
      </c>
      <c r="B761" s="38" t="s">
        <v>295</v>
      </c>
      <c r="C761" s="37">
        <v>5.16</v>
      </c>
      <c r="D761" s="109" t="s">
        <v>1298</v>
      </c>
    </row>
    <row r="762" spans="1:4" ht="15.6" outlineLevel="1">
      <c r="A762" s="37" t="s">
        <v>1358</v>
      </c>
      <c r="B762" s="38" t="s">
        <v>296</v>
      </c>
      <c r="C762" s="37">
        <v>5.22</v>
      </c>
      <c r="D762" s="109"/>
    </row>
    <row r="763" spans="1:4" ht="15.6" outlineLevel="1">
      <c r="A763" s="37" t="s">
        <v>1358</v>
      </c>
      <c r="B763" s="38" t="s">
        <v>297</v>
      </c>
      <c r="C763" s="37">
        <v>5.42</v>
      </c>
      <c r="D763" s="110"/>
    </row>
    <row r="764" spans="1:4" ht="15.6" outlineLevel="1">
      <c r="A764" s="37" t="s">
        <v>1358</v>
      </c>
      <c r="B764" s="38" t="s">
        <v>6</v>
      </c>
      <c r="C764" s="37">
        <v>5.27</v>
      </c>
      <c r="D764" s="110"/>
    </row>
    <row r="765" spans="1:4" ht="15.6" outlineLevel="1">
      <c r="A765" s="37" t="s">
        <v>1358</v>
      </c>
      <c r="B765" s="38" t="s">
        <v>7</v>
      </c>
      <c r="C765" s="37">
        <v>5.28</v>
      </c>
      <c r="D765" s="109" t="s">
        <v>1298</v>
      </c>
    </row>
    <row r="766" spans="1:4" ht="15.6" outlineLevel="1">
      <c r="A766" s="37" t="s">
        <v>1358</v>
      </c>
      <c r="B766" s="38" t="s">
        <v>298</v>
      </c>
      <c r="C766" s="37">
        <v>5.36</v>
      </c>
      <c r="D766" s="110"/>
    </row>
    <row r="767" spans="1:4" ht="15.6" outlineLevel="1">
      <c r="A767" s="37" t="s">
        <v>1358</v>
      </c>
      <c r="B767" s="38" t="s">
        <v>9</v>
      </c>
      <c r="C767" s="37">
        <v>5.49</v>
      </c>
      <c r="D767" s="110"/>
    </row>
    <row r="768" spans="1:4" ht="15.6" outlineLevel="1">
      <c r="A768" s="37" t="s">
        <v>1358</v>
      </c>
      <c r="B768" s="38" t="s">
        <v>10</v>
      </c>
      <c r="C768" s="37">
        <v>5.51</v>
      </c>
      <c r="D768" s="110"/>
    </row>
    <row r="769" spans="1:4" ht="15.6" outlineLevel="1">
      <c r="A769" s="37" t="s">
        <v>1358</v>
      </c>
      <c r="B769" s="38" t="s">
        <v>1347</v>
      </c>
      <c r="C769" s="37">
        <v>5.52</v>
      </c>
      <c r="D769" s="110"/>
    </row>
    <row r="770" spans="1:4" ht="15.6" outlineLevel="1">
      <c r="A770" s="37" t="s">
        <v>1358</v>
      </c>
      <c r="B770" s="38" t="s">
        <v>11</v>
      </c>
      <c r="C770" s="37">
        <v>5.53</v>
      </c>
      <c r="D770" s="110"/>
    </row>
    <row r="771" spans="1:4" ht="15.6" outlineLevel="1">
      <c r="A771" s="37" t="s">
        <v>1358</v>
      </c>
      <c r="B771" s="38" t="s">
        <v>18</v>
      </c>
      <c r="C771" s="37">
        <v>5.54</v>
      </c>
      <c r="D771" s="110"/>
    </row>
    <row r="772" spans="1:4" ht="15.6" outlineLevel="1">
      <c r="A772" s="37" t="s">
        <v>1358</v>
      </c>
      <c r="B772" s="38" t="s">
        <v>14</v>
      </c>
      <c r="C772" s="39">
        <v>5.7</v>
      </c>
      <c r="D772" s="110"/>
    </row>
    <row r="773" spans="1:4" ht="15.6" outlineLevel="1">
      <c r="A773" s="37" t="s">
        <v>1358</v>
      </c>
      <c r="B773" s="38" t="s">
        <v>300</v>
      </c>
      <c r="C773" s="37">
        <v>5.71</v>
      </c>
      <c r="D773" s="110"/>
    </row>
    <row r="774" spans="1:4" ht="15.6" outlineLevel="1">
      <c r="A774" s="37" t="s">
        <v>1358</v>
      </c>
      <c r="B774" s="38" t="s">
        <v>301</v>
      </c>
      <c r="C774" s="39">
        <v>5.9</v>
      </c>
      <c r="D774" s="110"/>
    </row>
    <row r="775" spans="1:4" ht="15.6" outlineLevel="1">
      <c r="A775" s="37" t="s">
        <v>1358</v>
      </c>
      <c r="B775" s="38" t="s">
        <v>302</v>
      </c>
      <c r="C775" s="37">
        <v>5.91</v>
      </c>
      <c r="D775" s="110"/>
    </row>
    <row r="776" spans="1:4" ht="15.6" outlineLevel="1">
      <c r="A776" s="37" t="s">
        <v>1358</v>
      </c>
      <c r="B776" s="38" t="s">
        <v>303</v>
      </c>
      <c r="C776" s="37">
        <v>5.97</v>
      </c>
      <c r="D776" s="110"/>
    </row>
    <row r="777" spans="1:4" ht="15.6">
      <c r="A777" s="43" t="s">
        <v>1358</v>
      </c>
      <c r="B777" s="38"/>
      <c r="C777" s="37"/>
      <c r="D777" s="110"/>
    </row>
    <row r="778" spans="1:4" ht="15.6" outlineLevel="1">
      <c r="A778" s="37" t="s">
        <v>1285</v>
      </c>
      <c r="B778" s="38" t="s">
        <v>0</v>
      </c>
      <c r="C778" s="37">
        <v>5.0999999999999996</v>
      </c>
      <c r="D778" s="110"/>
    </row>
    <row r="779" spans="1:4" ht="15.6" outlineLevel="1">
      <c r="A779" s="37" t="s">
        <v>1285</v>
      </c>
      <c r="B779" s="38" t="s">
        <v>1</v>
      </c>
      <c r="C779" s="37">
        <v>5.2</v>
      </c>
      <c r="D779" s="110"/>
    </row>
    <row r="780" spans="1:4" ht="15.6" outlineLevel="1">
      <c r="A780" s="37" t="s">
        <v>1285</v>
      </c>
      <c r="B780" s="38" t="s">
        <v>5</v>
      </c>
      <c r="C780" s="37">
        <v>5.26</v>
      </c>
      <c r="D780" s="110"/>
    </row>
    <row r="781" spans="1:4" ht="15.6" outlineLevel="1">
      <c r="A781" s="37" t="s">
        <v>1285</v>
      </c>
      <c r="B781" s="38" t="s">
        <v>382</v>
      </c>
      <c r="C781" s="37">
        <v>5.5</v>
      </c>
      <c r="D781" s="110"/>
    </row>
    <row r="782" spans="1:4" ht="15.6" outlineLevel="1">
      <c r="A782" s="37" t="s">
        <v>1285</v>
      </c>
      <c r="B782" s="38" t="s">
        <v>383</v>
      </c>
      <c r="C782" s="37">
        <v>5.8</v>
      </c>
      <c r="D782" s="109" t="s">
        <v>1298</v>
      </c>
    </row>
    <row r="783" spans="1:4" ht="15.6" outlineLevel="1">
      <c r="A783" s="37" t="s">
        <v>1285</v>
      </c>
      <c r="B783" s="38" t="s">
        <v>384</v>
      </c>
      <c r="C783" s="37">
        <v>5.12</v>
      </c>
      <c r="D783" s="37"/>
    </row>
    <row r="784" spans="1:4" ht="15.6" outlineLevel="1">
      <c r="A784" s="37" t="s">
        <v>1285</v>
      </c>
      <c r="B784" s="38" t="s">
        <v>385</v>
      </c>
      <c r="C784" s="37">
        <v>5.15</v>
      </c>
      <c r="D784" s="37"/>
    </row>
    <row r="785" spans="1:4" ht="15.6" outlineLevel="1">
      <c r="A785" s="37" t="s">
        <v>1285</v>
      </c>
      <c r="B785" s="38" t="s">
        <v>386</v>
      </c>
      <c r="C785" s="39">
        <v>5.2</v>
      </c>
      <c r="D785" s="109"/>
    </row>
    <row r="786" spans="1:4" ht="15.6" outlineLevel="1">
      <c r="A786" s="37" t="s">
        <v>1285</v>
      </c>
      <c r="B786" s="38" t="s">
        <v>387</v>
      </c>
      <c r="C786" s="37">
        <v>5.25</v>
      </c>
      <c r="D786" s="37"/>
    </row>
    <row r="787" spans="1:4" ht="15.6" outlineLevel="1">
      <c r="A787" s="37" t="s">
        <v>1285</v>
      </c>
      <c r="B787" s="38" t="s">
        <v>11</v>
      </c>
      <c r="C787" s="37">
        <v>5.53</v>
      </c>
      <c r="D787" s="37"/>
    </row>
    <row r="788" spans="1:4" ht="15.6" outlineLevel="1">
      <c r="A788" s="37" t="s">
        <v>1285</v>
      </c>
      <c r="B788" s="38" t="s">
        <v>388</v>
      </c>
      <c r="C788" s="39">
        <v>5.4</v>
      </c>
      <c r="D788" s="37"/>
    </row>
    <row r="789" spans="1:4" ht="31.2" outlineLevel="1">
      <c r="A789" s="37" t="s">
        <v>1285</v>
      </c>
      <c r="B789" s="38" t="s">
        <v>389</v>
      </c>
      <c r="C789" s="37">
        <v>5.92</v>
      </c>
      <c r="D789" s="37"/>
    </row>
    <row r="790" spans="1:4" ht="15.6" outlineLevel="1">
      <c r="A790" s="37" t="s">
        <v>1285</v>
      </c>
      <c r="B790" s="38" t="s">
        <v>390</v>
      </c>
      <c r="C790" s="37">
        <v>5.93</v>
      </c>
      <c r="D790" s="37"/>
    </row>
    <row r="791" spans="1:4" ht="31.2" outlineLevel="1">
      <c r="A791" s="37" t="s">
        <v>1285</v>
      </c>
      <c r="B791" s="38" t="s">
        <v>391</v>
      </c>
      <c r="C791" s="37">
        <v>5.94</v>
      </c>
      <c r="D791" s="37"/>
    </row>
    <row r="792" spans="1:4" ht="15.6" outlineLevel="1">
      <c r="A792" s="37" t="s">
        <v>1285</v>
      </c>
      <c r="B792" s="38" t="s">
        <v>392</v>
      </c>
      <c r="C792" s="37">
        <v>5.95</v>
      </c>
      <c r="D792" s="37"/>
    </row>
    <row r="793" spans="1:4" ht="15.6" outlineLevel="1">
      <c r="A793" s="37" t="s">
        <v>1285</v>
      </c>
      <c r="B793" s="38" t="s">
        <v>393</v>
      </c>
      <c r="C793" s="37">
        <v>5.98</v>
      </c>
      <c r="D793" s="37"/>
    </row>
    <row r="794" spans="1:4" ht="15.6" outlineLevel="1">
      <c r="A794" s="37" t="s">
        <v>1285</v>
      </c>
      <c r="B794" s="38" t="s">
        <v>394</v>
      </c>
      <c r="C794" s="37">
        <v>5.96</v>
      </c>
      <c r="D794" s="37"/>
    </row>
    <row r="795" spans="1:4" ht="15.6">
      <c r="A795" s="43" t="s">
        <v>1285</v>
      </c>
      <c r="B795" s="38"/>
      <c r="C795" s="37"/>
      <c r="D795" s="3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4"/>
  <cols>
    <col min="1" max="1" width="63.21875" bestFit="1" customWidth="1"/>
    <col min="2" max="2" width="13.77734375" customWidth="1"/>
  </cols>
  <sheetData>
    <row r="2" spans="1:2">
      <c r="A2" s="23" t="s">
        <v>1367</v>
      </c>
    </row>
    <row r="3" spans="1:2">
      <c r="A3" t="s">
        <v>1368</v>
      </c>
      <c r="B3" t="s">
        <v>1369</v>
      </c>
    </row>
    <row r="4" spans="1:2">
      <c r="A4" t="s">
        <v>369</v>
      </c>
      <c r="B4" t="s">
        <v>1370</v>
      </c>
    </row>
    <row r="5" spans="1:2">
      <c r="A5" t="s">
        <v>1371</v>
      </c>
      <c r="B5" t="s">
        <v>1372</v>
      </c>
    </row>
    <row r="6" spans="1:2">
      <c r="A6" t="s">
        <v>1373</v>
      </c>
      <c r="B6" t="s">
        <v>1374</v>
      </c>
    </row>
    <row r="7" spans="1:2">
      <c r="A7" t="s">
        <v>1375</v>
      </c>
      <c r="B7" t="s">
        <v>1376</v>
      </c>
    </row>
    <row r="8" spans="1:2">
      <c r="A8" t="s">
        <v>1377</v>
      </c>
      <c r="B8" t="s">
        <v>1378</v>
      </c>
    </row>
    <row r="10" spans="1:2">
      <c r="A10" s="23" t="s">
        <v>1379</v>
      </c>
    </row>
    <row r="11" spans="1:2">
      <c r="A11" t="s">
        <v>1380</v>
      </c>
    </row>
    <row r="12" spans="1:2">
      <c r="A12" t="s">
        <v>1381</v>
      </c>
      <c r="B12" t="s">
        <v>1382</v>
      </c>
    </row>
    <row r="14" spans="1:2">
      <c r="A14" s="36"/>
    </row>
    <row r="15" spans="1:2">
      <c r="A15" s="23" t="s">
        <v>1383</v>
      </c>
    </row>
    <row r="16" spans="1:2">
      <c r="A16" s="34" t="s">
        <v>1384</v>
      </c>
    </row>
    <row r="17" spans="1:2">
      <c r="A17" s="34" t="s">
        <v>1385</v>
      </c>
    </row>
    <row r="18" spans="1:2">
      <c r="A18" s="34" t="s">
        <v>1386</v>
      </c>
    </row>
    <row r="19" spans="1:2">
      <c r="A19" s="34" t="s">
        <v>1387</v>
      </c>
    </row>
    <row r="21" spans="1:2">
      <c r="A21" s="35" t="s">
        <v>1388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23" t="s">
        <v>1389</v>
      </c>
      <c r="B34" s="23" t="s">
        <v>502</v>
      </c>
    </row>
    <row r="35" spans="1:2">
      <c r="A35" s="15" t="s">
        <v>1390</v>
      </c>
      <c r="B35" s="42">
        <v>512310509</v>
      </c>
    </row>
    <row r="36" spans="1:2">
      <c r="A36" t="s">
        <v>1391</v>
      </c>
      <c r="B36" s="42">
        <v>513910703</v>
      </c>
    </row>
    <row r="37" spans="1:2">
      <c r="A37" t="s">
        <v>1392</v>
      </c>
      <c r="B37" s="42">
        <v>512304882</v>
      </c>
    </row>
    <row r="38" spans="1:2">
      <c r="A38" t="s">
        <v>1393</v>
      </c>
      <c r="B38" s="42">
        <v>520030677</v>
      </c>
    </row>
    <row r="39" spans="1:2">
      <c r="A39" t="s">
        <v>1394</v>
      </c>
      <c r="B39" s="42">
        <v>513621110</v>
      </c>
    </row>
    <row r="40" spans="1:2">
      <c r="A40" t="s">
        <v>1395</v>
      </c>
      <c r="B40" s="15">
        <v>513173393</v>
      </c>
    </row>
    <row r="41" spans="1:2">
      <c r="A41" t="s">
        <v>1396</v>
      </c>
      <c r="B41" s="15">
        <v>511880460</v>
      </c>
    </row>
    <row r="42" spans="1:2">
      <c r="A42" t="s">
        <v>1397</v>
      </c>
      <c r="B42" s="15">
        <v>510773922</v>
      </c>
    </row>
    <row r="43" spans="1:2">
      <c r="A43" t="s">
        <v>1398</v>
      </c>
      <c r="B43">
        <v>520021916</v>
      </c>
    </row>
    <row r="44" spans="1:2">
      <c r="A44" t="s">
        <v>1399</v>
      </c>
      <c r="B44">
        <v>520044025</v>
      </c>
    </row>
    <row r="45" spans="1:2">
      <c r="A45" t="s">
        <v>1400</v>
      </c>
      <c r="B45">
        <v>570003152</v>
      </c>
    </row>
    <row r="46" spans="1:2">
      <c r="A46" t="s">
        <v>1401</v>
      </c>
      <c r="B46" s="15">
        <v>520023094</v>
      </c>
    </row>
    <row r="47" spans="1:2">
      <c r="A47" t="s">
        <v>1402</v>
      </c>
      <c r="B47" s="15">
        <v>512711409</v>
      </c>
    </row>
    <row r="48" spans="1:2">
      <c r="A48" t="s">
        <v>1403</v>
      </c>
      <c r="B48">
        <v>515859379</v>
      </c>
    </row>
    <row r="49" spans="1:2">
      <c r="A49" t="s">
        <v>1404</v>
      </c>
      <c r="B49" s="15">
        <v>520030990</v>
      </c>
    </row>
    <row r="50" spans="1:2">
      <c r="A50" t="s">
        <v>1405</v>
      </c>
      <c r="B50" s="15">
        <v>520028812</v>
      </c>
    </row>
    <row r="51" spans="1:2">
      <c r="A51" t="s">
        <v>1406</v>
      </c>
      <c r="B51" s="15">
        <v>520034968</v>
      </c>
    </row>
    <row r="52" spans="1:2">
      <c r="A52" t="s">
        <v>1407</v>
      </c>
      <c r="B52" s="15">
        <v>520031824</v>
      </c>
    </row>
    <row r="53" spans="1:2">
      <c r="A53" t="s">
        <v>1408</v>
      </c>
      <c r="B53" s="15">
        <v>520005497</v>
      </c>
    </row>
    <row r="54" spans="1:2">
      <c r="A54" t="s">
        <v>1409</v>
      </c>
      <c r="B54" s="15">
        <v>520022518</v>
      </c>
    </row>
    <row r="55" spans="1:2">
      <c r="A55" t="s">
        <v>1410</v>
      </c>
      <c r="B55" s="15">
        <v>520028556</v>
      </c>
    </row>
    <row r="56" spans="1:2">
      <c r="A56" t="s">
        <v>1411</v>
      </c>
      <c r="B56" s="15">
        <v>520032269</v>
      </c>
    </row>
    <row r="57" spans="1:2">
      <c r="A57" t="s">
        <v>1412</v>
      </c>
      <c r="B57" s="15">
        <v>520027954</v>
      </c>
    </row>
    <row r="58" spans="1:2">
      <c r="A58" t="s">
        <v>1413</v>
      </c>
      <c r="B58">
        <v>520029620</v>
      </c>
    </row>
    <row r="59" spans="1:2">
      <c r="A59" t="s">
        <v>1414</v>
      </c>
      <c r="B59" s="15">
        <v>520028861</v>
      </c>
    </row>
    <row r="60" spans="1:2">
      <c r="A60" t="s">
        <v>1415</v>
      </c>
      <c r="B60" s="15">
        <v>520030743</v>
      </c>
    </row>
    <row r="61" spans="1:2">
      <c r="A61" t="s">
        <v>1416</v>
      </c>
      <c r="B61">
        <v>520042177</v>
      </c>
    </row>
    <row r="62" spans="1:2">
      <c r="A62" t="s">
        <v>1417</v>
      </c>
      <c r="B62" s="15">
        <v>515447035</v>
      </c>
    </row>
    <row r="63" spans="1:2">
      <c r="A63" t="s">
        <v>1418</v>
      </c>
      <c r="B63" s="15">
        <v>520042607</v>
      </c>
    </row>
    <row r="64" spans="1:2">
      <c r="A64" t="s">
        <v>1419</v>
      </c>
      <c r="B64" s="15">
        <v>513026484</v>
      </c>
    </row>
    <row r="65" spans="1:2">
      <c r="A65" t="s">
        <v>1420</v>
      </c>
      <c r="B65">
        <v>520023185</v>
      </c>
    </row>
    <row r="66" spans="1:2">
      <c r="A66" t="s">
        <v>1421</v>
      </c>
      <c r="B66">
        <v>520004078</v>
      </c>
    </row>
    <row r="67" spans="1:2">
      <c r="A67" t="s">
        <v>1422</v>
      </c>
      <c r="B67" s="15">
        <v>512267592</v>
      </c>
    </row>
    <row r="68" spans="1:2">
      <c r="A68" t="s">
        <v>1423</v>
      </c>
      <c r="B68">
        <v>515764868</v>
      </c>
    </row>
    <row r="69" spans="1:2">
      <c r="A69" t="s">
        <v>1424</v>
      </c>
      <c r="B69" s="15">
        <v>513452003</v>
      </c>
    </row>
    <row r="70" spans="1:2">
      <c r="A70" t="s">
        <v>1425</v>
      </c>
      <c r="B70" s="15">
        <v>510142789</v>
      </c>
    </row>
    <row r="71" spans="1:2">
      <c r="A71" t="s">
        <v>1426</v>
      </c>
      <c r="B71" s="15">
        <v>510960586</v>
      </c>
    </row>
    <row r="72" spans="1:2">
      <c r="A72" t="s">
        <v>1427</v>
      </c>
      <c r="B72" s="15">
        <v>510930670</v>
      </c>
    </row>
    <row r="73" spans="1:2">
      <c r="A73" t="s">
        <v>1428</v>
      </c>
      <c r="B73" s="15">
        <v>510927536</v>
      </c>
    </row>
    <row r="74" spans="1:2">
      <c r="A74" t="s">
        <v>1429</v>
      </c>
      <c r="B74" s="15">
        <v>510930654</v>
      </c>
    </row>
    <row r="75" spans="1:2">
      <c r="A75" t="s">
        <v>1430</v>
      </c>
      <c r="B75" s="15">
        <v>520032566</v>
      </c>
    </row>
    <row r="76" spans="1:2">
      <c r="A76" t="s">
        <v>1431</v>
      </c>
      <c r="B76" s="15">
        <v>513611509</v>
      </c>
    </row>
    <row r="77" spans="1:2">
      <c r="A77" t="s">
        <v>1432</v>
      </c>
      <c r="B77">
        <v>510888985</v>
      </c>
    </row>
    <row r="78" spans="1:2">
      <c r="A78" t="s">
        <v>1433</v>
      </c>
      <c r="B78">
        <v>520024647</v>
      </c>
    </row>
    <row r="79" spans="1:2">
      <c r="A79" t="s">
        <v>1434</v>
      </c>
      <c r="B79" s="15">
        <v>512244146</v>
      </c>
    </row>
    <row r="80" spans="1:2">
      <c r="A80" t="s">
        <v>1435</v>
      </c>
      <c r="B80" s="15">
        <v>510694821</v>
      </c>
    </row>
    <row r="81" spans="1:2">
      <c r="A81" t="s">
        <v>1436</v>
      </c>
      <c r="B81">
        <v>515761625</v>
      </c>
    </row>
    <row r="82" spans="1:2">
      <c r="A82" t="s">
        <v>1437</v>
      </c>
      <c r="B82" s="15">
        <v>511423048</v>
      </c>
    </row>
    <row r="83" spans="1:2">
      <c r="A83" t="s">
        <v>1438</v>
      </c>
      <c r="B83" s="15">
        <v>520019688</v>
      </c>
    </row>
    <row r="84" spans="1:2">
      <c r="A84" t="s">
        <v>1439</v>
      </c>
      <c r="B84">
        <v>520004896</v>
      </c>
    </row>
    <row r="85" spans="1:2">
      <c r="A85" t="s">
        <v>1440</v>
      </c>
      <c r="B85" s="15">
        <v>512237744</v>
      </c>
    </row>
    <row r="86" spans="1:2">
      <c r="A86" t="s">
        <v>1441</v>
      </c>
      <c r="B86" s="15">
        <v>514956465</v>
      </c>
    </row>
    <row r="87" spans="1:2">
      <c r="A87" t="s">
        <v>1442</v>
      </c>
      <c r="B87" s="15">
        <v>512362914</v>
      </c>
    </row>
    <row r="88" spans="1:2">
      <c r="A88" t="s">
        <v>1443</v>
      </c>
      <c r="B88" s="15">
        <v>520042615</v>
      </c>
    </row>
    <row r="89" spans="1:2">
      <c r="A89" t="s">
        <v>1444</v>
      </c>
      <c r="B89" s="15">
        <v>512065202</v>
      </c>
    </row>
    <row r="90" spans="1:2">
      <c r="A90" t="s">
        <v>1445</v>
      </c>
      <c r="B90">
        <v>520042540</v>
      </c>
    </row>
    <row r="91" spans="1:2">
      <c r="A91" t="s">
        <v>1446</v>
      </c>
      <c r="B91" s="15">
        <v>520027715</v>
      </c>
    </row>
    <row r="92" spans="1:2">
      <c r="A92" t="s">
        <v>1447</v>
      </c>
      <c r="B92" s="15">
        <v>512245812</v>
      </c>
    </row>
    <row r="93" spans="1:2">
      <c r="A93" t="s">
        <v>1448</v>
      </c>
      <c r="B93" s="15">
        <v>520022351</v>
      </c>
    </row>
    <row r="94" spans="1:2">
      <c r="A94" t="s">
        <v>1449</v>
      </c>
      <c r="B94" s="15">
        <v>514767490</v>
      </c>
    </row>
    <row r="95" spans="1:2">
      <c r="A95" t="s">
        <v>1450</v>
      </c>
      <c r="B95" s="15">
        <v>520024985</v>
      </c>
    </row>
    <row r="96" spans="1:2">
      <c r="A96" t="s">
        <v>1451</v>
      </c>
      <c r="B96" s="15">
        <v>520042573</v>
      </c>
    </row>
    <row r="97" spans="1:2">
      <c r="A97" t="s">
        <v>1452</v>
      </c>
      <c r="B97" s="15">
        <v>570009449</v>
      </c>
    </row>
    <row r="98" spans="1:2">
      <c r="A98" t="s">
        <v>1453</v>
      </c>
      <c r="B98" s="15">
        <v>520031659</v>
      </c>
    </row>
    <row r="99" spans="1:2">
      <c r="A99" t="s">
        <v>1454</v>
      </c>
      <c r="B99" s="15">
        <v>520042581</v>
      </c>
    </row>
    <row r="100" spans="1:2">
      <c r="A100" t="s">
        <v>1455</v>
      </c>
      <c r="B100">
        <v>520031030</v>
      </c>
    </row>
    <row r="101" spans="1:2">
      <c r="A101" t="s">
        <v>1456</v>
      </c>
      <c r="B101" s="15">
        <v>520030941</v>
      </c>
    </row>
    <row r="102" spans="1:2">
      <c r="A102" t="s">
        <v>1457</v>
      </c>
      <c r="B102" s="15">
        <v>512008335</v>
      </c>
    </row>
    <row r="103" spans="1:2">
      <c r="A103" t="s">
        <v>1458</v>
      </c>
      <c r="B103" s="15">
        <v>520022963</v>
      </c>
    </row>
    <row r="104" spans="1:2">
      <c r="A104" t="s">
        <v>1459</v>
      </c>
      <c r="B104" s="15">
        <v>570011767</v>
      </c>
    </row>
    <row r="105" spans="1:2">
      <c r="A105" t="s">
        <v>1460</v>
      </c>
      <c r="B105" s="15">
        <v>570014928</v>
      </c>
    </row>
    <row r="106" spans="1:2">
      <c r="A106" t="s">
        <v>1461</v>
      </c>
      <c r="B106" s="15">
        <v>570005959</v>
      </c>
    </row>
    <row r="107" spans="1:2">
      <c r="A107" t="s">
        <v>1462</v>
      </c>
      <c r="B107" s="15">
        <v>510800402</v>
      </c>
    </row>
    <row r="108" spans="1:2">
      <c r="A108" t="s">
        <v>1463</v>
      </c>
      <c r="B108" s="15">
        <v>570007476</v>
      </c>
    </row>
    <row r="109" spans="1:2">
      <c r="A109" t="s">
        <v>1464</v>
      </c>
      <c r="B109" s="15">
        <v>570005850</v>
      </c>
    </row>
    <row r="110" spans="1:2">
      <c r="A110" t="s">
        <v>1465</v>
      </c>
      <c r="B110" s="15">
        <v>520020504</v>
      </c>
    </row>
    <row r="111" spans="1:2">
      <c r="A111" t="s">
        <v>1466</v>
      </c>
      <c r="B111" s="15">
        <v>520020447</v>
      </c>
    </row>
    <row r="112" spans="1:2">
      <c r="A112" t="s">
        <v>1467</v>
      </c>
      <c r="B112" s="15">
        <v>511033060</v>
      </c>
    </row>
    <row r="113" spans="1:2">
      <c r="A113" t="s">
        <v>1468</v>
      </c>
      <c r="B113">
        <v>520027848</v>
      </c>
    </row>
    <row r="114" spans="1:2">
      <c r="A114" t="s">
        <v>1469</v>
      </c>
      <c r="B114" s="15">
        <v>570009852</v>
      </c>
    </row>
    <row r="115" spans="1:2">
      <c r="A115" t="s">
        <v>1470</v>
      </c>
      <c r="B115" s="15">
        <v>520027251</v>
      </c>
    </row>
    <row r="116" spans="1:2">
      <c r="A116" t="s">
        <v>1471</v>
      </c>
      <c r="B116" s="15">
        <v>520028390</v>
      </c>
    </row>
    <row r="117" spans="1:2">
      <c r="A117" t="s">
        <v>1472</v>
      </c>
      <c r="B117" s="15">
        <v>510806870</v>
      </c>
    </row>
    <row r="118" spans="1:2">
      <c r="A118" t="s">
        <v>1473</v>
      </c>
      <c r="B118">
        <v>513879189</v>
      </c>
    </row>
    <row r="119" spans="1:2">
      <c r="A119" t="s">
        <v>1474</v>
      </c>
      <c r="B119">
        <v>510015951</v>
      </c>
    </row>
    <row r="120" spans="1:2">
      <c r="A120" t="s">
        <v>1475</v>
      </c>
      <c r="B120" s="15">
        <v>520030693</v>
      </c>
    </row>
    <row r="121" spans="1:2">
      <c r="A121" t="s">
        <v>1476</v>
      </c>
      <c r="B121" s="15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בועז בנימין</cp:lastModifiedBy>
  <cp:lastPrinted>2022-08-08T09:16:18Z</cp:lastPrinted>
  <dcterms:created xsi:type="dcterms:W3CDTF">2021-05-03T04:41:48Z</dcterms:created>
  <dcterms:modified xsi:type="dcterms:W3CDTF">2024-08-28T08:16:37Z</dcterms:modified>
</cp:coreProperties>
</file>