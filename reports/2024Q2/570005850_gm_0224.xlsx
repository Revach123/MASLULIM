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08C356C6-5BC3-403C-94CA-FAFC65EF9E32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<sst xmlns="http://schemas.openxmlformats.org/spreadsheetml/2006/main" count="5203" uniqueCount="1407">
  <si>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</si>
  <si>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</si>
  <si>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</si>
  <si>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</si>
  <si>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</si>
  <si>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</si>
  <si>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</si>
  <si>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</si>
  <si>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</si>
  <si>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</si>
  <si>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</si>
  <si>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</si>
  <si>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</si>
  <si>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</si>
  <si>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</si>
  <si>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</si>
  <si>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</si>
  <si>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</si>
  <si>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</si>
  <si>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</si>
  <si>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</si>
  <si>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</si>
  <si>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</si>
  <si>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</si>
  <si>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</si>
  <si>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</si>
  <si>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</si>
  <si>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</si>
  <si>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</si>
  <si>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</si>
  <si>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</si>
  <si>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</si>
  <si>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</si>
  <si>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</si>
  <si>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</si>
  <si>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</si>
  <si>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</si>
  <si>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</si>
  <si>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</si>
  <si>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</si>
  <si>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</si>
  <si>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</si>
  <si>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</si>
  <si>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</si>
  <si>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</si>
  <si>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</si>
  <si>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</si>
  <si>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</si>
  <si>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</si>
  <si>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</si>
  <si>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</si>
  <si>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</si>
  <si>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</si>
  <si>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</si>
  <si>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</si>
  <si>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</si>
  <si>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</si>
  <si>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</si>
  <si>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</si>
  <si>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</si>
  <si>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</si>
  <si>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</si>
  <si>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</si>
  <si>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</si>
  <si>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</si>
  <si>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</si>
  <si>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</si>
  <si>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</si>
  <si>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</si>
  <si>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</si>
  <si>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</si>
  <si>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</si>
  <si>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</si>
  <si>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</si>
  <si>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</si>
  <si>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</si>
  <si>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</si>
  <si>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</si>
  <si>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</si>
  <si>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</si>
  <si>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</si>
  <si>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</si>
  <si>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</si>
  <si>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</si>
  <si>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</si>
  <si>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</si>
  <si>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</si>
  <si>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</si>
  <si>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</si>
  <si>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</si>
  <si>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</si>
  <si>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</si>
  <si>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</si>
  <si>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</si>
  <si>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</si>
  <si>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</si>
  <si>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</si>
  <si>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</si>
  <si>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</si>
  <si>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</si>
  <si>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</si>
  <si>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</si>
  <si>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</si>
  <si>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</si>
  <si>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</si>
  <si>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</si>
  <si>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</si>
  <si>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</si>
  <si>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</si>
  <si>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</si>
  <si>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</si>
  <si>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</si>
  <si>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</si>
  <si>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</si>
  <si>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</si>
  <si>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</si>
  <si>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</si>
  <si>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</si>
  <si>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</si>
  <si>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</si>
  <si>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</si>
  <si>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</si>
  <si>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</si>
  <si>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</si>
  <si>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</si>
  <si>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</si>
  <si>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</si>
  <si>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</si>
  <si>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</si>
  <si>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</si>
  <si>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</si>
  <si>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</si>
  <si>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</si>
  <si>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</si>
  <si>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</si>
  <si>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</si>
  <si>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</si>
  <si>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</si>
  <si>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</si>
  <si>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</si>
  <si>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</si>
  <si>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</si>
  <si>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</si>
  <si>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</si>
  <si>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</si>
  <si>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</si>
  <si>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</si>
  <si>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</si>
  <si>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</si>
  <si>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</si>
  <si>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</si>
  <si>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</si>
  <si>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</si>
  <si>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</si>
  <si>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</si>
  <si>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</si>
  <si>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</si>
  <si>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</si>
  <si>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</si>
  <si>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</si>
  <si>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</si>
  <si>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</si>
  <si>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</si>
  <si>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</si>
  <si>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</si>
  <si>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</si>
  <si>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</si>
  <si>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</si>
  <si>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</si>
  <si>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</si>
  <si>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</si>
  <si>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</si>
  <si>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</si>
  <si>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</si>
  <si>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</si>
  <si>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</si>
  <si>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</si>
  <si>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</si>
  <si>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</si>
  <si>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</si>
  <si>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</si>
  <si>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</si>
  <si>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</si>
  <si>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</si>
  <si>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</si>
  <si>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</si>
  <si>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</si>
  <si>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</si>
  <si>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</si>
  <si>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</si>
  <si>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</si>
  <si>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</si>
  <si>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</si>
  <si>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</si>
  <si>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</si>
  <si>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</si>
  <si>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</si>
  <si>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</si>
  <si>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</si>
  <si>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</si>
  <si>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</si>
  <si>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</si>
  <si>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</si>
  <si>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</si>
  <si>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</si>
  <si>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</si>
  <si>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</si>
  <si>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</si>
  <si>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</si>
  <si>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</si>
  <si>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</si>
  <si>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</si>
  <si>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</si>
  <si>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</si>
  <si>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</si>
  <si>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</si>
  <si>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</si>
  <si>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</si>
  <si>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</si>
  <si>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</si>
  <si>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</si>
  <si>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</si>
  <si>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</si>
  <si>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</si>
  <si>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</si>
  <si>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</si>
  <si>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</si>
  <si>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</si>
  <si>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</si>
  <si>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</si>
  <si>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</si>
  <si>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</si>
  <si>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</si>
  <si>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</si>
  <si>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</si>
  <si>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</si>
  <si>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</si>
  <si>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</si>
  <si>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</si>
  <si>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</si>
  <si>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</si>
  <si>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</si>
  <si>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</si>
  <si>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</si>
  <si>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</si>
  <si>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</si>
  <si>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</si>
  <si>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</si>
  <si>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</si>
  <si>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</si>
  <si>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</si>
  <si>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</si>
  <si>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</si>
  <si>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</si>
  <si>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</si>
  <si>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</si>
  <si>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</si>
  <si>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</si>
  <si>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</si>
  <si>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</si>
  <si>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</si>
  <si>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</si>
  <si>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</si>
  <si>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</si>
  <si>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</si>
  <si>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</si>
  <si>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</si>
  <si>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</si>
  <si>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</si>
  <si>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</si>
  <si>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</si>
  <si>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</si>
  <si>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</si>
  <si>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</si>
  <si>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</si>
  <si>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</si>
  <si>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</si>
  <si>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</si>
  <si>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</si>
  <si>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</si>
  <si>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</si>
  <si>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</si>
  <si>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</si>
  <si>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</si>
  <si>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</si>
  <si>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</si>
  <si>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</si>
  <si>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</si>
  <si>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</si>
  <si>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</si>
  <si>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</si>
  <si>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</si>
  <si>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</si>
  <si>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</si>
  <si>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</si>
  <si>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</si>
  <si>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</si>
  <si>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</si>
  <si>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</si>
  <si>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</si>
  <si>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</si>
  <si>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</si>
  <si>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</si>
  <si>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</si>
  <si>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</si>
  <si>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</si>
  <si>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</si>
  <si>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</si>
  <si>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</si>
  <si>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</si>
  <si>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</si>
  <si>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</si>
  <si>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</si>
  <si>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</si>
  <si>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</si>
  <si>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</si>
  <si>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</si>
  <si>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</si>
  <si>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</si>
  <si>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</si>
  <si>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</si>
  <si>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</si>
  <si>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</si>
  <si>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</si>
  <si>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</si>
  <si>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</si>
  <si>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</si>
  <si>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</si>
  <si>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</si>
  <si>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</si>
  <si>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</si>
  <si>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</si>
  <si>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</si>
  <si>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</si>
  <si>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</si>
  <si>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</si>
  <si>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</si>
  <si>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</si>
  <si>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</si>
  <si>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</si>
  <si>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</si>
  <si>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</si>
  <si>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</si>
  <si>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</si>
  <si>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</si>
  <si>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</si>
  <si>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</si>
  <si>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</si>
  <si>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</si>
  <si>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</si>
  <si>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</si>
  <si>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</si>
  <si>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</si>
  <si>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</si>
  <si>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</si>
  <si>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</si>
  <si>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</si>
  <si>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</si>
  <si>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</si>
  <si>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</si>
  <si>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</si>
  <si>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</si>
  <si>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</si>
  <si>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</si>
  <si>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</si>
  <si>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</si>
  <si>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</si>
  <si>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</si>
  <si>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</si>
  <si>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</si>
  <si>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</si>
  <si>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</si>
  <si>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</si>
  <si>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</si>
  <si>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</si>
  <si>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</si>
  <si>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</si>
  <si>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</si>
  <si>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</si>
  <si>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</si>
  <si>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</si>
  <si>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</si>
  <si>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</si>
  <si>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</si>
  <si>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</si>
  <si>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</si>
  <si>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</si>
  <si>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</si>
  <si>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</si>
  <si>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</si>
  <si>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</si>
  <si>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</si>
  <si>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</si>
  <si>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</si>
  <si>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</si>
  <si>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</si>
  <si>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</si>
  <si>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</si>
  <si>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</si>
  <si>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</si>
  <si>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</si>
  <si>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</si>
  <si>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</si>
  <si>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</si>
  <si>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</si>
  <si>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</si>
  <si>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</si>
  <si>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</si>
  <si>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</si>
  <si>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</si>
  <si>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</si>
  <si>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</si>
  <si>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</si>
  <si>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</si>
  <si>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</si>
  <si>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</si>
  <si>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</si>
  <si>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</si>
  <si>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</si>
  <si>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</si>
  <si>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</si>
  <si>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</si>
  <si>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</si>
  <si>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</si>
  <si>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</si>
  <si>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</si>
  <si>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</si>
  <si>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</si>
  <si>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</si>
  <si>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</si>
  <si>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</si>
  <si>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</si>
  <si>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</si>
  <si>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</si>
  <si>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</si>
  <si>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</si>
  <si>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</si>
  <si>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</si>
  <si>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</si>
  <si>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</si>
  <si>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</si>
  <si>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</si>
  <si>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</si>
  <si>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</si>
  <si>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</si>
  <si>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</si>
  <si>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</si>
  <si>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</si>
  <si>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</si>
  <si>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</si>
  <si>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</si>
  <si>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</si>
  <si>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</si>
  <si>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</si>
  <si>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</si>
  <si>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</si>
  <si>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</si>
  <si>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</si>
  <si>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</si>
  <si>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</si>
  <si>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</si>
  <si>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</si>
  <si>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</si>
  <si>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</si>
  <si>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</si>
  <si>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</si>
  <si>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</si>
  <si>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</si>
  <si>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</si>
  <si>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</si>
  <si>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</si>
  <si>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</si>
  <si>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</si>
  <si>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</si>
  <si>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</si>
  <si>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</si>
  <si>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</si>
  <si>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</si>
  <si>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</si>
  <si>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</si>
  <si>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</si>
  <si>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</si>
  <si>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</si>
  <si>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</si>
  <si>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</si>
  <si>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</si>
  <si>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</si>
  <si>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</si>
  <si>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</si>
  <si>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</si>
  <si>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</si>
  <si>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</si>
  <si>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</si>
  <si>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</si>
  <si>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</si>
  <si>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</si>
  <si>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</si>
  <si>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</si>
  <si>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</si>
  <si>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</si>
  <si>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</si>
  <si>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</si>
  <si>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</si>
  <si>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</si>
  <si>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</si>
  <si>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</si>
  <si>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</si>
  <si>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</si>
  <si>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</si>
  <si>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</si>
  <si>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</si>
  <si>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</si>
  <si>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</si>
  <si>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</si>
  <si>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</si>
  <si>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</si>
  <si>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</si>
  <si>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</si>
  <si>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</si>
  <si>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</si>
  <si>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</si>
  <si>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</si>
  <si>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</si>
  <si>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</si>
  <si>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</si>
  <si>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</si>
  <si>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</si>
  <si>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</si>
  <si>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</si>
  <si>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</si>
  <si>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</si>
  <si>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</si>
  <si>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</si>
  <si>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</si>
  <si>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</si>
  <si>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</si>
  <si>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</si>
  <si>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</si>
  <si>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</si>
  <si>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</si>
  <si>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</si>
  <si>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</si>
  <si>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</si>
  <si>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</si>
  <si>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</si>
  <si>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</si>
  <si>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</si>
  <si>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</si>
  <si>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</si>
  <si>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</si>
  <si>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</si>
  <si>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</si>
  <si>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</si>
  <si>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</si>
  <si>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</si>
  <si>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</si>
  <si>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</si>
  <si>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</si>
  <si>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</si>
  <si>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</si>
  <si>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</si>
  <si>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</si>
  <si>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</si>
  <si>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</si>
  <si>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</si>
  <si>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</si>
  <si>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</si>
  <si>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</si>
  <si>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</si>
  <si>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</si>
  <si>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</si>
  <si>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</si>
  <si>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</si>
  <si>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</si>
  <si>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</si>
  <si>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</si>
  <si>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</si>
  <si>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</si>
  <si>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</si>
  <si>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</si>
  <si>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</si>
  <si>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</si>
  <si>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</si>
  <si>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</si>
  <si>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</si>
  <si>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</si>
  <si>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</si>
  <si>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</si>
  <si>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</si>
  <si>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</si>
  <si>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</si>
  <si>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</si>
  <si>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</si>
  <si>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</si>
  <si>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</si>
  <si>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</si>
  <si>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</si>
  <si>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</si>
  <si>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</si>
  <si>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</si>
  <si>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</si>
  <si>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</si>
  <si>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</si>
  <si>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</si>
  <si>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</si>
  <si>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</si>
  <si>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</si>
  <si>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</si>
  <si>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</si>
  <si>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</si>
  <si>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</si>
  <si>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</si>
  <si>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</si>
  <si>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</si>
  <si>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</si>
  <si>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</si>
  <si>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</si>
  <si>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</si>
  <si>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</si>
  <si>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</si>
  <si>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</si>
  <si>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</si>
  <si>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</si>
  <si>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</si>
  <si>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</si>
  <si>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</si>
  <si>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</si>
  <si>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</si>
  <si>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</si>
  <si>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</si>
  <si>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</si>
  <si>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</si>
  <si>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</si>
  <si>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</si>
  <si>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</si>
  <si>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</si>
  <si>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</si>
  <si>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</si>
  <si>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</si>
  <si>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</si>
  <si>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</si>
  <si>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</si>
  <si>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</si>
  <si>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</si>
  <si>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</si>
  <si>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</si>
  <si>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</si>
  <si>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</si>
  <si>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</si>
  <si>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</si>
  <si>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</si>
  <si>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</si>
  <si>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</si>
  <si>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</si>
  <si>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</si>
  <si>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</si>
  <si>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</si>
  <si>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</si>
  <si>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</si>
  <si>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</si>
  <si>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</si>
  <si>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</si>
  <si>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</si>
  <si>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</si>
  <si>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</si>
  <si>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</si>
  <si>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</si>
  <si>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</si>
  <si>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</si>
  <si>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</si>
  <si>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</si>
  <si>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</si>
  <si>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</si>
  <si>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</si>
  <si>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</si>
  <si>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</si>
  <si>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</si>
  <si>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</si>
  <si>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</si>
  <si>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</si>
  <si>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</si>
  <si>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</si>
  <si>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</si>
  <si>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</si>
  <si>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</si>
  <si>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</si>
  <si>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</si>
  <si>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</si>
  <si>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</si>
  <si>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</si>
  <si>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</si>
  <si>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</si>
  <si>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</si>
  <si>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</si>
  <si>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</si>
  <si>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</si>
  <si>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</si>
  <si>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</si>
  <si>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</si>
  <si>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</si>
  <si>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</si>
  <si>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</si>
  <si>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</si>
  <si>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</si>
  <si>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</si>
  <si>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</si>
  <si>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</si>
  <si>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</si>
  <si>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</si>
  <si>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</si>
  <si>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</si>
  <si>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</si>
  <si>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</si>
  <si>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</si>
  <si>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</si>
  <si>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</si>
  <si>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</si>
  <si>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</si>
  <si>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</si>
  <si>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</si>
  <si>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</si>
  <si>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</si>
  <si>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</si>
  <si>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</si>
  <si>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</si>
  <si>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</si>
  <si>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</si>
  <si>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</si>
  <si>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</si>
  <si>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</si>
  <si>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</si>
  <si>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</si>
  <si>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</si>
  <si>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</si>
  <si>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</si>
  <si>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</si>
  <si>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</si>
  <si>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</si>
  <si>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</si>
  <si>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</si>
  <si>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</si>
  <si>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</si>
  <si>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</si>
  <si>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</si>
  <si>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</si>
  <si>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</si>
  <si>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</si>
  <si>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</si>
  <si>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</si>
  <si>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</si>
  <si>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</si>
  <si>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</si>
  <si>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</si>
  <si>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</si>
  <si>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</si>
  <si>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</si>
  <si>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</si>
  <si>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</si>
  <si>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</si>
  <si>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</si>
  <si>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</si>
  <si>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</si>
  <si>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</si>
  <si>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</si>
  <si>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</si>
  <si>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</si>
  <si>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</si>
  <si>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</si>
  <si>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</si>
  <si>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</si>
  <si>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</si>
  <si>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</si>
  <si>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</si>
  <si>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</si>
  <si>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</si>
  <si>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</si>
  <si>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</si>
  <si>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</si>
  <si>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</si>
  <si>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</si>
  <si>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</si>
  <si>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</si>
  <si>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</si>
  <si>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</si>
  <si>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</si>
  <si>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</si>
  <si>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</si>
  <si>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</si>
  <si>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</si>
  <si>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</si>
  <si>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</si>
  <si>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</si>
  <si>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</si>
  <si>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</si>
  <si>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</si>
  <si>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</si>
  <si>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</si>
  <si>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</si>
  <si>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</si>
  <si>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</si>
  <si>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</si>
  <si>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</si>
  <si>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</si>
  <si>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</si>
  <si>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</si>
  <si>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</si>
  <si>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</si>
  <si>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</si>
  <si>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</si>
  <si>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</si>
  <si>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</si>
  <si>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</si>
  <si>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</si>
  <si>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</si>
  <si>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</si>
  <si>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</si>
  <si>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</si>
  <si>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</si>
  <si>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</si>
  <si>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</si>
  <si>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</si>
  <si>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</si>
  <si>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</si>
  <si>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</si>
  <si>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</si>
  <si>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</si>
  <si>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</si>
  <si>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</si>
  <si>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</si>
  <si>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</si>
  <si>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</si>
  <si>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</si>
  <si>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</si>
  <si>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</si>
  <si>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</si>
  <si>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</si>
  <si>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</si>
  <si>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</si>
  <si>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</si>
  <si>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</si>
  <si>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</si>
  <si>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</si>
  <si>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</si>
  <si>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</si>
  <si>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</si>
  <si>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</si>
  <si>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</si>
  <si>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</si>
  <si>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</si>
  <si>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</si>
  <si>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</si>
  <si>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</si>
  <si>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</si>
  <si>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</si>
  <si>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</si>
  <si>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</si>
  <si>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</si>
  <si>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</si>
  <si>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</si>
  <si>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</si>
  <si>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</si>
  <si>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</si>
  <si>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</si>
  <si>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</si>
  <si>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</si>
  <si>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</si>
  <si>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</si>
  <si>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</si>
  <si>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</si>
  <si>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</si>
  <si>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</si>
  <si>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</si>
  <si>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</si>
  <si>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</si>
  <si>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</si>
  <si>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</si>
  <si>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</si>
  <si>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</si>
  <si>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</si>
  <si>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</si>
  <si>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</si>
  <si>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</si>
  <si>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</si>
  <si>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</si>
  <si>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</si>
  <si>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</si>
  <si>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</si>
  <si>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</si>
  <si>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</si>
  <si>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</si>
  <si>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</si>
  <si>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</si>
  <si>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</si>
  <si>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</si>
  <si>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</si>
  <si>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</si>
  <si>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</si>
  <si>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</si>
  <si>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</si>
  <si>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</si>
  <si>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</si>
  <si>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</si>
  <si>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</si>
  <si>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</si>
  <si>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</si>
  <si>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</si>
  <si>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</si>
  <si>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</si>
  <si>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</si>
  <si>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</si>
  <si>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</si>
  <si>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</si>
  <si>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</si>
  <si>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</si>
  <si>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</si>
  <si>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</si>
  <si>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</si>
  <si>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</si>
  <si>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</si>
  <si>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</si>
  <si>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</si>
  <si>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</si>
  <si>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</si>
  <si>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</si>
  <si>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</si>
  <si>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</si>
  <si>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</si>
  <si>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</si>
  <si>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</si>
  <si>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</si>
  <si>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</si>
  <si>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</si>
  <si>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</si>
  <si>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</si>
  <si>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</si>
  <si>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</si>
  <si>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</si>
  <si>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</si>
  <si>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</si>
  <si>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</si>
  <si>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</si>
  <si>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</si>
  <si>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</si>
  <si>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</si>
  <si>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</si>
  <si>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</si>
  <si>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</si>
  <si>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</si>
  <si>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</si>
  <si>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</si>
  <si>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</si>
  <si>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</si>
  <si>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</si>
  <si>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</si>
  <si>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</si>
  <si>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</si>
  <si>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</si>
  <si>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</si>
  <si>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</si>
  <si>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</si>
  <si>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</si>
  <si>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</si>
  <si>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</si>
  <si>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</si>
  <si>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</si>
  <si>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</si>
  <si>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</si>
  <si>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</si>
  <si>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</si>
  <si>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</si>
  <si>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</si>
  <si>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</si>
  <si>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</si>
  <si>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</si>
  <si>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</si>
  <si>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</si>
  <si>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</si>
  <si>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</si>
  <si>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</si>
  <si>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</si>
  <si>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</si>
  <si>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</si>
  <si>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</si>
  <si>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</si>
  <si>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</si>
  <si>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</si>
  <si>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</si>
  <si>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</si>
  <si>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</si>
  <si>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</si>
  <si>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</si>
  <si>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</si>
  <si>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</si>
  <si>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</si>
  <si>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</si>
  <si>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</si>
  <si>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</si>
  <si>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</si>
  <si>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</si>
  <si>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</si>
  <si>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</si>
  <si>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</si>
  <si>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</si>
  <si>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</si>
  <si>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</si>
  <si>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</si>
  <si>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</si>
  <si>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</si>
  <si>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</si>
  <si>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</si>
  <si>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</si>
  <si>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</si>
  <si>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</si>
  <si>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</si>
  <si>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</si>
  <si>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</si>
  <si>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</si>
  <si>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</si>
  <si>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</si>
  <si>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</si>
  <si>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</si>
  <si>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</si>
  <si>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</si>
  <si>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</si>
  <si>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</si>
  <si>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</si>
  <si>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</si>
  <si>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</si>
  <si>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</si>
  <si>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</si>
  <si>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</si>
  <si>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</si>
  <si>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</si>
  <si>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</si>
  <si>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</si>
  <si>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</si>
  <si>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</si>
  <si>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</si>
  <si>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</si>
  <si>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</si>
  <si>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</si>
  <si>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</si>
  <si>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</si>
  <si>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</si>
  <si>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</si>
  <si>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</si>
  <si>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</si>
  <si>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</si>
  <si>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</si>
  <si>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</si>
  <si>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</si>
  <si>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</si>
  <si>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</si>
  <si>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</si>
  <si>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</si>
  <si>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</si>
  <si>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</si>
  <si>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</si>
  <si>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</si>
  <si>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</si>
  <si>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</si>
  <si>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</si>
  <si>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</si>
  <si>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</si>
  <si>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</si>
  <si>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</si>
  <si>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</si>
  <si>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</si>
  <si>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</si>
  <si>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</si>
  <si>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</si>
  <si>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</si>
  <si>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</si>
  <si>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</si>
  <si>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</si>
  <si>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</si>
  <si>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</si>
  <si>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</si>
  <si>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</si>
  <si>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</si>
  <si>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</si>
  <si>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</si>
  <si>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</si>
  <si>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</si>
  <si>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</si>
  <si>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</si>
  <si>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</si>
  <si>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</si>
  <si>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</si>
  <si>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</si>
  <si>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</si>
  <si>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</si>
  <si>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</si>
  <si>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</si>
  <si>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</si>
  <si>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</si>
  <si>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</si>
  <si>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</si>
  <si>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</si>
  <si>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</si>
  <si>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</si>
  <si>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</si>
  <si>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</si>
  <si>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</si>
  <si>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</si>
  <si>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</si>
  <si>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</si>
  <si>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</si>
  <si>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</si>
  <si>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</si>
  <si>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</si>
  <si>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</si>
  <si>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</si>
  <si>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</si>
  <si>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</si>
  <si>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</si>
  <si>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</si>
  <si>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</si>
  <si>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</si>
  <si>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</si>
  <si>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</si>
  <si>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</si>
  <si>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</si>
  <si>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</si>
  <si>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</si>
  <si>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</si>
  <si>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</si>
  <si>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</si>
  <si>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</si>
  <si>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</si>
  <si>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</si>
  <si>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</si>
  <si>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</si>
  <si>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</si>
  <si>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</si>
  <si>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</si>
  <si>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</si>
  <si>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</si>
  <si>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</si>
  <si>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</si>
  <si>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</si>
  <si>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</si>
  <si>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</si>
  <si>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</si>
  <si>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</si>
  <si>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</si>
  <si>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</si>
  <si>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</si>
  <si>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</si>
  <si>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</si>
  <si>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</si>
  <si>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</si>
  <si>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</si>
  <si>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</si>
  <si>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</si>
  <si>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</si>
  <si>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</si>
  <si>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</si>
  <si>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</si>
  <si>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</si>
  <si>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</si>
  <si>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</si>
  <si>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</si>
  <si>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</si>
  <si>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</si>
  <si>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</si>
  <si>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</si>
  <si>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</si>
  <si>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</si>
  <si>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</si>
  <si>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</si>
  <si>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</si>
  <si>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</si>
  <si>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</si>
  <si>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</si>
  <si>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</si>
  <si>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</si>
  <si>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</si>
  <si>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</si>
  <si>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</si>
  <si>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</si>
  <si>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</si>
  <si>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</si>
  <si>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</si>
  <si>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</si>
  <si>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</si>
  <si>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</si>
  <si>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</si>
  <si>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</si>
  <si>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</si>
  <si>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</si>
  <si>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</si>
  <si>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</si>
  <si>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</si>
  <si>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</si>
  <si>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</si>
  <si>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</si>
  <si>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</si>
  <si>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</si>
  <si>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</si>
  <si>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</si>
  <si>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</si>
  <si>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</si>
  <si>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</si>
  <si>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</si>
  <si>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</si>
  <si>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</si>
  <si>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</si>
  <si>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</si>
  <si>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</si>
  <si>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</si>
  <si>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</si>
  <si>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</si>
  <si>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</si>
  <si>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</si>
  <si>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CAD</t>
  </si>
  <si>
    <t>ILS</t>
  </si>
  <si>
    <t>1.000000</t>
  </si>
  <si>
    <t>GBP</t>
  </si>
  <si>
    <t>בנק הפועלים</t>
  </si>
  <si>
    <t>12-600</t>
  </si>
  <si>
    <t>EUR</t>
  </si>
  <si>
    <t>ממשלת ישראל</t>
  </si>
  <si>
    <t>ממשל קצרה 0824</t>
  </si>
  <si>
    <t>IL0011999757</t>
  </si>
  <si>
    <t>ilRF</t>
  </si>
  <si>
    <t>מקמ  1114</t>
  </si>
  <si>
    <t>IL0082411195</t>
  </si>
  <si>
    <t>מקמ 0914</t>
  </si>
  <si>
    <t>IL0082409132</t>
  </si>
  <si>
    <t>ממשל צמודה 1131</t>
  </si>
  <si>
    <t>IL0011722209</t>
  </si>
  <si>
    <t>ממשל שקלית 0226</t>
  </si>
  <si>
    <t>IL0011746976</t>
  </si>
  <si>
    <t>ממשלתי שקלי 142</t>
  </si>
  <si>
    <t>IL0011254005</t>
  </si>
  <si>
    <t>ממשל שקלית 425</t>
  </si>
  <si>
    <t>IL0011626681</t>
  </si>
  <si>
    <t>ממשל צמודה 0527</t>
  </si>
  <si>
    <t>IL0011408478</t>
  </si>
  <si>
    <t>ממשל קצרה 0225</t>
  </si>
  <si>
    <t>IL0012052028</t>
  </si>
  <si>
    <t>ממשל צמודה 0726</t>
  </si>
  <si>
    <t>IL0011695645</t>
  </si>
  <si>
    <t>ממשל שקלית 0537</t>
  </si>
  <si>
    <t>IL0011661803</t>
  </si>
  <si>
    <t>ממשלתי שקלי 347</t>
  </si>
  <si>
    <t>IL0011401937</t>
  </si>
  <si>
    <t>לאומי</t>
  </si>
  <si>
    <t>לאומי 183</t>
  </si>
  <si>
    <t>IL0060405474</t>
  </si>
  <si>
    <t>Aaa.il</t>
  </si>
  <si>
    <t>ביג מרכזי קניות</t>
  </si>
  <si>
    <t>ביג אגח יח</t>
  </si>
  <si>
    <t>IL0011742264</t>
  </si>
  <si>
    <t>Aa3.il</t>
  </si>
  <si>
    <t>קבוצת עזריאלי בע"מ</t>
  </si>
  <si>
    <t>עזריאלי אגח ו</t>
  </si>
  <si>
    <t>IL0011566119</t>
  </si>
  <si>
    <t>Aa1.il</t>
  </si>
  <si>
    <t>פועלים אגח 201</t>
  </si>
  <si>
    <t>IL0011913451</t>
  </si>
  <si>
    <t>אמות השקעות</t>
  </si>
  <si>
    <t>אמות אגח ח</t>
  </si>
  <si>
    <t>IL0011727828</t>
  </si>
  <si>
    <t>AA-</t>
  </si>
  <si>
    <t>חברת החשמל לישראל בע"מ</t>
  </si>
  <si>
    <t>חשמל אגח 27</t>
  </si>
  <si>
    <t>IL0060002107</t>
  </si>
  <si>
    <t>AA</t>
  </si>
  <si>
    <t>מימון ישיר</t>
  </si>
  <si>
    <t>מימון ישיר אג' 5</t>
  </si>
  <si>
    <t>IL0011828311</t>
  </si>
  <si>
    <t>A1.il</t>
  </si>
  <si>
    <t>בזק החברה הישראלית לתקשורת בע"מ</t>
  </si>
  <si>
    <t>בזק  אגח 12</t>
  </si>
  <si>
    <t>IL0023002426</t>
  </si>
  <si>
    <t>Aa2.il</t>
  </si>
  <si>
    <t>או פי סי אנרגיה</t>
  </si>
  <si>
    <t>או פי סי  אגח ב</t>
  </si>
  <si>
    <t>IL0011660573</t>
  </si>
  <si>
    <t>ilA-</t>
  </si>
  <si>
    <t>דיסקונט מנפיקים בע"מ</t>
  </si>
  <si>
    <t>דיסקונט מנפיקים אגח טו</t>
  </si>
  <si>
    <t>IL0074803045</t>
  </si>
  <si>
    <t>טבע</t>
  </si>
  <si>
    <t>IL0006290147</t>
  </si>
  <si>
    <t>מנורה מבטחים החזקות</t>
  </si>
  <si>
    <t>IL0005660183</t>
  </si>
  <si>
    <t>ג'י סיטי בע"מ</t>
  </si>
  <si>
    <t>גזית גלוב</t>
  </si>
  <si>
    <t>IL0001260111</t>
  </si>
  <si>
    <t>אלוני חץ</t>
  </si>
  <si>
    <t>אלוני  חץ</t>
  </si>
  <si>
    <t>IL0003900136</t>
  </si>
  <si>
    <t>בנק מזרחי טפחות בע"מ</t>
  </si>
  <si>
    <t>מזרחי טפחות</t>
  </si>
  <si>
    <t>IL0006954379</t>
  </si>
  <si>
    <t>כלל חברה לביטוח</t>
  </si>
  <si>
    <t>כלל עסקי ביטוח</t>
  </si>
  <si>
    <t>IL0002240146</t>
  </si>
  <si>
    <t>נייס</t>
  </si>
  <si>
    <t>IL0002730112</t>
  </si>
  <si>
    <t>קבוצת דלק בע"מ</t>
  </si>
  <si>
    <t>דלק קבוצה</t>
  </si>
  <si>
    <t>IL0010841281</t>
  </si>
  <si>
    <t>בינלאומי</t>
  </si>
  <si>
    <t>בינלאומי  5</t>
  </si>
  <si>
    <t>IL0005930388</t>
  </si>
  <si>
    <t>מליסרון</t>
  </si>
  <si>
    <t>IL0003230146</t>
  </si>
  <si>
    <t>מגדל קרנות נאמנות בע"מ</t>
  </si>
  <si>
    <t>MTF סל‏ תלבונד צמוד 5-15</t>
  </si>
  <si>
    <t>IL0011931354</t>
  </si>
  <si>
    <t>הראל קרנות נאמנות בע"מ</t>
  </si>
  <si>
    <t>הראל סל תא טכנולוגיה</t>
  </si>
  <si>
    <t>IL0011618274</t>
  </si>
  <si>
    <t>מור ניהול קרנות נאמנות (2013) בע"מ</t>
  </si>
  <si>
    <t>מור סל (4A) תא 90</t>
  </si>
  <si>
    <t>IL0011961468</t>
  </si>
  <si>
    <t>מיטב תכלית קרנות נאמנות בע"מ</t>
  </si>
  <si>
    <t>תכלית סל תלבונד 60</t>
  </si>
  <si>
    <t>IL0011451015</t>
  </si>
  <si>
    <t>קסם קרנות נאמנות בע"מ</t>
  </si>
  <si>
    <t>קסם ETF תלבונד צמודות 3-5</t>
  </si>
  <si>
    <t>IL0011507543</t>
  </si>
  <si>
    <t>תכלית סל (40) ת"א 125</t>
  </si>
  <si>
    <t>IL0011437188</t>
  </si>
  <si>
    <t>הראל סל תלבונד 40</t>
  </si>
  <si>
    <t>IL0011504995</t>
  </si>
  <si>
    <t>אי.בי.אי - קרנות נאמנות בע"מ</t>
  </si>
  <si>
    <t>אי.בי.אי. (פסגות לשעבר) ETF תלבונד 40</t>
  </si>
  <si>
    <t>IL0011479743</t>
  </si>
  <si>
    <t>תכלית סל (00) תל בונד שקלי</t>
  </si>
  <si>
    <t>IL0011451841</t>
  </si>
  <si>
    <t>קסם ETF ת"א 125</t>
  </si>
  <si>
    <t>IL0011463564</t>
  </si>
  <si>
    <t>תכלית סל (00) תל בונד 40</t>
  </si>
  <si>
    <t>IL0011450934</t>
  </si>
  <si>
    <t>MTF סל (4A) ת"א 35</t>
  </si>
  <si>
    <t>IL0011501843</t>
  </si>
  <si>
    <t>תכלית סל תא 35</t>
  </si>
  <si>
    <t>IL0011437006</t>
  </si>
  <si>
    <t>קסם ETF תלבונד 60</t>
  </si>
  <si>
    <t>IL0011462327</t>
  </si>
  <si>
    <t>קסם ETF תלבונד 40</t>
  </si>
  <si>
    <t>IL0011462160</t>
  </si>
  <si>
    <t>קסם ETF תא 35</t>
  </si>
  <si>
    <t>IL0011465700</t>
  </si>
  <si>
    <t>אי.בי.אי (פסגות לשעבר) ETF תלבונד 60</t>
  </si>
  <si>
    <t>IL0011480063</t>
  </si>
  <si>
    <t>אי בי אי (פסגות לשעבר)  ETF תא 125</t>
  </si>
  <si>
    <t>IL0011488082</t>
  </si>
  <si>
    <t>מור סל (4A ) תא 35</t>
  </si>
  <si>
    <t>IL0011943805</t>
  </si>
  <si>
    <t>הראל סל תלבונד 60</t>
  </si>
  <si>
    <t>IL0011504730</t>
  </si>
  <si>
    <t>קסם 4A) ETF) ת"א 90</t>
  </si>
  <si>
    <t>IL0011463317</t>
  </si>
  <si>
    <t>הראל סל תלבונד שקלי</t>
  </si>
  <si>
    <t>IL0011505232</t>
  </si>
  <si>
    <t>AMUNDI INVT SOLUTIONS</t>
  </si>
  <si>
    <t>549300FMBJ5S1PXQ2305</t>
  </si>
  <si>
    <t>L100 LN Lyxor FTSE 100</t>
  </si>
  <si>
    <t>LU1650492173</t>
  </si>
  <si>
    <t>HSBC</t>
  </si>
  <si>
    <t>MLU0ZO3ML4LN2LL2TL39</t>
  </si>
  <si>
    <t>HMWD LN HSBC MSCI WORLD</t>
  </si>
  <si>
    <t>IE00B4X9L533</t>
  </si>
  <si>
    <t>INVESCO</t>
  </si>
  <si>
    <t>ECPGFXU8A2SHKVVGJI15</t>
  </si>
  <si>
    <t>MXUK GY Invesco Europe ex UK</t>
  </si>
  <si>
    <t>IE00BYX5K108</t>
  </si>
  <si>
    <t>State Street</t>
  </si>
  <si>
    <t>549300ZFEEJ2IP5VME73</t>
  </si>
  <si>
    <t>SWRD LN  MSCI World SPDR</t>
  </si>
  <si>
    <t>IE00BFY0GT14</t>
  </si>
  <si>
    <t>AUEM FP AMUNDI MSCI EME</t>
  </si>
  <si>
    <t>LU1681045453</t>
  </si>
  <si>
    <t>ISHARES</t>
  </si>
  <si>
    <t>549300LRIF3NWCU26A80</t>
  </si>
  <si>
    <t>IVV US Ishares S&amp;P</t>
  </si>
  <si>
    <t>US4642872000</t>
  </si>
  <si>
    <t>Global X</t>
  </si>
  <si>
    <t>254900QBKK4WBSO3GE51</t>
  </si>
  <si>
    <t>HXT CN Canada TSX 60</t>
  </si>
  <si>
    <t>CA37963M1086</t>
  </si>
  <si>
    <t>IWDA LN iShares MSCI World</t>
  </si>
  <si>
    <t>IE00B4L5Y983</t>
  </si>
  <si>
    <t>LCJD LN Lyxor MSCI Japan</t>
  </si>
  <si>
    <t>LU1781541252</t>
  </si>
  <si>
    <t>SPY SPDR S&amp;P 500</t>
  </si>
  <si>
    <t>US78462F1030</t>
  </si>
  <si>
    <t>DWS</t>
  </si>
  <si>
    <t>7LTWFZYICNSX8D621K86</t>
  </si>
  <si>
    <t>XPXD LN DB Pacific Ex- Japan</t>
  </si>
  <si>
    <t>LU0322252338</t>
  </si>
  <si>
    <t>Vanguard Group Inc</t>
  </si>
  <si>
    <t>5493002789CX3L0CJP65</t>
  </si>
  <si>
    <t>VOO Vanguard S&amp;P 500</t>
  </si>
  <si>
    <t>US9229083632</t>
  </si>
  <si>
    <t>INVESCO MARKETS PLC</t>
  </si>
  <si>
    <t>MXWO LN Invesco MSCI World</t>
  </si>
  <si>
    <t>IE00B60SX394</t>
  </si>
  <si>
    <t>USDILS</t>
  </si>
  <si>
    <t>MIZBILIT</t>
  </si>
  <si>
    <t>570005850_gm_p_0224.xlsx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</si>
</sst>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2" xfId="0" applyFont="1" applyFill="1" applyBorder="1" applyAlignment="1">
      <alignment readingOrder="1"/>
    </xf>
    <xf numFmtId="0" fontId="0" fillId="0" borderId="2" xfId="0" applyFont="1" applyFill="1" applyBorder="1" applyAlignment="1">
      <alignment horizontal="right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476249</xdr:colOff>
      <xdr:row>40</xdr:row>
      <xdr:rowOff>113624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C7ABAE74-A07E-4884-B3D2-F7A8E4F0A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870351" y="0"/>
          <a:ext cx="5276849" cy="7352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E256-1B74-4EDE-94E4-8A9A68150E6E}">
  <dimension ref="A1"/>
  <sheetViews>
    <sheetView showGridLines="0" rightToLeft="1" tabSelected="1" workbookViewId="0">
      <selection activeCell="J21" sqref="J21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H8" sqref="H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5" t="s">
        <v>1406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" sqref="B3:B2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1103.4188200000001</v>
      </c>
      <c r="C3" s="114"/>
      <c r="D3" s="115"/>
      <c r="E3" s="112">
        <f>IFERROR(B3/$B$30,0)</f>
        <v>4.6205247608469599E-2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4240.2831100000003</v>
      </c>
      <c r="C4" s="114"/>
      <c r="D4" s="115"/>
      <c r="E4" s="112">
        <f t="shared" ref="E4:E29" si="0">IFERROR(B4/$B$30,0)</f>
        <v>0.17756025860385591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212.78880999999998</v>
      </c>
      <c r="C6" s="114"/>
      <c r="D6" s="115"/>
      <c r="E6" s="112">
        <f t="shared" si="0"/>
        <v>8.9104512956934973E-3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284.02035999999998</v>
      </c>
      <c r="C7" s="114"/>
      <c r="D7" s="115"/>
      <c r="E7" s="112">
        <f t="shared" si="0"/>
        <v>1.1893245630563628E-2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18098.678899999999</v>
      </c>
      <c r="C8" s="114"/>
      <c r="D8" s="115"/>
      <c r="E8" s="112">
        <f t="shared" si="0"/>
        <v>0.7578753640985425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-58.378249999999994</v>
      </c>
      <c r="C23" s="114"/>
      <c r="D23" s="115"/>
      <c r="E23" s="112">
        <f t="shared" si="0"/>
        <v>-2.444567237125011E-3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23880.811749999997</v>
      </c>
      <c r="C30" s="116"/>
      <c r="D30" s="116"/>
      <c r="E30" s="113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1"/>
  <sheetViews>
    <sheetView rightToLeft="1" workbookViewId="0">
      <selection activeCell="D24" sqref="D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8.3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523</v>
      </c>
      <c r="B2" s="119">
        <v>523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5.1889999999999999E-2</v>
      </c>
      <c r="M2" s="120">
        <v>3.7589999999999999</v>
      </c>
      <c r="N2" s="121"/>
      <c r="O2" s="120">
        <v>0.19505</v>
      </c>
      <c r="P2" s="121">
        <v>1.76E-4</v>
      </c>
      <c r="Q2" s="121">
        <v>7.9999999999999996E-6</v>
      </c>
    </row>
    <row r="3" spans="1:26" ht="15" customHeight="1">
      <c r="A3" s="119">
        <v>523</v>
      </c>
      <c r="B3" s="119">
        <v>523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1212</v>
      </c>
      <c r="L3" s="120">
        <v>10.21889</v>
      </c>
      <c r="M3" s="120">
        <v>3.7589999999999999</v>
      </c>
      <c r="N3" s="121"/>
      <c r="O3" s="120">
        <v>38.41281</v>
      </c>
      <c r="P3" s="121">
        <v>3.4812000000000003E-2</v>
      </c>
      <c r="Q3" s="121">
        <v>1.6080000000000001E-3</v>
      </c>
    </row>
    <row r="4" spans="1:26" ht="15" customHeight="1">
      <c r="A4" s="119">
        <v>523</v>
      </c>
      <c r="B4" s="119">
        <v>523</v>
      </c>
      <c r="C4" s="118" t="s">
        <v>1213</v>
      </c>
      <c r="D4" s="118" t="s">
        <v>1214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1215</v>
      </c>
      <c r="L4" s="120">
        <v>0.11337999999999999</v>
      </c>
      <c r="M4" s="120">
        <v>2.7412999999999998</v>
      </c>
      <c r="N4" s="121"/>
      <c r="O4" s="120">
        <v>0.31080999999999998</v>
      </c>
      <c r="P4" s="121">
        <v>2.81E-4</v>
      </c>
      <c r="Q4" s="121">
        <v>1.2999999999999999E-5</v>
      </c>
    </row>
    <row r="5" spans="1:26" ht="15" customHeight="1">
      <c r="A5" s="119">
        <v>523</v>
      </c>
      <c r="B5" s="119">
        <v>523</v>
      </c>
      <c r="C5" s="118" t="s">
        <v>1209</v>
      </c>
      <c r="D5" s="118" t="s">
        <v>1210</v>
      </c>
      <c r="E5" s="118" t="s">
        <v>314</v>
      </c>
      <c r="F5" s="118" t="s">
        <v>939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0.46500999999999998</v>
      </c>
      <c r="M5" s="120">
        <v>1</v>
      </c>
      <c r="N5" s="121"/>
      <c r="O5" s="120">
        <v>0.46500999999999998</v>
      </c>
      <c r="P5" s="121">
        <v>4.2099999999999999E-4</v>
      </c>
      <c r="Q5" s="121">
        <v>1.9000000000000001E-5</v>
      </c>
    </row>
    <row r="6" spans="1:26" ht="15" customHeight="1">
      <c r="A6" s="119">
        <v>523</v>
      </c>
      <c r="B6" s="119">
        <v>523</v>
      </c>
      <c r="C6" s="118" t="s">
        <v>1213</v>
      </c>
      <c r="D6" s="118" t="s">
        <v>1214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1.3979999999999999E-2</v>
      </c>
      <c r="M6" s="120">
        <v>4.7504999999999997</v>
      </c>
      <c r="N6" s="121"/>
      <c r="O6" s="120">
        <v>6.6409999999999997E-2</v>
      </c>
      <c r="P6" s="121">
        <v>6.0000000000000002E-5</v>
      </c>
      <c r="Q6" s="121">
        <v>1.9999999999999999E-6</v>
      </c>
    </row>
    <row r="7" spans="1:26" ht="15" customHeight="1">
      <c r="A7" s="119">
        <v>523</v>
      </c>
      <c r="B7" s="119">
        <v>523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430.51639</v>
      </c>
      <c r="M7" s="120">
        <v>1</v>
      </c>
      <c r="N7" s="121"/>
      <c r="O7" s="120">
        <v>430.51639</v>
      </c>
      <c r="P7" s="121">
        <v>0.39016499999999998</v>
      </c>
      <c r="Q7" s="121">
        <v>1.8027000000000001E-2</v>
      </c>
    </row>
    <row r="8" spans="1:26" ht="15" customHeight="1">
      <c r="A8" s="119">
        <v>523</v>
      </c>
      <c r="B8" s="119">
        <v>523</v>
      </c>
      <c r="C8" s="118" t="s">
        <v>1209</v>
      </c>
      <c r="D8" s="118" t="s">
        <v>1210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9.2319999999999999E-2</v>
      </c>
      <c r="M8" s="120">
        <v>1</v>
      </c>
      <c r="N8" s="121"/>
      <c r="O8" s="120">
        <v>9.2319999999999999E-2</v>
      </c>
      <c r="P8" s="121">
        <v>8.2999999999999998E-5</v>
      </c>
      <c r="Q8" s="121">
        <v>3.0000000000000001E-6</v>
      </c>
    </row>
    <row r="9" spans="1:26" ht="15" customHeight="1">
      <c r="A9" s="119">
        <v>523</v>
      </c>
      <c r="B9" s="119">
        <v>523</v>
      </c>
      <c r="C9" s="118" t="s">
        <v>1209</v>
      </c>
      <c r="D9" s="118" t="s">
        <v>1210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436.38211000000001</v>
      </c>
      <c r="M9" s="120">
        <v>1</v>
      </c>
      <c r="N9" s="121"/>
      <c r="O9" s="120">
        <v>436.38211000000001</v>
      </c>
      <c r="P9" s="121">
        <v>0.39548100000000003</v>
      </c>
      <c r="Q9" s="121">
        <v>1.8273000000000001E-2</v>
      </c>
    </row>
    <row r="10" spans="1:26" ht="15" customHeight="1">
      <c r="A10" s="119">
        <v>523</v>
      </c>
      <c r="B10" s="119">
        <v>523</v>
      </c>
      <c r="C10" s="118" t="s">
        <v>1219</v>
      </c>
      <c r="D10" s="118" t="s">
        <v>1220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192.21848</v>
      </c>
      <c r="M10" s="120">
        <v>1</v>
      </c>
      <c r="N10" s="121"/>
      <c r="O10" s="120">
        <v>192.21848</v>
      </c>
      <c r="P10" s="121">
        <v>0.174202</v>
      </c>
      <c r="Q10" s="121">
        <v>8.0490000000000006E-3</v>
      </c>
    </row>
    <row r="11" spans="1:26" ht="15" customHeight="1">
      <c r="A11" s="119">
        <v>523</v>
      </c>
      <c r="B11" s="119">
        <v>523</v>
      </c>
      <c r="C11" s="118" t="s">
        <v>1213</v>
      </c>
      <c r="D11" s="118" t="s">
        <v>1214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1221</v>
      </c>
      <c r="L11" s="120">
        <v>1.18388</v>
      </c>
      <c r="M11" s="120">
        <v>4.0202</v>
      </c>
      <c r="N11" s="118"/>
      <c r="O11" s="120">
        <v>4.75943</v>
      </c>
      <c r="P11" s="121">
        <v>4.313E-3</v>
      </c>
      <c r="Q11" s="121">
        <v>1.9900000000000001E-4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M17" sqref="M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1.875" bestFit="1" customWidth="1"/>
    <col min="19" max="19" width="8.75" bestFit="1" customWidth="1"/>
    <col min="20" max="20" width="11.625" customWidth="1"/>
    <col min="21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523</v>
      </c>
      <c r="B2" s="119">
        <v>523</v>
      </c>
      <c r="C2" s="118" t="s">
        <v>1222</v>
      </c>
      <c r="D2" s="118" t="s">
        <v>1223</v>
      </c>
      <c r="E2" s="119" t="s">
        <v>1224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0.16</v>
      </c>
      <c r="N2" s="122">
        <v>45534</v>
      </c>
      <c r="O2" s="121">
        <v>0</v>
      </c>
      <c r="P2" s="121">
        <v>4.3700000000000003E-2</v>
      </c>
      <c r="Q2" s="120"/>
      <c r="R2" s="120">
        <v>235343</v>
      </c>
      <c r="S2" s="120">
        <v>1</v>
      </c>
      <c r="T2" s="120">
        <v>99.3</v>
      </c>
      <c r="U2" s="120">
        <v>233.69560000000001</v>
      </c>
      <c r="V2" s="120"/>
      <c r="W2" s="118"/>
      <c r="X2" s="121">
        <v>3.8000000000000002E-5</v>
      </c>
      <c r="Y2" s="121">
        <v>5.5113000000000002E-2</v>
      </c>
      <c r="Z2" s="121">
        <v>9.7850000000000003E-3</v>
      </c>
    </row>
    <row r="3" spans="1:26" ht="15" customHeight="1">
      <c r="A3" s="119">
        <v>523</v>
      </c>
      <c r="B3" s="119">
        <v>523</v>
      </c>
      <c r="C3" s="118" t="s">
        <v>1222</v>
      </c>
      <c r="D3" s="118" t="s">
        <v>1226</v>
      </c>
      <c r="E3" s="119" t="s">
        <v>1227</v>
      </c>
      <c r="F3" s="118" t="s">
        <v>950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0.35</v>
      </c>
      <c r="N3" s="122">
        <v>45602</v>
      </c>
      <c r="O3" s="121">
        <v>0</v>
      </c>
      <c r="P3" s="121">
        <v>4.3099999999999999E-2</v>
      </c>
      <c r="Q3" s="118"/>
      <c r="R3" s="120">
        <v>782745</v>
      </c>
      <c r="S3" s="120">
        <v>1</v>
      </c>
      <c r="T3" s="120">
        <v>98.53</v>
      </c>
      <c r="U3" s="120">
        <v>771.23865000000001</v>
      </c>
      <c r="V3" s="118"/>
      <c r="W3" s="118"/>
      <c r="X3" s="121">
        <v>5.5000000000000002E-5</v>
      </c>
      <c r="Y3" s="121">
        <v>0.18188299999999999</v>
      </c>
      <c r="Z3" s="121">
        <v>3.2294999999999997E-2</v>
      </c>
    </row>
    <row r="4" spans="1:26" ht="15" customHeight="1">
      <c r="A4" s="119">
        <v>523</v>
      </c>
      <c r="B4" s="119">
        <v>523</v>
      </c>
      <c r="C4" s="118" t="s">
        <v>1222</v>
      </c>
      <c r="D4" s="118" t="s">
        <v>1228</v>
      </c>
      <c r="E4" s="119" t="s">
        <v>1229</v>
      </c>
      <c r="F4" s="118" t="s">
        <v>950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0.18</v>
      </c>
      <c r="N4" s="122">
        <v>45539</v>
      </c>
      <c r="O4" s="121">
        <v>0</v>
      </c>
      <c r="P4" s="121">
        <v>4.2599999999999999E-2</v>
      </c>
      <c r="Q4" s="118"/>
      <c r="R4" s="120">
        <v>368728</v>
      </c>
      <c r="S4" s="120">
        <v>1</v>
      </c>
      <c r="T4" s="120">
        <v>99.26</v>
      </c>
      <c r="U4" s="120">
        <v>365.99941000000001</v>
      </c>
      <c r="V4" s="118"/>
      <c r="W4" s="118"/>
      <c r="X4" s="121">
        <v>7.9999999999999996E-6</v>
      </c>
      <c r="Y4" s="121">
        <v>8.6314000000000002E-2</v>
      </c>
      <c r="Z4" s="121">
        <v>1.5325999999999999E-2</v>
      </c>
    </row>
    <row r="5" spans="1:26" ht="15" customHeight="1">
      <c r="A5" s="119">
        <v>523</v>
      </c>
      <c r="B5" s="119">
        <v>523</v>
      </c>
      <c r="C5" s="118" t="s">
        <v>1222</v>
      </c>
      <c r="D5" s="118" t="s">
        <v>1230</v>
      </c>
      <c r="E5" s="119" t="s">
        <v>1231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7.39</v>
      </c>
      <c r="N5" s="122">
        <v>48182</v>
      </c>
      <c r="O5" s="121">
        <v>1E-3</v>
      </c>
      <c r="P5" s="121">
        <v>2.18E-2</v>
      </c>
      <c r="Q5" s="118"/>
      <c r="R5" s="120">
        <v>757097</v>
      </c>
      <c r="S5" s="120">
        <v>1</v>
      </c>
      <c r="T5" s="120">
        <v>97.65</v>
      </c>
      <c r="U5" s="120">
        <v>739.30521999999996</v>
      </c>
      <c r="V5" s="118"/>
      <c r="W5" s="118"/>
      <c r="X5" s="121">
        <v>2.4000000000000001E-5</v>
      </c>
      <c r="Y5" s="121">
        <v>0.17435200000000001</v>
      </c>
      <c r="Z5" s="121">
        <v>3.0957999999999999E-2</v>
      </c>
    </row>
    <row r="6" spans="1:26" ht="15" customHeight="1">
      <c r="A6" s="119">
        <v>523</v>
      </c>
      <c r="B6" s="119">
        <v>523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1.66</v>
      </c>
      <c r="N6" s="122">
        <v>46080</v>
      </c>
      <c r="O6" s="121">
        <v>5.0000000000000001E-3</v>
      </c>
      <c r="P6" s="121">
        <v>4.3700000000000003E-2</v>
      </c>
      <c r="Q6" s="118"/>
      <c r="R6" s="120">
        <v>256712</v>
      </c>
      <c r="S6" s="120">
        <v>1</v>
      </c>
      <c r="T6" s="120">
        <v>94.09</v>
      </c>
      <c r="U6" s="120">
        <v>241.54032000000001</v>
      </c>
      <c r="V6" s="118"/>
      <c r="W6" s="118"/>
      <c r="X6" s="121">
        <v>9.0000000000000002E-6</v>
      </c>
      <c r="Y6" s="121">
        <v>5.6963E-2</v>
      </c>
      <c r="Z6" s="121">
        <v>1.0114E-2</v>
      </c>
    </row>
    <row r="7" spans="1:26" ht="15" customHeight="1">
      <c r="A7" s="119">
        <v>523</v>
      </c>
      <c r="B7" s="119">
        <v>523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11.52</v>
      </c>
      <c r="N7" s="122">
        <v>51897</v>
      </c>
      <c r="O7" s="121">
        <v>5.5E-2</v>
      </c>
      <c r="P7" s="121">
        <v>5.33E-2</v>
      </c>
      <c r="Q7" s="118"/>
      <c r="R7" s="120">
        <v>261887</v>
      </c>
      <c r="S7" s="120">
        <v>1</v>
      </c>
      <c r="T7" s="120">
        <v>104.09</v>
      </c>
      <c r="U7" s="120">
        <v>272.59818000000001</v>
      </c>
      <c r="V7" s="118"/>
      <c r="W7" s="118"/>
      <c r="X7" s="121">
        <v>1.2999999999999999E-5</v>
      </c>
      <c r="Y7" s="121">
        <v>6.4286999999999997E-2</v>
      </c>
      <c r="Z7" s="121">
        <v>1.1414000000000001E-2</v>
      </c>
    </row>
    <row r="8" spans="1:26" ht="15" customHeight="1">
      <c r="A8" s="119">
        <v>523</v>
      </c>
      <c r="B8" s="119">
        <v>523</v>
      </c>
      <c r="C8" s="118" t="s">
        <v>1222</v>
      </c>
      <c r="D8" s="118" t="s">
        <v>1236</v>
      </c>
      <c r="E8" s="119" t="s">
        <v>1237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0.83</v>
      </c>
      <c r="N8" s="122">
        <v>45777</v>
      </c>
      <c r="O8" s="121">
        <v>5.0000000000000001E-3</v>
      </c>
      <c r="P8" s="121">
        <v>4.0399999999999998E-2</v>
      </c>
      <c r="Q8" s="118"/>
      <c r="R8" s="120">
        <v>110460</v>
      </c>
      <c r="S8" s="120">
        <v>1</v>
      </c>
      <c r="T8" s="120">
        <v>97.25</v>
      </c>
      <c r="U8" s="120">
        <v>107.42234999999999</v>
      </c>
      <c r="V8" s="118"/>
      <c r="W8" s="118"/>
      <c r="X8" s="121">
        <v>3.9999999999999998E-6</v>
      </c>
      <c r="Y8" s="121">
        <v>2.5333000000000001E-2</v>
      </c>
      <c r="Z8" s="121">
        <v>4.4980000000000003E-3</v>
      </c>
    </row>
    <row r="9" spans="1:26" ht="15" customHeight="1">
      <c r="A9" s="119">
        <v>523</v>
      </c>
      <c r="B9" s="119">
        <v>523</v>
      </c>
      <c r="C9" s="118" t="s">
        <v>1222</v>
      </c>
      <c r="D9" s="118" t="s">
        <v>1238</v>
      </c>
      <c r="E9" s="119" t="s">
        <v>1239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2.89</v>
      </c>
      <c r="N9" s="122">
        <v>46538</v>
      </c>
      <c r="O9" s="121">
        <v>7.4999999999999997E-3</v>
      </c>
      <c r="P9" s="121">
        <v>1.7399999999999999E-2</v>
      </c>
      <c r="Q9" s="118"/>
      <c r="R9" s="120">
        <v>324130</v>
      </c>
      <c r="S9" s="120">
        <v>1</v>
      </c>
      <c r="T9" s="120">
        <v>111.66</v>
      </c>
      <c r="U9" s="120">
        <v>361.92356000000001</v>
      </c>
      <c r="V9" s="118"/>
      <c r="W9" s="118"/>
      <c r="X9" s="121">
        <v>1.4E-5</v>
      </c>
      <c r="Y9" s="121">
        <v>8.5352999999999998E-2</v>
      </c>
      <c r="Z9" s="121">
        <v>1.5155E-2</v>
      </c>
    </row>
    <row r="10" spans="1:26" ht="15" customHeight="1">
      <c r="A10" s="119">
        <v>523</v>
      </c>
      <c r="B10" s="119">
        <v>523</v>
      </c>
      <c r="C10" s="118" t="s">
        <v>1222</v>
      </c>
      <c r="D10" s="118" t="s">
        <v>1240</v>
      </c>
      <c r="E10" s="119" t="s">
        <v>1241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0.66</v>
      </c>
      <c r="N10" s="122">
        <v>45716</v>
      </c>
      <c r="O10" s="121">
        <v>0</v>
      </c>
      <c r="P10" s="121">
        <v>4.4699999999999997E-2</v>
      </c>
      <c r="Q10" s="118"/>
      <c r="R10" s="120">
        <v>368620</v>
      </c>
      <c r="S10" s="120">
        <v>1</v>
      </c>
      <c r="T10" s="120">
        <v>97.14</v>
      </c>
      <c r="U10" s="120">
        <v>358.07747000000001</v>
      </c>
      <c r="V10" s="118"/>
      <c r="W10" s="118"/>
      <c r="X10" s="121">
        <v>3.8999999999999999E-5</v>
      </c>
      <c r="Y10" s="121">
        <v>8.4445999999999993E-2</v>
      </c>
      <c r="Z10" s="121">
        <v>1.4994E-2</v>
      </c>
    </row>
    <row r="11" spans="1:26" ht="15" customHeight="1">
      <c r="A11" s="119">
        <v>523</v>
      </c>
      <c r="B11" s="119">
        <v>523</v>
      </c>
      <c r="C11" s="118" t="s">
        <v>1222</v>
      </c>
      <c r="D11" s="118" t="s">
        <v>1242</v>
      </c>
      <c r="E11" s="119" t="s">
        <v>1243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2.08</v>
      </c>
      <c r="N11" s="122">
        <v>46234</v>
      </c>
      <c r="O11" s="121">
        <v>1E-3</v>
      </c>
      <c r="P11" s="121">
        <v>1.6400000000000001E-2</v>
      </c>
      <c r="Q11" s="118"/>
      <c r="R11" s="120">
        <v>183665</v>
      </c>
      <c r="S11" s="120">
        <v>1</v>
      </c>
      <c r="T11" s="120">
        <v>110.2</v>
      </c>
      <c r="U11" s="120">
        <v>202.39883</v>
      </c>
      <c r="V11" s="118"/>
      <c r="W11" s="118"/>
      <c r="X11" s="121">
        <v>9.0000000000000002E-6</v>
      </c>
      <c r="Y11" s="121">
        <v>4.7731999999999997E-2</v>
      </c>
      <c r="Z11" s="121">
        <v>8.4749999999999999E-3</v>
      </c>
    </row>
    <row r="12" spans="1:26" ht="15" customHeight="1">
      <c r="A12" s="119">
        <v>523</v>
      </c>
      <c r="B12" s="119">
        <v>523</v>
      </c>
      <c r="C12" s="118" t="s">
        <v>1222</v>
      </c>
      <c r="D12" s="118" t="s">
        <v>1244</v>
      </c>
      <c r="E12" s="119" t="s">
        <v>1245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11.5</v>
      </c>
      <c r="N12" s="122">
        <v>50191</v>
      </c>
      <c r="O12" s="121">
        <v>1.4999999999999999E-2</v>
      </c>
      <c r="P12" s="121">
        <v>5.21E-2</v>
      </c>
      <c r="Q12" s="118"/>
      <c r="R12" s="120">
        <v>60295</v>
      </c>
      <c r="S12" s="120">
        <v>1</v>
      </c>
      <c r="T12" s="120">
        <v>65.83</v>
      </c>
      <c r="U12" s="120">
        <v>39.6922</v>
      </c>
      <c r="V12" s="118"/>
      <c r="W12" s="118"/>
      <c r="X12" s="121">
        <v>9.9999999999999995E-7</v>
      </c>
      <c r="Y12" s="121">
        <v>9.3600000000000003E-3</v>
      </c>
      <c r="Z12" s="121">
        <v>1.6620000000000001E-3</v>
      </c>
    </row>
    <row r="13" spans="1:26" ht="15" customHeight="1">
      <c r="A13" s="119">
        <v>523</v>
      </c>
      <c r="B13" s="119">
        <v>523</v>
      </c>
      <c r="C13" s="118" t="s">
        <v>1222</v>
      </c>
      <c r="D13" s="118" t="s">
        <v>1246</v>
      </c>
      <c r="E13" s="119" t="s">
        <v>1247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14.48</v>
      </c>
      <c r="N13" s="122">
        <v>53782</v>
      </c>
      <c r="O13" s="121">
        <v>3.7499999999999999E-2</v>
      </c>
      <c r="P13" s="121">
        <v>5.4699999999999999E-2</v>
      </c>
      <c r="Q13" s="118"/>
      <c r="R13" s="120">
        <v>693478</v>
      </c>
      <c r="S13" s="120">
        <v>1</v>
      </c>
      <c r="T13" s="120">
        <v>78.790000000000006</v>
      </c>
      <c r="U13" s="120">
        <v>546.39131999999995</v>
      </c>
      <c r="V13" s="118"/>
      <c r="W13" s="118"/>
      <c r="X13" s="121">
        <v>2.5999999999999998E-5</v>
      </c>
      <c r="Y13" s="121">
        <v>0.128857</v>
      </c>
      <c r="Z13" s="121">
        <v>2.2879E-2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N1" workbookViewId="0">
      <selection activeCell="X23" sqref="X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8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0.875" bestFit="1" customWidth="1"/>
    <col min="27" max="27" width="8.75" bestFit="1" customWidth="1"/>
    <col min="28" max="28" width="11.625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523</v>
      </c>
      <c r="B2" s="119">
        <v>523</v>
      </c>
      <c r="C2" s="118" t="s">
        <v>1248</v>
      </c>
      <c r="D2" s="119">
        <v>520018078</v>
      </c>
      <c r="E2" s="118" t="s">
        <v>308</v>
      </c>
      <c r="F2" s="118" t="s">
        <v>1249</v>
      </c>
      <c r="G2" s="119" t="s">
        <v>1250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1251</v>
      </c>
      <c r="Q2" s="118" t="s">
        <v>414</v>
      </c>
      <c r="R2" s="118" t="s">
        <v>406</v>
      </c>
      <c r="S2" s="118" t="s">
        <v>1216</v>
      </c>
      <c r="T2" s="120">
        <v>5.39</v>
      </c>
      <c r="U2" s="122">
        <v>47447</v>
      </c>
      <c r="V2" s="121">
        <v>1E-3</v>
      </c>
      <c r="W2" s="121">
        <v>2.58E-2</v>
      </c>
      <c r="X2" s="118" t="s">
        <v>411</v>
      </c>
      <c r="Y2" s="118"/>
      <c r="Z2" s="120">
        <v>18970</v>
      </c>
      <c r="AA2" s="120">
        <v>1</v>
      </c>
      <c r="AB2" s="120">
        <v>97.13</v>
      </c>
      <c r="AC2" s="120"/>
      <c r="AD2" s="120">
        <v>18.425560000000001</v>
      </c>
      <c r="AE2" s="120"/>
      <c r="AF2" s="120"/>
      <c r="AG2" s="118"/>
      <c r="AH2" s="121">
        <v>6.9999999999999999E-6</v>
      </c>
      <c r="AI2" s="121">
        <v>8.659E-2</v>
      </c>
      <c r="AJ2" s="121">
        <v>7.7099999999999998E-4</v>
      </c>
    </row>
    <row r="3" spans="1:36" ht="15" customHeight="1">
      <c r="A3" s="119">
        <v>523</v>
      </c>
      <c r="B3" s="119">
        <v>523</v>
      </c>
      <c r="C3" s="118" t="s">
        <v>1252</v>
      </c>
      <c r="D3" s="119">
        <v>513623314</v>
      </c>
      <c r="E3" s="118" t="s">
        <v>308</v>
      </c>
      <c r="F3" s="118" t="s">
        <v>1253</v>
      </c>
      <c r="G3" s="119" t="s">
        <v>1254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1255</v>
      </c>
      <c r="Q3" s="118" t="s">
        <v>414</v>
      </c>
      <c r="R3" s="118" t="s">
        <v>406</v>
      </c>
      <c r="S3" s="118" t="s">
        <v>1216</v>
      </c>
      <c r="T3" s="120">
        <v>4.45</v>
      </c>
      <c r="U3" s="122">
        <v>47937</v>
      </c>
      <c r="V3" s="121">
        <v>1.3299999999999999E-2</v>
      </c>
      <c r="W3" s="121">
        <v>3.5499999999999997E-2</v>
      </c>
      <c r="X3" s="118" t="s">
        <v>411</v>
      </c>
      <c r="Y3" s="118"/>
      <c r="Z3" s="120">
        <v>24444</v>
      </c>
      <c r="AA3" s="120">
        <v>1</v>
      </c>
      <c r="AB3" s="120">
        <v>103.22</v>
      </c>
      <c r="AC3" s="118"/>
      <c r="AD3" s="120">
        <v>25.231100000000001</v>
      </c>
      <c r="AE3" s="118"/>
      <c r="AF3" s="118"/>
      <c r="AG3" s="118"/>
      <c r="AH3" s="121">
        <v>2.0000000000000002E-5</v>
      </c>
      <c r="AI3" s="121">
        <v>0.118573</v>
      </c>
      <c r="AJ3" s="121">
        <v>1.0560000000000001E-3</v>
      </c>
    </row>
    <row r="4" spans="1:36" ht="15" customHeight="1">
      <c r="A4" s="119">
        <v>523</v>
      </c>
      <c r="B4" s="119">
        <v>523</v>
      </c>
      <c r="C4" s="118" t="s">
        <v>1256</v>
      </c>
      <c r="D4" s="119">
        <v>510960719</v>
      </c>
      <c r="E4" s="118" t="s">
        <v>308</v>
      </c>
      <c r="F4" s="118" t="s">
        <v>1257</v>
      </c>
      <c r="G4" s="119" t="s">
        <v>1258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1259</v>
      </c>
      <c r="Q4" s="118" t="s">
        <v>414</v>
      </c>
      <c r="R4" s="118" t="s">
        <v>406</v>
      </c>
      <c r="S4" s="118" t="s">
        <v>1216</v>
      </c>
      <c r="T4" s="120">
        <v>5.71</v>
      </c>
      <c r="U4" s="122">
        <v>48579</v>
      </c>
      <c r="V4" s="121">
        <v>2.4799999999999999E-2</v>
      </c>
      <c r="W4" s="121">
        <v>3.3399999999999999E-2</v>
      </c>
      <c r="X4" s="118" t="s">
        <v>411</v>
      </c>
      <c r="Y4" s="118"/>
      <c r="Z4" s="120">
        <v>19981</v>
      </c>
      <c r="AA4" s="120">
        <v>1</v>
      </c>
      <c r="AB4" s="120">
        <v>108.31</v>
      </c>
      <c r="AC4" s="118"/>
      <c r="AD4" s="120">
        <v>21.64142</v>
      </c>
      <c r="AE4" s="118"/>
      <c r="AF4" s="118"/>
      <c r="AG4" s="118"/>
      <c r="AH4" s="121">
        <v>6.0000000000000002E-6</v>
      </c>
      <c r="AI4" s="121">
        <v>0.101703</v>
      </c>
      <c r="AJ4" s="121">
        <v>9.0600000000000001E-4</v>
      </c>
    </row>
    <row r="5" spans="1:36" ht="15" customHeight="1">
      <c r="A5" s="119">
        <v>523</v>
      </c>
      <c r="B5" s="119">
        <v>523</v>
      </c>
      <c r="C5" s="118" t="s">
        <v>1219</v>
      </c>
      <c r="D5" s="119">
        <v>520000118</v>
      </c>
      <c r="E5" s="118" t="s">
        <v>308</v>
      </c>
      <c r="F5" s="118" t="s">
        <v>1260</v>
      </c>
      <c r="G5" s="119" t="s">
        <v>1261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1216</v>
      </c>
      <c r="T5" s="120">
        <v>4.16</v>
      </c>
      <c r="U5" s="122">
        <v>48547</v>
      </c>
      <c r="V5" s="121">
        <v>1.3899999999999999E-2</v>
      </c>
      <c r="W5" s="121">
        <v>2.5100000000000001E-2</v>
      </c>
      <c r="X5" s="118" t="s">
        <v>411</v>
      </c>
      <c r="Y5" s="118"/>
      <c r="Z5" s="120">
        <v>19385.099999999999</v>
      </c>
      <c r="AA5" s="120">
        <v>1</v>
      </c>
      <c r="AB5" s="120">
        <v>101.46</v>
      </c>
      <c r="AC5" s="118"/>
      <c r="AD5" s="120">
        <v>19.668119999999998</v>
      </c>
      <c r="AE5" s="118"/>
      <c r="AF5" s="118"/>
      <c r="AG5" s="118"/>
      <c r="AH5" s="121">
        <v>1.0000000000000001E-5</v>
      </c>
      <c r="AI5" s="121">
        <v>9.2429999999999998E-2</v>
      </c>
      <c r="AJ5" s="121">
        <v>8.2299999999999995E-4</v>
      </c>
    </row>
    <row r="6" spans="1:36" ht="15" customHeight="1">
      <c r="A6" s="119">
        <v>523</v>
      </c>
      <c r="B6" s="119">
        <v>523</v>
      </c>
      <c r="C6" s="118" t="s">
        <v>1262</v>
      </c>
      <c r="D6" s="119">
        <v>520026683</v>
      </c>
      <c r="E6" s="118" t="s">
        <v>308</v>
      </c>
      <c r="F6" s="118" t="s">
        <v>1263</v>
      </c>
      <c r="G6" s="119" t="s">
        <v>1264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1265</v>
      </c>
      <c r="Q6" s="118" t="s">
        <v>311</v>
      </c>
      <c r="R6" s="118" t="s">
        <v>406</v>
      </c>
      <c r="S6" s="118" t="s">
        <v>1216</v>
      </c>
      <c r="T6" s="120">
        <v>5.81</v>
      </c>
      <c r="U6" s="122">
        <v>48218</v>
      </c>
      <c r="V6" s="121">
        <v>9.1999999999999998E-3</v>
      </c>
      <c r="W6" s="121">
        <v>3.5099999999999999E-2</v>
      </c>
      <c r="X6" s="118" t="s">
        <v>411</v>
      </c>
      <c r="Y6" s="118"/>
      <c r="Z6" s="120">
        <v>24644</v>
      </c>
      <c r="AA6" s="120">
        <v>1</v>
      </c>
      <c r="AB6" s="120">
        <v>98.59</v>
      </c>
      <c r="AC6" s="118"/>
      <c r="AD6" s="120">
        <v>24.296520000000001</v>
      </c>
      <c r="AE6" s="118"/>
      <c r="AF6" s="118"/>
      <c r="AG6" s="118"/>
      <c r="AH6" s="121">
        <v>9.0000000000000002E-6</v>
      </c>
      <c r="AI6" s="121">
        <v>0.114181</v>
      </c>
      <c r="AJ6" s="121">
        <v>1.0169999999999999E-3</v>
      </c>
    </row>
    <row r="7" spans="1:36" ht="15" customHeight="1">
      <c r="A7" s="119">
        <v>523</v>
      </c>
      <c r="B7" s="119">
        <v>523</v>
      </c>
      <c r="C7" s="118" t="s">
        <v>1266</v>
      </c>
      <c r="D7" s="119">
        <v>520000472</v>
      </c>
      <c r="E7" s="118" t="s">
        <v>308</v>
      </c>
      <c r="F7" s="118" t="s">
        <v>1267</v>
      </c>
      <c r="G7" s="119" t="s">
        <v>1268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1269</v>
      </c>
      <c r="Q7" s="118" t="s">
        <v>311</v>
      </c>
      <c r="R7" s="118" t="s">
        <v>406</v>
      </c>
      <c r="S7" s="118" t="s">
        <v>1216</v>
      </c>
      <c r="T7" s="120">
        <v>3.63</v>
      </c>
      <c r="U7" s="122">
        <v>47220</v>
      </c>
      <c r="V7" s="121">
        <v>3.85E-2</v>
      </c>
      <c r="W7" s="121">
        <v>2.4899999999999999E-2</v>
      </c>
      <c r="X7" s="118" t="s">
        <v>411</v>
      </c>
      <c r="Y7" s="118"/>
      <c r="Z7" s="120">
        <v>0.63</v>
      </c>
      <c r="AA7" s="120">
        <v>1</v>
      </c>
      <c r="AB7" s="120">
        <v>121.05</v>
      </c>
      <c r="AC7" s="118"/>
      <c r="AD7" s="120">
        <v>7.6000000000000004E-4</v>
      </c>
      <c r="AE7" s="118"/>
      <c r="AF7" s="118"/>
      <c r="AG7" s="118"/>
      <c r="AH7" s="121">
        <v>0</v>
      </c>
      <c r="AI7" s="121">
        <v>3.0000000000000001E-6</v>
      </c>
      <c r="AJ7" s="121">
        <v>0</v>
      </c>
    </row>
    <row r="8" spans="1:36" ht="15" customHeight="1">
      <c r="A8" s="119">
        <v>523</v>
      </c>
      <c r="B8" s="119">
        <v>523</v>
      </c>
      <c r="C8" s="118" t="s">
        <v>1270</v>
      </c>
      <c r="D8" s="119">
        <v>513893123</v>
      </c>
      <c r="E8" s="118" t="s">
        <v>308</v>
      </c>
      <c r="F8" s="118" t="s">
        <v>1271</v>
      </c>
      <c r="G8" s="119" t="s">
        <v>1272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442</v>
      </c>
      <c r="O8" s="118" t="s">
        <v>338</v>
      </c>
      <c r="P8" s="118" t="s">
        <v>1273</v>
      </c>
      <c r="Q8" s="118" t="s">
        <v>414</v>
      </c>
      <c r="R8" s="118" t="s">
        <v>406</v>
      </c>
      <c r="S8" s="118" t="s">
        <v>1216</v>
      </c>
      <c r="T8" s="120">
        <v>3.22</v>
      </c>
      <c r="U8" s="122">
        <v>48060</v>
      </c>
      <c r="V8" s="121">
        <v>0.01</v>
      </c>
      <c r="W8" s="121">
        <v>3.5700000000000003E-2</v>
      </c>
      <c r="X8" s="118" t="s">
        <v>411</v>
      </c>
      <c r="Y8" s="118"/>
      <c r="Z8" s="120">
        <v>32069</v>
      </c>
      <c r="AA8" s="120">
        <v>1</v>
      </c>
      <c r="AB8" s="120">
        <v>102.46</v>
      </c>
      <c r="AC8" s="118"/>
      <c r="AD8" s="120">
        <v>32.857900000000001</v>
      </c>
      <c r="AE8" s="118"/>
      <c r="AF8" s="118"/>
      <c r="AG8" s="118"/>
      <c r="AH8" s="121">
        <v>1.8E-5</v>
      </c>
      <c r="AI8" s="121">
        <v>0.154415</v>
      </c>
      <c r="AJ8" s="121">
        <v>1.3749999999999999E-3</v>
      </c>
    </row>
    <row r="9" spans="1:36" ht="15" customHeight="1">
      <c r="A9" s="119">
        <v>523</v>
      </c>
      <c r="B9" s="119">
        <v>523</v>
      </c>
      <c r="C9" s="118" t="s">
        <v>1274</v>
      </c>
      <c r="D9" s="119">
        <v>520031931</v>
      </c>
      <c r="E9" s="118" t="s">
        <v>308</v>
      </c>
      <c r="F9" s="118" t="s">
        <v>1275</v>
      </c>
      <c r="G9" s="119" t="s">
        <v>1276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483</v>
      </c>
      <c r="O9" s="118" t="s">
        <v>338</v>
      </c>
      <c r="P9" s="118" t="s">
        <v>1277</v>
      </c>
      <c r="Q9" s="118" t="s">
        <v>414</v>
      </c>
      <c r="R9" s="118" t="s">
        <v>406</v>
      </c>
      <c r="S9" s="118" t="s">
        <v>1216</v>
      </c>
      <c r="T9" s="120">
        <v>3.77</v>
      </c>
      <c r="U9" s="122">
        <v>47635</v>
      </c>
      <c r="V9" s="121">
        <v>1.7000000000000001E-2</v>
      </c>
      <c r="W9" s="121">
        <v>2.5999999999999999E-2</v>
      </c>
      <c r="X9" s="118" t="s">
        <v>411</v>
      </c>
      <c r="Y9" s="118"/>
      <c r="Z9" s="120">
        <v>20314</v>
      </c>
      <c r="AA9" s="120">
        <v>1</v>
      </c>
      <c r="AB9" s="120">
        <v>108.38</v>
      </c>
      <c r="AC9" s="118"/>
      <c r="AD9" s="120">
        <v>22.016310000000001</v>
      </c>
      <c r="AE9" s="118"/>
      <c r="AF9" s="118"/>
      <c r="AG9" s="118"/>
      <c r="AH9" s="121">
        <v>1.5999999999999999E-5</v>
      </c>
      <c r="AI9" s="121">
        <v>0.103465</v>
      </c>
      <c r="AJ9" s="121">
        <v>9.2100000000000005E-4</v>
      </c>
    </row>
    <row r="10" spans="1:36" ht="15" customHeight="1">
      <c r="A10" s="119">
        <v>523</v>
      </c>
      <c r="B10" s="119">
        <v>523</v>
      </c>
      <c r="C10" s="118" t="s">
        <v>1278</v>
      </c>
      <c r="D10" s="119">
        <v>514401702</v>
      </c>
      <c r="E10" s="118" t="s">
        <v>308</v>
      </c>
      <c r="F10" s="118" t="s">
        <v>1279</v>
      </c>
      <c r="G10" s="119" t="s">
        <v>1280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439</v>
      </c>
      <c r="O10" s="118" t="s">
        <v>338</v>
      </c>
      <c r="P10" s="118" t="s">
        <v>1281</v>
      </c>
      <c r="Q10" s="118" t="s">
        <v>412</v>
      </c>
      <c r="R10" s="118" t="s">
        <v>406</v>
      </c>
      <c r="S10" s="118" t="s">
        <v>1216</v>
      </c>
      <c r="T10" s="120">
        <v>3.06</v>
      </c>
      <c r="U10" s="122">
        <v>47027</v>
      </c>
      <c r="V10" s="121">
        <v>2.7E-2</v>
      </c>
      <c r="W10" s="121">
        <v>3.2500000000000001E-2</v>
      </c>
      <c r="X10" s="118" t="s">
        <v>411</v>
      </c>
      <c r="Y10" s="118"/>
      <c r="Z10" s="120">
        <v>24789.919999999998</v>
      </c>
      <c r="AA10" s="120">
        <v>1</v>
      </c>
      <c r="AB10" s="120">
        <v>112.11</v>
      </c>
      <c r="AC10" s="118"/>
      <c r="AD10" s="120">
        <v>27.791979999999999</v>
      </c>
      <c r="AE10" s="118"/>
      <c r="AF10" s="118"/>
      <c r="AG10" s="118"/>
      <c r="AH10" s="121">
        <v>2.9E-5</v>
      </c>
      <c r="AI10" s="121">
        <v>0.130608</v>
      </c>
      <c r="AJ10" s="121">
        <v>1.163E-3</v>
      </c>
    </row>
    <row r="11" spans="1:36" ht="15" customHeight="1">
      <c r="A11" s="119">
        <v>523</v>
      </c>
      <c r="B11" s="119">
        <v>523</v>
      </c>
      <c r="C11" s="118" t="s">
        <v>1282</v>
      </c>
      <c r="D11" s="119">
        <v>520029935</v>
      </c>
      <c r="E11" s="118" t="s">
        <v>308</v>
      </c>
      <c r="F11" s="118" t="s">
        <v>1283</v>
      </c>
      <c r="G11" s="119" t="s">
        <v>1284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1216</v>
      </c>
      <c r="T11" s="120">
        <v>3.96</v>
      </c>
      <c r="U11" s="122">
        <v>48441</v>
      </c>
      <c r="V11" s="121">
        <v>2E-3</v>
      </c>
      <c r="W11" s="121">
        <v>2.58E-2</v>
      </c>
      <c r="X11" s="118" t="s">
        <v>411</v>
      </c>
      <c r="Y11" s="118"/>
      <c r="Z11" s="120">
        <v>20683.330000000002</v>
      </c>
      <c r="AA11" s="120">
        <v>1</v>
      </c>
      <c r="AB11" s="120">
        <v>100.85</v>
      </c>
      <c r="AC11" s="118"/>
      <c r="AD11" s="120">
        <v>20.85914</v>
      </c>
      <c r="AE11" s="118"/>
      <c r="AF11" s="118"/>
      <c r="AG11" s="118"/>
      <c r="AH11" s="121">
        <v>5.0000000000000004E-6</v>
      </c>
      <c r="AI11" s="121">
        <v>9.8027000000000003E-2</v>
      </c>
      <c r="AJ11" s="121">
        <v>8.7299999999999997E-4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F1" workbookViewId="0">
      <selection activeCell="O13" sqref="O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9.875" bestFit="1" customWidth="1"/>
    <col min="18" max="18" width="8.75" bestFit="1" customWidth="1"/>
    <col min="19" max="19" width="11.625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 t="s">
        <v>1285</v>
      </c>
      <c r="D2" s="119">
        <v>520013954</v>
      </c>
      <c r="E2" s="118" t="s">
        <v>308</v>
      </c>
      <c r="F2" s="118" t="s">
        <v>1285</v>
      </c>
      <c r="G2" s="119" t="s">
        <v>1286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466</v>
      </c>
      <c r="O2" s="118" t="s">
        <v>338</v>
      </c>
      <c r="P2" s="118" t="s">
        <v>1216</v>
      </c>
      <c r="Q2" s="120">
        <v>1623</v>
      </c>
      <c r="R2" s="120">
        <v>1</v>
      </c>
      <c r="S2" s="120">
        <v>6120</v>
      </c>
      <c r="T2" s="120"/>
      <c r="U2" s="120">
        <v>99.327600000000004</v>
      </c>
      <c r="V2" s="121">
        <v>9.9999999999999995E-7</v>
      </c>
      <c r="W2" s="121">
        <v>0.349719</v>
      </c>
      <c r="X2" s="121">
        <v>4.1590000000000004E-3</v>
      </c>
    </row>
    <row r="3" spans="1:26" ht="15" customHeight="1">
      <c r="A3" s="119">
        <v>523</v>
      </c>
      <c r="B3" s="119">
        <v>523</v>
      </c>
      <c r="C3" s="118" t="s">
        <v>1287</v>
      </c>
      <c r="D3" s="119">
        <v>520007469</v>
      </c>
      <c r="E3" s="118" t="s">
        <v>308</v>
      </c>
      <c r="F3" s="118" t="s">
        <v>1287</v>
      </c>
      <c r="G3" s="119" t="s">
        <v>1288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444</v>
      </c>
      <c r="O3" s="118" t="s">
        <v>338</v>
      </c>
      <c r="P3" s="118" t="s">
        <v>1216</v>
      </c>
      <c r="Q3" s="120">
        <v>277</v>
      </c>
      <c r="R3" s="120">
        <v>1</v>
      </c>
      <c r="S3" s="120">
        <v>8960</v>
      </c>
      <c r="T3" s="118"/>
      <c r="U3" s="120">
        <v>24.819199999999999</v>
      </c>
      <c r="V3" s="121">
        <v>3.9999999999999998E-6</v>
      </c>
      <c r="W3" s="121">
        <v>8.7385000000000004E-2</v>
      </c>
      <c r="X3" s="121">
        <v>1.039E-3</v>
      </c>
    </row>
    <row r="4" spans="1:26" ht="15" customHeight="1">
      <c r="A4" s="119">
        <v>523</v>
      </c>
      <c r="B4" s="119">
        <v>523</v>
      </c>
      <c r="C4" s="118" t="s">
        <v>1289</v>
      </c>
      <c r="D4" s="119">
        <v>520033234</v>
      </c>
      <c r="E4" s="118" t="s">
        <v>308</v>
      </c>
      <c r="F4" s="118" t="s">
        <v>1290</v>
      </c>
      <c r="G4" s="119" t="s">
        <v>1291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464</v>
      </c>
      <c r="O4" s="118" t="s">
        <v>338</v>
      </c>
      <c r="P4" s="118" t="s">
        <v>1216</v>
      </c>
      <c r="Q4" s="120">
        <v>1542</v>
      </c>
      <c r="R4" s="120">
        <v>1</v>
      </c>
      <c r="S4" s="120">
        <v>881.8</v>
      </c>
      <c r="T4" s="118"/>
      <c r="U4" s="120">
        <v>13.59736</v>
      </c>
      <c r="V4" s="121">
        <v>7.9999999999999996E-6</v>
      </c>
      <c r="W4" s="121">
        <v>4.7874E-2</v>
      </c>
      <c r="X4" s="121">
        <v>5.6899999999999995E-4</v>
      </c>
    </row>
    <row r="5" spans="1:26" ht="15" customHeight="1">
      <c r="A5" s="119">
        <v>523</v>
      </c>
      <c r="B5" s="119">
        <v>523</v>
      </c>
      <c r="C5" s="118" t="s">
        <v>1292</v>
      </c>
      <c r="D5" s="119">
        <v>520038506</v>
      </c>
      <c r="E5" s="118" t="s">
        <v>308</v>
      </c>
      <c r="F5" s="118" t="s">
        <v>1293</v>
      </c>
      <c r="G5" s="119" t="s">
        <v>1294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463</v>
      </c>
      <c r="O5" s="118" t="s">
        <v>338</v>
      </c>
      <c r="P5" s="118" t="s">
        <v>1216</v>
      </c>
      <c r="Q5" s="120">
        <v>794</v>
      </c>
      <c r="R5" s="120">
        <v>1</v>
      </c>
      <c r="S5" s="120">
        <v>2350</v>
      </c>
      <c r="T5" s="118"/>
      <c r="U5" s="120">
        <v>18.658999999999999</v>
      </c>
      <c r="V5" s="121">
        <v>3.9999999999999998E-6</v>
      </c>
      <c r="W5" s="121">
        <v>6.5695000000000003E-2</v>
      </c>
      <c r="X5" s="121">
        <v>7.8100000000000001E-4</v>
      </c>
    </row>
    <row r="6" spans="1:26" ht="15" customHeight="1">
      <c r="A6" s="119">
        <v>523</v>
      </c>
      <c r="B6" s="119">
        <v>523</v>
      </c>
      <c r="C6" s="118" t="s">
        <v>1295</v>
      </c>
      <c r="D6" s="119">
        <v>520000522</v>
      </c>
      <c r="E6" s="118" t="s">
        <v>308</v>
      </c>
      <c r="F6" s="118" t="s">
        <v>1296</v>
      </c>
      <c r="G6" s="119" t="s">
        <v>1297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1216</v>
      </c>
      <c r="Q6" s="120">
        <v>322</v>
      </c>
      <c r="R6" s="120">
        <v>1</v>
      </c>
      <c r="S6" s="120">
        <v>13080</v>
      </c>
      <c r="T6" s="118"/>
      <c r="U6" s="120">
        <v>42.117600000000003</v>
      </c>
      <c r="V6" s="121">
        <v>9.9999999999999995E-7</v>
      </c>
      <c r="W6" s="121">
        <v>0.14829000000000001</v>
      </c>
      <c r="X6" s="121">
        <v>1.763E-3</v>
      </c>
    </row>
    <row r="7" spans="1:26" ht="15" customHeight="1">
      <c r="A7" s="119">
        <v>523</v>
      </c>
      <c r="B7" s="119">
        <v>523</v>
      </c>
      <c r="C7" s="118" t="s">
        <v>1298</v>
      </c>
      <c r="D7" s="119">
        <v>520036120</v>
      </c>
      <c r="E7" s="118" t="s">
        <v>308</v>
      </c>
      <c r="F7" s="118" t="s">
        <v>1299</v>
      </c>
      <c r="G7" s="119" t="s">
        <v>1300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444</v>
      </c>
      <c r="O7" s="118" t="s">
        <v>338</v>
      </c>
      <c r="P7" s="118" t="s">
        <v>1216</v>
      </c>
      <c r="Q7" s="120">
        <v>330</v>
      </c>
      <c r="R7" s="120">
        <v>1</v>
      </c>
      <c r="S7" s="120">
        <v>5291</v>
      </c>
      <c r="T7" s="118"/>
      <c r="U7" s="120">
        <v>17.4603</v>
      </c>
      <c r="V7" s="121">
        <v>3.9999999999999998E-6</v>
      </c>
      <c r="W7" s="121">
        <v>6.1475000000000002E-2</v>
      </c>
      <c r="X7" s="121">
        <v>7.3099999999999999E-4</v>
      </c>
    </row>
    <row r="8" spans="1:26" ht="15" customHeight="1">
      <c r="A8" s="119">
        <v>523</v>
      </c>
      <c r="B8" s="119">
        <v>523</v>
      </c>
      <c r="C8" s="118" t="s">
        <v>1301</v>
      </c>
      <c r="D8" s="119">
        <v>520036872</v>
      </c>
      <c r="E8" s="118" t="s">
        <v>308</v>
      </c>
      <c r="F8" s="118" t="s">
        <v>1301</v>
      </c>
      <c r="G8" s="119" t="s">
        <v>1302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479</v>
      </c>
      <c r="O8" s="118" t="s">
        <v>338</v>
      </c>
      <c r="P8" s="118" t="s">
        <v>1216</v>
      </c>
      <c r="Q8" s="120">
        <v>29</v>
      </c>
      <c r="R8" s="120">
        <v>1</v>
      </c>
      <c r="S8" s="120">
        <v>64400</v>
      </c>
      <c r="T8" s="118"/>
      <c r="U8" s="120">
        <v>18.675999999999998</v>
      </c>
      <c r="V8" s="121">
        <v>0</v>
      </c>
      <c r="W8" s="121">
        <v>6.5754999999999994E-2</v>
      </c>
      <c r="X8" s="121">
        <v>7.8200000000000003E-4</v>
      </c>
    </row>
    <row r="9" spans="1:26" ht="15" customHeight="1">
      <c r="A9" s="119">
        <v>523</v>
      </c>
      <c r="B9" s="119">
        <v>523</v>
      </c>
      <c r="C9" s="118" t="s">
        <v>1303</v>
      </c>
      <c r="D9" s="119">
        <v>520044322</v>
      </c>
      <c r="E9" s="118" t="s">
        <v>308</v>
      </c>
      <c r="F9" s="118" t="s">
        <v>1304</v>
      </c>
      <c r="G9" s="119" t="s">
        <v>1305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453</v>
      </c>
      <c r="O9" s="118" t="s">
        <v>338</v>
      </c>
      <c r="P9" s="118" t="s">
        <v>1216</v>
      </c>
      <c r="Q9" s="120">
        <v>34</v>
      </c>
      <c r="R9" s="120">
        <v>1</v>
      </c>
      <c r="S9" s="120">
        <v>39520</v>
      </c>
      <c r="T9" s="118"/>
      <c r="U9" s="120">
        <v>13.4368</v>
      </c>
      <c r="V9" s="121">
        <v>9.9999999999999995E-7</v>
      </c>
      <c r="W9" s="121">
        <v>4.7308999999999997E-2</v>
      </c>
      <c r="X9" s="121">
        <v>5.62E-4</v>
      </c>
    </row>
    <row r="10" spans="1:26" ht="15" customHeight="1">
      <c r="A10" s="119">
        <v>523</v>
      </c>
      <c r="B10" s="119">
        <v>523</v>
      </c>
      <c r="C10" s="118" t="s">
        <v>1306</v>
      </c>
      <c r="D10" s="119">
        <v>520029083</v>
      </c>
      <c r="E10" s="118" t="s">
        <v>308</v>
      </c>
      <c r="F10" s="118" t="s">
        <v>1307</v>
      </c>
      <c r="G10" s="119" t="s">
        <v>1308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1216</v>
      </c>
      <c r="Q10" s="120">
        <v>143</v>
      </c>
      <c r="R10" s="120">
        <v>1</v>
      </c>
      <c r="S10" s="120">
        <v>14410</v>
      </c>
      <c r="T10" s="118"/>
      <c r="U10" s="120">
        <v>20.606300000000001</v>
      </c>
      <c r="V10" s="121">
        <v>9.9999999999999995E-7</v>
      </c>
      <c r="W10" s="121">
        <v>7.2552000000000005E-2</v>
      </c>
      <c r="X10" s="121">
        <v>8.6200000000000003E-4</v>
      </c>
    </row>
    <row r="11" spans="1:26" ht="15" customHeight="1">
      <c r="A11" s="119">
        <v>523</v>
      </c>
      <c r="B11" s="119">
        <v>523</v>
      </c>
      <c r="C11" s="118" t="s">
        <v>1309</v>
      </c>
      <c r="D11" s="119">
        <v>520037789</v>
      </c>
      <c r="E11" s="118" t="s">
        <v>308</v>
      </c>
      <c r="F11" s="118" t="s">
        <v>1309</v>
      </c>
      <c r="G11" s="119" t="s">
        <v>1310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463</v>
      </c>
      <c r="O11" s="118" t="s">
        <v>338</v>
      </c>
      <c r="P11" s="118" t="s">
        <v>1216</v>
      </c>
      <c r="Q11" s="120">
        <v>62</v>
      </c>
      <c r="R11" s="120">
        <v>1</v>
      </c>
      <c r="S11" s="120">
        <v>24710</v>
      </c>
      <c r="T11" s="118"/>
      <c r="U11" s="120">
        <v>15.3202</v>
      </c>
      <c r="V11" s="121">
        <v>9.9999999999999995E-7</v>
      </c>
      <c r="W11" s="121">
        <v>5.3940000000000002E-2</v>
      </c>
      <c r="X11" s="121">
        <v>6.4099999999999997E-4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I13" workbookViewId="0">
      <selection activeCell="X36" sqref="X3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5" bestFit="1" customWidth="1"/>
    <col min="5" max="5" width="9.625" bestFit="1" customWidth="1"/>
    <col min="6" max="6" width="31.12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10.5" bestFit="1" customWidth="1"/>
    <col min="16" max="16" width="11.875" bestFit="1" customWidth="1"/>
    <col min="17" max="17" width="8.75" bestFit="1" customWidth="1"/>
    <col min="18" max="18" width="11.625" customWidth="1"/>
    <col min="19" max="19" width="8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 t="s">
        <v>1311</v>
      </c>
      <c r="D2" s="119">
        <v>511303661</v>
      </c>
      <c r="E2" s="118" t="s">
        <v>308</v>
      </c>
      <c r="F2" s="118" t="s">
        <v>1312</v>
      </c>
      <c r="G2" s="119" t="s">
        <v>1313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626</v>
      </c>
      <c r="N2" s="118" t="s">
        <v>338</v>
      </c>
      <c r="O2" s="118" t="s">
        <v>1216</v>
      </c>
      <c r="P2" s="120">
        <v>23673</v>
      </c>
      <c r="Q2" s="120">
        <v>1</v>
      </c>
      <c r="R2" s="120">
        <v>382.2</v>
      </c>
      <c r="S2" s="120"/>
      <c r="T2" s="120">
        <v>90.478210000000004</v>
      </c>
      <c r="U2" s="121">
        <v>8.7000000000000001E-4</v>
      </c>
      <c r="V2" s="121">
        <v>4.999E-3</v>
      </c>
      <c r="W2" s="121">
        <v>3.7880000000000001E-3</v>
      </c>
    </row>
    <row r="3" spans="1:26" ht="15" customHeight="1">
      <c r="A3" s="119">
        <v>523</v>
      </c>
      <c r="B3" s="119">
        <v>523</v>
      </c>
      <c r="C3" s="118" t="s">
        <v>1314</v>
      </c>
      <c r="D3" s="119">
        <v>511776783</v>
      </c>
      <c r="E3" s="118" t="s">
        <v>308</v>
      </c>
      <c r="F3" s="118" t="s">
        <v>1315</v>
      </c>
      <c r="G3" s="119" t="s">
        <v>1316</v>
      </c>
      <c r="H3" s="118" t="s">
        <v>320</v>
      </c>
      <c r="I3" s="118" t="s">
        <v>965</v>
      </c>
      <c r="J3" s="118" t="s">
        <v>203</v>
      </c>
      <c r="K3" s="118" t="s">
        <v>203</v>
      </c>
      <c r="L3" s="118" t="s">
        <v>339</v>
      </c>
      <c r="M3" s="133" t="s">
        <v>694</v>
      </c>
      <c r="N3" s="118" t="s">
        <v>338</v>
      </c>
      <c r="O3" s="118" t="s">
        <v>1216</v>
      </c>
      <c r="P3" s="120">
        <v>52922</v>
      </c>
      <c r="Q3" s="120">
        <v>1</v>
      </c>
      <c r="R3" s="120">
        <v>141.80000000000001</v>
      </c>
      <c r="S3" s="120"/>
      <c r="T3" s="120">
        <v>75.043400000000005</v>
      </c>
      <c r="U3" s="121">
        <v>8.7999999999999998E-5</v>
      </c>
      <c r="V3" s="121">
        <v>4.1460000000000004E-3</v>
      </c>
      <c r="W3" s="121">
        <v>3.1419999999999998E-3</v>
      </c>
    </row>
    <row r="4" spans="1:26" ht="15" customHeight="1">
      <c r="A4" s="119">
        <v>523</v>
      </c>
      <c r="B4" s="119">
        <v>523</v>
      </c>
      <c r="C4" s="118" t="s">
        <v>1317</v>
      </c>
      <c r="D4" s="119">
        <v>514884485</v>
      </c>
      <c r="E4" s="118" t="s">
        <v>308</v>
      </c>
      <c r="F4" s="118" t="s">
        <v>1318</v>
      </c>
      <c r="G4" s="119" t="s">
        <v>1319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576</v>
      </c>
      <c r="N4" s="118" t="s">
        <v>338</v>
      </c>
      <c r="O4" s="118" t="s">
        <v>1216</v>
      </c>
      <c r="P4" s="120">
        <v>8362</v>
      </c>
      <c r="Q4" s="120">
        <v>1</v>
      </c>
      <c r="R4" s="120">
        <v>4959</v>
      </c>
      <c r="S4" s="120"/>
      <c r="T4" s="120">
        <v>414.67158000000001</v>
      </c>
      <c r="U4" s="121">
        <v>8.1099999999999998E-4</v>
      </c>
      <c r="V4" s="121">
        <v>2.2911000000000001E-2</v>
      </c>
      <c r="W4" s="121">
        <v>1.7364000000000001E-2</v>
      </c>
    </row>
    <row r="5" spans="1:26" ht="15" customHeight="1">
      <c r="A5" s="119">
        <v>523</v>
      </c>
      <c r="B5" s="119">
        <v>523</v>
      </c>
      <c r="C5" s="118" t="s">
        <v>1320</v>
      </c>
      <c r="D5" s="119">
        <v>513534974</v>
      </c>
      <c r="E5" s="118" t="s">
        <v>308</v>
      </c>
      <c r="F5" s="118" t="s">
        <v>1321</v>
      </c>
      <c r="G5" s="119" t="s">
        <v>1322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575</v>
      </c>
      <c r="N5" s="118" t="s">
        <v>338</v>
      </c>
      <c r="O5" s="118" t="s">
        <v>1216</v>
      </c>
      <c r="P5" s="120">
        <v>55535</v>
      </c>
      <c r="Q5" s="120">
        <v>1</v>
      </c>
      <c r="R5" s="120">
        <v>356.58</v>
      </c>
      <c r="S5" s="120"/>
      <c r="T5" s="120">
        <v>198.02670000000001</v>
      </c>
      <c r="U5" s="121">
        <v>4.0000000000000003E-5</v>
      </c>
      <c r="V5" s="121">
        <v>1.0940999999999999E-2</v>
      </c>
      <c r="W5" s="121">
        <v>8.2920000000000008E-3</v>
      </c>
    </row>
    <row r="6" spans="1:26" ht="15" customHeight="1">
      <c r="A6" s="119">
        <v>523</v>
      </c>
      <c r="B6" s="119">
        <v>523</v>
      </c>
      <c r="C6" s="118" t="s">
        <v>1323</v>
      </c>
      <c r="D6" s="119">
        <v>510938608</v>
      </c>
      <c r="E6" s="118" t="s">
        <v>308</v>
      </c>
      <c r="F6" s="118" t="s">
        <v>1324</v>
      </c>
      <c r="G6" s="119" t="s">
        <v>1325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626</v>
      </c>
      <c r="N6" s="118" t="s">
        <v>338</v>
      </c>
      <c r="O6" s="118" t="s">
        <v>1216</v>
      </c>
      <c r="P6" s="120">
        <v>21092</v>
      </c>
      <c r="Q6" s="120">
        <v>1</v>
      </c>
      <c r="R6" s="120">
        <v>3670.29</v>
      </c>
      <c r="S6" s="120"/>
      <c r="T6" s="120">
        <v>774.13756999999998</v>
      </c>
      <c r="U6" s="121">
        <v>2.0460000000000001E-3</v>
      </c>
      <c r="V6" s="121">
        <v>4.2772999999999999E-2</v>
      </c>
      <c r="W6" s="121">
        <v>3.2416E-2</v>
      </c>
    </row>
    <row r="7" spans="1:26" ht="15" customHeight="1">
      <c r="A7" s="119">
        <v>523</v>
      </c>
      <c r="B7" s="119">
        <v>523</v>
      </c>
      <c r="C7" s="118" t="s">
        <v>1320</v>
      </c>
      <c r="D7" s="119">
        <v>513534974</v>
      </c>
      <c r="E7" s="118" t="s">
        <v>308</v>
      </c>
      <c r="F7" s="118" t="s">
        <v>1326</v>
      </c>
      <c r="G7" s="119" t="s">
        <v>1327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2" t="s">
        <v>571</v>
      </c>
      <c r="N7" s="118" t="s">
        <v>338</v>
      </c>
      <c r="O7" s="118" t="s">
        <v>1216</v>
      </c>
      <c r="P7" s="120">
        <v>29116</v>
      </c>
      <c r="Q7" s="120">
        <v>1</v>
      </c>
      <c r="R7" s="120">
        <v>1926</v>
      </c>
      <c r="S7" s="120"/>
      <c r="T7" s="120">
        <v>560.77416000000005</v>
      </c>
      <c r="U7" s="121">
        <v>6.6000000000000005E-5</v>
      </c>
      <c r="V7" s="121">
        <v>3.0984000000000001E-2</v>
      </c>
      <c r="W7" s="121">
        <v>2.3481999999999999E-2</v>
      </c>
    </row>
    <row r="8" spans="1:26" ht="15" customHeight="1">
      <c r="A8" s="119">
        <v>523</v>
      </c>
      <c r="B8" s="119">
        <v>523</v>
      </c>
      <c r="C8" s="118" t="s">
        <v>1314</v>
      </c>
      <c r="D8" s="119">
        <v>511776783</v>
      </c>
      <c r="E8" s="118" t="s">
        <v>308</v>
      </c>
      <c r="F8" s="118" t="s">
        <v>1328</v>
      </c>
      <c r="G8" s="119" t="s">
        <v>1329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574</v>
      </c>
      <c r="N8" s="118" t="s">
        <v>338</v>
      </c>
      <c r="O8" s="118" t="s">
        <v>1216</v>
      </c>
      <c r="P8" s="120">
        <v>311283</v>
      </c>
      <c r="Q8" s="120">
        <v>1</v>
      </c>
      <c r="R8" s="120">
        <v>347.85</v>
      </c>
      <c r="S8" s="120"/>
      <c r="T8" s="120">
        <v>1082.79792</v>
      </c>
      <c r="U8" s="121">
        <v>2.1480000000000002E-3</v>
      </c>
      <c r="V8" s="121">
        <v>5.9826999999999998E-2</v>
      </c>
      <c r="W8" s="121">
        <v>4.5340999999999999E-2</v>
      </c>
    </row>
    <row r="9" spans="1:26" ht="15" customHeight="1">
      <c r="A9" s="119">
        <v>523</v>
      </c>
      <c r="B9" s="119">
        <v>523</v>
      </c>
      <c r="C9" s="118" t="s">
        <v>1330</v>
      </c>
      <c r="D9" s="119">
        <v>513765339</v>
      </c>
      <c r="E9" s="118" t="s">
        <v>308</v>
      </c>
      <c r="F9" s="118" t="s">
        <v>1331</v>
      </c>
      <c r="G9" s="119" t="s">
        <v>1332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1216</v>
      </c>
      <c r="P9" s="120">
        <v>1062</v>
      </c>
      <c r="Q9" s="120">
        <v>1</v>
      </c>
      <c r="R9" s="120">
        <v>348.38</v>
      </c>
      <c r="S9" s="120"/>
      <c r="T9" s="120">
        <v>3.6998000000000002</v>
      </c>
      <c r="U9" s="121">
        <v>9.9999999999999995E-7</v>
      </c>
      <c r="V9" s="121">
        <v>2.04E-4</v>
      </c>
      <c r="W9" s="121">
        <v>1.54E-4</v>
      </c>
    </row>
    <row r="10" spans="1:26" ht="15" customHeight="1">
      <c r="A10" s="119">
        <v>523</v>
      </c>
      <c r="B10" s="119">
        <v>523</v>
      </c>
      <c r="C10" s="118" t="s">
        <v>1320</v>
      </c>
      <c r="D10" s="119">
        <v>513534974</v>
      </c>
      <c r="E10" s="118" t="s">
        <v>308</v>
      </c>
      <c r="F10" s="118" t="s">
        <v>1333</v>
      </c>
      <c r="G10" s="119" t="s">
        <v>1334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631</v>
      </c>
      <c r="N10" s="118" t="s">
        <v>338</v>
      </c>
      <c r="O10" s="118" t="s">
        <v>1216</v>
      </c>
      <c r="P10" s="120">
        <v>10445</v>
      </c>
      <c r="Q10" s="120">
        <v>1</v>
      </c>
      <c r="R10" s="120">
        <v>384.65</v>
      </c>
      <c r="S10" s="120"/>
      <c r="T10" s="120">
        <v>40.176690000000001</v>
      </c>
      <c r="U10" s="121">
        <v>1.4E-5</v>
      </c>
      <c r="V10" s="121">
        <v>2.2190000000000001E-3</v>
      </c>
      <c r="W10" s="121">
        <v>1.6819999999999999E-3</v>
      </c>
    </row>
    <row r="11" spans="1:26" ht="15" customHeight="1">
      <c r="A11" s="119">
        <v>523</v>
      </c>
      <c r="B11" s="119">
        <v>523</v>
      </c>
      <c r="C11" s="118" t="s">
        <v>1323</v>
      </c>
      <c r="D11" s="119">
        <v>510938608</v>
      </c>
      <c r="E11" s="118" t="s">
        <v>308</v>
      </c>
      <c r="F11" s="118" t="s">
        <v>1335</v>
      </c>
      <c r="G11" s="119" t="s">
        <v>1336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2" t="s">
        <v>571</v>
      </c>
      <c r="N11" s="118" t="s">
        <v>338</v>
      </c>
      <c r="O11" s="118" t="s">
        <v>1216</v>
      </c>
      <c r="P11" s="120">
        <v>1264</v>
      </c>
      <c r="Q11" s="120">
        <v>1</v>
      </c>
      <c r="R11" s="120">
        <v>19140</v>
      </c>
      <c r="S11" s="120"/>
      <c r="T11" s="120">
        <v>241.92959999999999</v>
      </c>
      <c r="U11" s="121">
        <v>3.4999999999999997E-5</v>
      </c>
      <c r="V11" s="121">
        <v>1.3367E-2</v>
      </c>
      <c r="W11" s="121">
        <v>1.013E-2</v>
      </c>
    </row>
    <row r="12" spans="1:26" ht="15" customHeight="1">
      <c r="A12" s="119">
        <v>523</v>
      </c>
      <c r="B12" s="119">
        <v>523</v>
      </c>
      <c r="C12" s="118" t="s">
        <v>1320</v>
      </c>
      <c r="D12" s="119">
        <v>513534974</v>
      </c>
      <c r="E12" s="118" t="s">
        <v>308</v>
      </c>
      <c r="F12" s="118" t="s">
        <v>1337</v>
      </c>
      <c r="G12" s="119" t="s">
        <v>1338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574</v>
      </c>
      <c r="N12" s="118" t="s">
        <v>338</v>
      </c>
      <c r="O12" s="118" t="s">
        <v>1216</v>
      </c>
      <c r="P12" s="120">
        <v>2541</v>
      </c>
      <c r="Q12" s="120">
        <v>1</v>
      </c>
      <c r="R12" s="120">
        <v>347.61</v>
      </c>
      <c r="S12" s="120"/>
      <c r="T12" s="120">
        <v>8.83277</v>
      </c>
      <c r="U12" s="121">
        <v>3.9999999999999998E-6</v>
      </c>
      <c r="V12" s="121">
        <v>4.8799999999999999E-4</v>
      </c>
      <c r="W12" s="121">
        <v>3.6900000000000002E-4</v>
      </c>
    </row>
    <row r="13" spans="1:26" ht="15" customHeight="1">
      <c r="A13" s="119">
        <v>523</v>
      </c>
      <c r="B13" s="119">
        <v>523</v>
      </c>
      <c r="C13" s="118" t="s">
        <v>1311</v>
      </c>
      <c r="D13" s="119">
        <v>511303661</v>
      </c>
      <c r="E13" s="118" t="s">
        <v>308</v>
      </c>
      <c r="F13" s="118" t="s">
        <v>1339</v>
      </c>
      <c r="G13" s="119" t="s">
        <v>1340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573</v>
      </c>
      <c r="N13" s="118" t="s">
        <v>338</v>
      </c>
      <c r="O13" s="118" t="s">
        <v>1216</v>
      </c>
      <c r="P13" s="120">
        <v>23378</v>
      </c>
      <c r="Q13" s="120">
        <v>1</v>
      </c>
      <c r="R13" s="120">
        <v>2671</v>
      </c>
      <c r="S13" s="120"/>
      <c r="T13" s="120">
        <v>624.42637999999999</v>
      </c>
      <c r="U13" s="121">
        <v>3.3300000000000002E-4</v>
      </c>
      <c r="V13" s="121">
        <v>3.4500999999999997E-2</v>
      </c>
      <c r="W13" s="121">
        <v>2.6147E-2</v>
      </c>
    </row>
    <row r="14" spans="1:26" ht="15" customHeight="1">
      <c r="A14" s="119">
        <v>523</v>
      </c>
      <c r="B14" s="119">
        <v>523</v>
      </c>
      <c r="C14" s="118" t="s">
        <v>1320</v>
      </c>
      <c r="D14" s="119">
        <v>513534974</v>
      </c>
      <c r="E14" s="118" t="s">
        <v>308</v>
      </c>
      <c r="F14" s="118" t="s">
        <v>1341</v>
      </c>
      <c r="G14" s="119" t="s">
        <v>1342</v>
      </c>
      <c r="H14" s="118" t="s">
        <v>320</v>
      </c>
      <c r="I14" s="118" t="s">
        <v>965</v>
      </c>
      <c r="J14" s="118" t="s">
        <v>203</v>
      </c>
      <c r="K14" s="118" t="s">
        <v>203</v>
      </c>
      <c r="L14" s="118" t="s">
        <v>339</v>
      </c>
      <c r="M14" s="130" t="s">
        <v>573</v>
      </c>
      <c r="N14" s="118" t="s">
        <v>338</v>
      </c>
      <c r="O14" s="118" t="s">
        <v>1216</v>
      </c>
      <c r="P14" s="120">
        <v>15454</v>
      </c>
      <c r="Q14" s="120">
        <v>1</v>
      </c>
      <c r="R14" s="120">
        <v>1960</v>
      </c>
      <c r="S14" s="120"/>
      <c r="T14" s="120">
        <v>302.89839999999998</v>
      </c>
      <c r="U14" s="121">
        <v>6.0000000000000002E-5</v>
      </c>
      <c r="V14" s="121">
        <v>1.6735E-2</v>
      </c>
      <c r="W14" s="121">
        <v>1.2683E-2</v>
      </c>
    </row>
    <row r="15" spans="1:26" ht="15" customHeight="1">
      <c r="A15" s="119">
        <v>523</v>
      </c>
      <c r="B15" s="119">
        <v>523</v>
      </c>
      <c r="C15" s="118" t="s">
        <v>1323</v>
      </c>
      <c r="D15" s="119">
        <v>510938608</v>
      </c>
      <c r="E15" s="118" t="s">
        <v>308</v>
      </c>
      <c r="F15" s="118" t="s">
        <v>1343</v>
      </c>
      <c r="G15" s="119" t="s">
        <v>1344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575</v>
      </c>
      <c r="N15" s="118" t="s">
        <v>338</v>
      </c>
      <c r="O15" s="118" t="s">
        <v>1216</v>
      </c>
      <c r="P15" s="120">
        <v>25821</v>
      </c>
      <c r="Q15" s="120">
        <v>1</v>
      </c>
      <c r="R15" s="120">
        <v>3548.09</v>
      </c>
      <c r="S15" s="120"/>
      <c r="T15" s="120">
        <v>916.15232000000003</v>
      </c>
      <c r="U15" s="121">
        <v>1.84E-4</v>
      </c>
      <c r="V15" s="121">
        <v>5.0618999999999997E-2</v>
      </c>
      <c r="W15" s="121">
        <v>3.8363000000000001E-2</v>
      </c>
    </row>
    <row r="16" spans="1:26" ht="15" customHeight="1">
      <c r="A16" s="119">
        <v>523</v>
      </c>
      <c r="B16" s="119">
        <v>523</v>
      </c>
      <c r="C16" s="118" t="s">
        <v>1323</v>
      </c>
      <c r="D16" s="119">
        <v>510938608</v>
      </c>
      <c r="E16" s="118" t="s">
        <v>308</v>
      </c>
      <c r="F16" s="118" t="s">
        <v>1345</v>
      </c>
      <c r="G16" s="119" t="s">
        <v>1346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574</v>
      </c>
      <c r="N16" s="118" t="s">
        <v>338</v>
      </c>
      <c r="O16" s="118" t="s">
        <v>1216</v>
      </c>
      <c r="P16" s="120">
        <v>7655</v>
      </c>
      <c r="Q16" s="120">
        <v>1</v>
      </c>
      <c r="R16" s="120">
        <v>3455.48</v>
      </c>
      <c r="S16" s="120"/>
      <c r="T16" s="120">
        <v>264.51699000000002</v>
      </c>
      <c r="U16" s="121">
        <v>3.4699999999999998E-4</v>
      </c>
      <c r="V16" s="121">
        <v>1.4615E-2</v>
      </c>
      <c r="W16" s="121">
        <v>1.1076000000000001E-2</v>
      </c>
    </row>
    <row r="17" spans="1:25" ht="15" customHeight="1">
      <c r="A17" s="119">
        <v>523</v>
      </c>
      <c r="B17" s="119">
        <v>523</v>
      </c>
      <c r="C17" s="118" t="s">
        <v>1323</v>
      </c>
      <c r="D17" s="119">
        <v>510938608</v>
      </c>
      <c r="E17" s="118" t="s">
        <v>308</v>
      </c>
      <c r="F17" s="118" t="s">
        <v>1347</v>
      </c>
      <c r="G17" s="119" t="s">
        <v>1348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573</v>
      </c>
      <c r="N17" s="118" t="s">
        <v>338</v>
      </c>
      <c r="O17" s="118" t="s">
        <v>1216</v>
      </c>
      <c r="P17" s="120">
        <v>1749.23</v>
      </c>
      <c r="Q17" s="120">
        <v>1</v>
      </c>
      <c r="R17" s="120">
        <v>19470</v>
      </c>
      <c r="S17" s="120"/>
      <c r="T17" s="120">
        <v>340.57508000000001</v>
      </c>
      <c r="U17" s="121">
        <v>5.3999999999999998E-5</v>
      </c>
      <c r="V17" s="121">
        <v>1.8817E-2</v>
      </c>
      <c r="W17" s="121">
        <v>1.4260999999999999E-2</v>
      </c>
    </row>
    <row r="18" spans="1:25" ht="15" customHeight="1">
      <c r="A18" s="119">
        <v>523</v>
      </c>
      <c r="B18" s="119">
        <v>523</v>
      </c>
      <c r="C18" s="118" t="s">
        <v>1330</v>
      </c>
      <c r="D18" s="119">
        <v>513765339</v>
      </c>
      <c r="E18" s="118" t="s">
        <v>308</v>
      </c>
      <c r="F18" s="118" t="s">
        <v>1349</v>
      </c>
      <c r="G18" s="119" t="s">
        <v>1350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575</v>
      </c>
      <c r="N18" s="118" t="s">
        <v>338</v>
      </c>
      <c r="O18" s="118" t="s">
        <v>1216</v>
      </c>
      <c r="P18" s="120">
        <v>369066.76</v>
      </c>
      <c r="Q18" s="120">
        <v>1</v>
      </c>
      <c r="R18" s="120">
        <v>357.8</v>
      </c>
      <c r="S18" s="120"/>
      <c r="T18" s="120">
        <v>1320.5208700000001</v>
      </c>
      <c r="U18" s="121">
        <v>2.6800000000000001E-4</v>
      </c>
      <c r="V18" s="121">
        <v>7.2961999999999999E-2</v>
      </c>
      <c r="W18" s="121">
        <v>5.5295999999999998E-2</v>
      </c>
    </row>
    <row r="19" spans="1:25" ht="15" customHeight="1">
      <c r="A19" s="119">
        <v>523</v>
      </c>
      <c r="B19" s="119">
        <v>523</v>
      </c>
      <c r="C19" s="118" t="s">
        <v>1330</v>
      </c>
      <c r="D19" s="119">
        <v>513765339</v>
      </c>
      <c r="E19" s="118" t="s">
        <v>308</v>
      </c>
      <c r="F19" s="118" t="s">
        <v>1351</v>
      </c>
      <c r="G19" s="119" t="s">
        <v>1352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2" t="s">
        <v>571</v>
      </c>
      <c r="N19" s="118" t="s">
        <v>338</v>
      </c>
      <c r="O19" s="118" t="s">
        <v>1216</v>
      </c>
      <c r="P19" s="120">
        <v>13599</v>
      </c>
      <c r="Q19" s="120">
        <v>1</v>
      </c>
      <c r="R19" s="120">
        <v>1915</v>
      </c>
      <c r="S19" s="120"/>
      <c r="T19" s="120">
        <v>260.42084999999997</v>
      </c>
      <c r="U19" s="121">
        <v>3.3000000000000003E-5</v>
      </c>
      <c r="V19" s="121">
        <v>1.4388E-2</v>
      </c>
      <c r="W19" s="121">
        <v>1.0905E-2</v>
      </c>
    </row>
    <row r="20" spans="1:25" ht="15" customHeight="1">
      <c r="A20" s="119">
        <v>523</v>
      </c>
      <c r="B20" s="119">
        <v>523</v>
      </c>
      <c r="C20" s="118" t="s">
        <v>1317</v>
      </c>
      <c r="D20" s="119">
        <v>514884485</v>
      </c>
      <c r="E20" s="118" t="s">
        <v>308</v>
      </c>
      <c r="F20" s="118" t="s">
        <v>1353</v>
      </c>
      <c r="G20" s="119" t="s">
        <v>1354</v>
      </c>
      <c r="H20" s="118" t="s">
        <v>320</v>
      </c>
      <c r="I20" s="118" t="s">
        <v>965</v>
      </c>
      <c r="J20" s="118" t="s">
        <v>203</v>
      </c>
      <c r="K20" s="118" t="s">
        <v>203</v>
      </c>
      <c r="L20" s="118" t="s">
        <v>339</v>
      </c>
      <c r="M20" s="130" t="s">
        <v>573</v>
      </c>
      <c r="N20" s="118" t="s">
        <v>338</v>
      </c>
      <c r="O20" s="118" t="s">
        <v>1216</v>
      </c>
      <c r="P20" s="120">
        <v>2130</v>
      </c>
      <c r="Q20" s="120">
        <v>1</v>
      </c>
      <c r="R20" s="120">
        <v>5622</v>
      </c>
      <c r="S20" s="120"/>
      <c r="T20" s="120">
        <v>119.7486</v>
      </c>
      <c r="U20" s="121">
        <v>3.0400000000000002E-4</v>
      </c>
      <c r="V20" s="121">
        <v>6.6160000000000004E-3</v>
      </c>
      <c r="W20" s="121">
        <v>5.0140000000000002E-3</v>
      </c>
    </row>
    <row r="21" spans="1:25" ht="15" customHeight="1">
      <c r="A21" s="119">
        <v>523</v>
      </c>
      <c r="B21" s="119">
        <v>523</v>
      </c>
      <c r="C21" s="118" t="s">
        <v>1314</v>
      </c>
      <c r="D21" s="119">
        <v>511776783</v>
      </c>
      <c r="E21" s="118" t="s">
        <v>308</v>
      </c>
      <c r="F21" s="118" t="s">
        <v>1355</v>
      </c>
      <c r="G21" s="119" t="s">
        <v>1356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575</v>
      </c>
      <c r="N21" s="118" t="s">
        <v>338</v>
      </c>
      <c r="O21" s="118" t="s">
        <v>1216</v>
      </c>
      <c r="P21" s="120">
        <v>171978</v>
      </c>
      <c r="Q21" s="120">
        <v>1</v>
      </c>
      <c r="R21" s="120">
        <v>355.84</v>
      </c>
      <c r="S21" s="120"/>
      <c r="T21" s="120">
        <v>611.96651999999995</v>
      </c>
      <c r="U21" s="121">
        <v>5.5599999999999996E-4</v>
      </c>
      <c r="V21" s="121">
        <v>3.3812000000000002E-2</v>
      </c>
      <c r="W21" s="121">
        <v>2.5624999999999998E-2</v>
      </c>
    </row>
    <row r="22" spans="1:25" ht="15" customHeight="1">
      <c r="A22" s="119">
        <v>523</v>
      </c>
      <c r="B22" s="119">
        <v>523</v>
      </c>
      <c r="C22" s="118" t="s">
        <v>1323</v>
      </c>
      <c r="D22" s="119">
        <v>510938608</v>
      </c>
      <c r="E22" s="118" t="s">
        <v>308</v>
      </c>
      <c r="F22" s="118" t="s">
        <v>1357</v>
      </c>
      <c r="G22" s="119" t="s">
        <v>1358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576</v>
      </c>
      <c r="N22" s="118" t="s">
        <v>338</v>
      </c>
      <c r="O22" s="118" t="s">
        <v>1216</v>
      </c>
      <c r="P22" s="120">
        <v>113</v>
      </c>
      <c r="Q22" s="120">
        <v>1</v>
      </c>
      <c r="R22" s="120">
        <v>17150</v>
      </c>
      <c r="S22" s="120"/>
      <c r="T22" s="120">
        <v>19.3795</v>
      </c>
      <c r="U22" s="121">
        <v>3.0000000000000001E-6</v>
      </c>
      <c r="V22" s="121">
        <v>1.07E-3</v>
      </c>
      <c r="W22" s="121">
        <v>8.1099999999999998E-4</v>
      </c>
    </row>
    <row r="23" spans="1:25" ht="15" customHeight="1">
      <c r="A23" s="119">
        <v>523</v>
      </c>
      <c r="B23" s="119">
        <v>523</v>
      </c>
      <c r="C23" s="118" t="s">
        <v>1314</v>
      </c>
      <c r="D23" s="119">
        <v>511776783</v>
      </c>
      <c r="E23" s="118" t="s">
        <v>308</v>
      </c>
      <c r="F23" s="118" t="s">
        <v>1359</v>
      </c>
      <c r="G23" s="119" t="s">
        <v>1360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631</v>
      </c>
      <c r="N23" s="118" t="s">
        <v>338</v>
      </c>
      <c r="O23" s="118" t="s">
        <v>1216</v>
      </c>
      <c r="P23" s="120">
        <v>1320</v>
      </c>
      <c r="Q23" s="120">
        <v>1</v>
      </c>
      <c r="R23" s="120">
        <v>383.33</v>
      </c>
      <c r="S23" s="120"/>
      <c r="T23" s="120">
        <v>5.0599600000000002</v>
      </c>
      <c r="U23" s="121">
        <v>3.9999999999999998E-6</v>
      </c>
      <c r="V23" s="121">
        <v>2.7900000000000001E-4</v>
      </c>
      <c r="W23" s="121">
        <v>2.1100000000000001E-4</v>
      </c>
    </row>
    <row r="24" spans="1:25" ht="15" customHeight="1">
      <c r="A24" s="119">
        <v>523</v>
      </c>
      <c r="B24" s="119">
        <v>523</v>
      </c>
      <c r="C24" s="118" t="s">
        <v>1361</v>
      </c>
      <c r="D24" s="119" t="s">
        <v>1362</v>
      </c>
      <c r="E24" s="118" t="s">
        <v>312</v>
      </c>
      <c r="F24" s="118" t="s">
        <v>1363</v>
      </c>
      <c r="G24" s="119" t="s">
        <v>1364</v>
      </c>
      <c r="H24" s="118" t="s">
        <v>320</v>
      </c>
      <c r="I24" s="118" t="s">
        <v>966</v>
      </c>
      <c r="J24" s="118" t="s">
        <v>204</v>
      </c>
      <c r="K24" s="118" t="s">
        <v>232</v>
      </c>
      <c r="L24" s="118" t="s">
        <v>379</v>
      </c>
      <c r="M24" s="130" t="s">
        <v>734</v>
      </c>
      <c r="N24" s="118" t="s">
        <v>338</v>
      </c>
      <c r="O24" s="118" t="s">
        <v>1218</v>
      </c>
      <c r="P24" s="120">
        <v>2298</v>
      </c>
      <c r="Q24" s="120">
        <v>4.7504999999999997</v>
      </c>
      <c r="R24" s="120">
        <v>1393.2</v>
      </c>
      <c r="S24" s="120"/>
      <c r="T24" s="120">
        <v>152.09075000000001</v>
      </c>
      <c r="U24" s="121">
        <v>5.3000000000000001E-5</v>
      </c>
      <c r="V24" s="121">
        <v>8.4030000000000007E-3</v>
      </c>
      <c r="W24" s="121">
        <v>6.3680000000000004E-3</v>
      </c>
      <c r="X24" s="134"/>
      <c r="Y24" s="134"/>
    </row>
    <row r="25" spans="1:25" ht="15" customHeight="1">
      <c r="A25" s="119">
        <v>523</v>
      </c>
      <c r="B25" s="119">
        <v>523</v>
      </c>
      <c r="C25" s="118" t="s">
        <v>1365</v>
      </c>
      <c r="D25" s="119" t="s">
        <v>1366</v>
      </c>
      <c r="E25" s="118" t="s">
        <v>312</v>
      </c>
      <c r="F25" s="118" t="s">
        <v>1367</v>
      </c>
      <c r="G25" s="119" t="s">
        <v>1368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1212</v>
      </c>
      <c r="P25" s="120">
        <v>6030</v>
      </c>
      <c r="Q25" s="120">
        <v>3.7589999999999999</v>
      </c>
      <c r="R25" s="120">
        <v>3558.75</v>
      </c>
      <c r="S25" s="120"/>
      <c r="T25" s="120">
        <v>806.65368000000001</v>
      </c>
      <c r="U25" s="121">
        <v>2.1999999999999999E-5</v>
      </c>
      <c r="V25" s="121">
        <v>4.4568999999999998E-2</v>
      </c>
      <c r="W25" s="121">
        <v>3.3778000000000002E-2</v>
      </c>
      <c r="X25" s="134"/>
      <c r="Y25" s="134"/>
    </row>
    <row r="26" spans="1:25" ht="15" customHeight="1">
      <c r="A26" s="119">
        <v>523</v>
      </c>
      <c r="B26" s="119">
        <v>523</v>
      </c>
      <c r="C26" s="118" t="s">
        <v>1369</v>
      </c>
      <c r="D26" s="119" t="s">
        <v>1370</v>
      </c>
      <c r="E26" s="118" t="s">
        <v>312</v>
      </c>
      <c r="F26" s="118" t="s">
        <v>1371</v>
      </c>
      <c r="G26" s="119" t="s">
        <v>1372</v>
      </c>
      <c r="H26" s="118" t="s">
        <v>320</v>
      </c>
      <c r="I26" s="118" t="s">
        <v>966</v>
      </c>
      <c r="J26" s="118" t="s">
        <v>204</v>
      </c>
      <c r="K26" s="118" t="s">
        <v>292</v>
      </c>
      <c r="L26" s="118" t="s">
        <v>313</v>
      </c>
      <c r="M26" s="130" t="s">
        <v>734</v>
      </c>
      <c r="N26" s="118" t="s">
        <v>338</v>
      </c>
      <c r="O26" s="118" t="s">
        <v>1221</v>
      </c>
      <c r="P26" s="120">
        <v>3070</v>
      </c>
      <c r="Q26" s="120">
        <v>4.0202</v>
      </c>
      <c r="R26" s="120">
        <v>3646.5</v>
      </c>
      <c r="S26" s="120"/>
      <c r="T26" s="120">
        <v>450.05153999999999</v>
      </c>
      <c r="U26" s="121">
        <v>1.825E-3</v>
      </c>
      <c r="V26" s="121">
        <v>2.4865999999999999E-2</v>
      </c>
      <c r="W26" s="121">
        <v>1.8845000000000001E-2</v>
      </c>
      <c r="X26" s="134"/>
      <c r="Y26" s="134"/>
    </row>
    <row r="27" spans="1:25" ht="15" customHeight="1">
      <c r="A27" s="119">
        <v>523</v>
      </c>
      <c r="B27" s="119">
        <v>523</v>
      </c>
      <c r="C27" s="118" t="s">
        <v>1373</v>
      </c>
      <c r="D27" s="119" t="s">
        <v>1374</v>
      </c>
      <c r="E27" s="118" t="s">
        <v>312</v>
      </c>
      <c r="F27" s="118" t="s">
        <v>1375</v>
      </c>
      <c r="G27" s="119" t="s">
        <v>1376</v>
      </c>
      <c r="H27" s="118" t="s">
        <v>320</v>
      </c>
      <c r="I27" s="118" t="s">
        <v>966</v>
      </c>
      <c r="J27" s="118" t="s">
        <v>204</v>
      </c>
      <c r="K27" s="118" t="s">
        <v>288</v>
      </c>
      <c r="L27" s="118" t="s">
        <v>379</v>
      </c>
      <c r="M27" s="130" t="s">
        <v>734</v>
      </c>
      <c r="N27" s="118" t="s">
        <v>338</v>
      </c>
      <c r="O27" s="118" t="s">
        <v>1212</v>
      </c>
      <c r="P27" s="120">
        <v>6770</v>
      </c>
      <c r="Q27" s="120">
        <v>3.7589999999999999</v>
      </c>
      <c r="R27" s="120">
        <v>3727</v>
      </c>
      <c r="S27" s="120"/>
      <c r="T27" s="120">
        <v>948.46298999999999</v>
      </c>
      <c r="U27" s="121">
        <v>3.4999999999999997E-5</v>
      </c>
      <c r="V27" s="121">
        <v>5.2405E-2</v>
      </c>
      <c r="W27" s="121">
        <v>3.9716000000000001E-2</v>
      </c>
      <c r="X27" s="134"/>
      <c r="Y27" s="134"/>
    </row>
    <row r="28" spans="1:25" ht="15" customHeight="1">
      <c r="A28" s="119">
        <v>523</v>
      </c>
      <c r="B28" s="119">
        <v>523</v>
      </c>
      <c r="C28" s="118" t="s">
        <v>1361</v>
      </c>
      <c r="D28" s="119" t="s">
        <v>1362</v>
      </c>
      <c r="E28" s="118" t="s">
        <v>312</v>
      </c>
      <c r="F28" s="118" t="s">
        <v>1377</v>
      </c>
      <c r="G28" s="119" t="s">
        <v>1378</v>
      </c>
      <c r="H28" s="118" t="s">
        <v>320</v>
      </c>
      <c r="I28" s="118" t="s">
        <v>966</v>
      </c>
      <c r="J28" s="118" t="s">
        <v>204</v>
      </c>
      <c r="K28" s="118" t="s">
        <v>295</v>
      </c>
      <c r="L28" s="118" t="s">
        <v>363</v>
      </c>
      <c r="M28" s="130" t="s">
        <v>734</v>
      </c>
      <c r="N28" s="118" t="s">
        <v>338</v>
      </c>
      <c r="O28" s="118" t="s">
        <v>1212</v>
      </c>
      <c r="P28" s="120">
        <v>49257</v>
      </c>
      <c r="Q28" s="120">
        <v>3.7589999999999999</v>
      </c>
      <c r="R28" s="120">
        <v>539.11</v>
      </c>
      <c r="S28" s="120"/>
      <c r="T28" s="120">
        <v>998.20024000000001</v>
      </c>
      <c r="U28" s="121">
        <v>2.9100000000000003E-4</v>
      </c>
      <c r="V28" s="121">
        <v>5.5153000000000001E-2</v>
      </c>
      <c r="W28" s="121">
        <v>4.1799000000000003E-2</v>
      </c>
      <c r="X28" s="134"/>
      <c r="Y28" s="134"/>
    </row>
    <row r="29" spans="1:25" ht="15" customHeight="1">
      <c r="A29" s="119">
        <v>523</v>
      </c>
      <c r="B29" s="119">
        <v>523</v>
      </c>
      <c r="C29" s="118" t="s">
        <v>1379</v>
      </c>
      <c r="D29" s="119" t="s">
        <v>1380</v>
      </c>
      <c r="E29" s="118" t="s">
        <v>312</v>
      </c>
      <c r="F29" s="118" t="s">
        <v>1381</v>
      </c>
      <c r="G29" s="119" t="s">
        <v>1382</v>
      </c>
      <c r="H29" s="118" t="s">
        <v>320</v>
      </c>
      <c r="I29" s="118" t="s">
        <v>966</v>
      </c>
      <c r="J29" s="118" t="s">
        <v>204</v>
      </c>
      <c r="K29" s="118" t="s">
        <v>223</v>
      </c>
      <c r="L29" s="118" t="s">
        <v>343</v>
      </c>
      <c r="M29" s="130" t="s">
        <v>734</v>
      </c>
      <c r="N29" s="118" t="s">
        <v>338</v>
      </c>
      <c r="O29" s="118" t="s">
        <v>1212</v>
      </c>
      <c r="P29" s="120">
        <v>965</v>
      </c>
      <c r="Q29" s="120">
        <v>3.7589999999999999</v>
      </c>
      <c r="R29" s="120">
        <v>54723</v>
      </c>
      <c r="S29" s="120"/>
      <c r="T29" s="120">
        <v>1985.04126</v>
      </c>
      <c r="U29" s="121">
        <v>9.9999999999999995E-7</v>
      </c>
      <c r="V29" s="121">
        <v>0.109678</v>
      </c>
      <c r="W29" s="121">
        <v>8.3122000000000001E-2</v>
      </c>
      <c r="X29" s="134"/>
      <c r="Y29" s="134"/>
    </row>
    <row r="30" spans="1:25" ht="15" customHeight="1">
      <c r="A30" s="119">
        <v>523</v>
      </c>
      <c r="B30" s="119">
        <v>523</v>
      </c>
      <c r="C30" s="118" t="s">
        <v>1383</v>
      </c>
      <c r="D30" s="119" t="s">
        <v>1384</v>
      </c>
      <c r="E30" s="118" t="s">
        <v>312</v>
      </c>
      <c r="F30" s="118" t="s">
        <v>1385</v>
      </c>
      <c r="G30" s="119" t="s">
        <v>1386</v>
      </c>
      <c r="H30" s="118" t="s">
        <v>320</v>
      </c>
      <c r="I30" s="118" t="s">
        <v>966</v>
      </c>
      <c r="J30" s="118" t="s">
        <v>204</v>
      </c>
      <c r="K30" s="118" t="s">
        <v>281</v>
      </c>
      <c r="L30" s="118" t="s">
        <v>401</v>
      </c>
      <c r="M30" s="130" t="s">
        <v>734</v>
      </c>
      <c r="N30" s="118" t="s">
        <v>338</v>
      </c>
      <c r="O30" s="118" t="s">
        <v>1215</v>
      </c>
      <c r="P30" s="120">
        <v>726</v>
      </c>
      <c r="Q30" s="120">
        <v>2.7412999999999998</v>
      </c>
      <c r="R30" s="120">
        <v>5597</v>
      </c>
      <c r="S30" s="120"/>
      <c r="T30" s="120">
        <v>111.39059</v>
      </c>
      <c r="U30" s="121">
        <v>1.1E-5</v>
      </c>
      <c r="V30" s="121">
        <v>6.1539999999999997E-3</v>
      </c>
      <c r="W30" s="121">
        <v>4.6639999999999997E-3</v>
      </c>
      <c r="X30" s="134"/>
      <c r="Y30" s="134"/>
    </row>
    <row r="31" spans="1:25" ht="15" customHeight="1">
      <c r="A31" s="119">
        <v>523</v>
      </c>
      <c r="B31" s="119">
        <v>523</v>
      </c>
      <c r="C31" s="118" t="s">
        <v>1379</v>
      </c>
      <c r="D31" s="119" t="s">
        <v>1380</v>
      </c>
      <c r="E31" s="118" t="s">
        <v>312</v>
      </c>
      <c r="F31" s="118" t="s">
        <v>1387</v>
      </c>
      <c r="G31" s="119" t="s">
        <v>1388</v>
      </c>
      <c r="H31" s="118" t="s">
        <v>320</v>
      </c>
      <c r="I31" s="118" t="s">
        <v>966</v>
      </c>
      <c r="J31" s="118" t="s">
        <v>204</v>
      </c>
      <c r="K31" s="118" t="s">
        <v>288</v>
      </c>
      <c r="L31" s="118" t="s">
        <v>379</v>
      </c>
      <c r="M31" s="130" t="s">
        <v>734</v>
      </c>
      <c r="N31" s="118" t="s">
        <v>338</v>
      </c>
      <c r="O31" s="118" t="s">
        <v>1212</v>
      </c>
      <c r="P31" s="120">
        <v>1235</v>
      </c>
      <c r="Q31" s="120">
        <v>3.7589999999999999</v>
      </c>
      <c r="R31" s="120">
        <v>10203</v>
      </c>
      <c r="S31" s="120"/>
      <c r="T31" s="120">
        <v>473.66050000000001</v>
      </c>
      <c r="U31" s="121">
        <v>9.9999999999999995E-7</v>
      </c>
      <c r="V31" s="121">
        <v>2.6169999999999999E-2</v>
      </c>
      <c r="W31" s="121">
        <v>1.9834000000000001E-2</v>
      </c>
      <c r="X31" s="134"/>
      <c r="Y31" s="134"/>
    </row>
    <row r="32" spans="1:25" ht="15" customHeight="1">
      <c r="A32" s="119">
        <v>523</v>
      </c>
      <c r="B32" s="119">
        <v>523</v>
      </c>
      <c r="C32" s="118" t="s">
        <v>1361</v>
      </c>
      <c r="D32" s="119" t="s">
        <v>1362</v>
      </c>
      <c r="E32" s="118" t="s">
        <v>312</v>
      </c>
      <c r="F32" s="118" t="s">
        <v>1389</v>
      </c>
      <c r="G32" s="119" t="s">
        <v>1390</v>
      </c>
      <c r="H32" s="118" t="s">
        <v>320</v>
      </c>
      <c r="I32" s="118" t="s">
        <v>966</v>
      </c>
      <c r="J32" s="118" t="s">
        <v>204</v>
      </c>
      <c r="K32" s="118" t="s">
        <v>250</v>
      </c>
      <c r="L32" s="118" t="s">
        <v>313</v>
      </c>
      <c r="M32" s="130" t="s">
        <v>734</v>
      </c>
      <c r="N32" s="118" t="s">
        <v>338</v>
      </c>
      <c r="O32" s="118" t="s">
        <v>1212</v>
      </c>
      <c r="P32" s="120">
        <v>5313</v>
      </c>
      <c r="Q32" s="120">
        <v>3.7589999999999999</v>
      </c>
      <c r="R32" s="120">
        <v>1769.8</v>
      </c>
      <c r="S32" s="120"/>
      <c r="T32" s="120">
        <v>353.45679000000001</v>
      </c>
      <c r="U32" s="121">
        <v>2.5999999999999998E-5</v>
      </c>
      <c r="V32" s="121">
        <v>1.9529000000000001E-2</v>
      </c>
      <c r="W32" s="121">
        <v>1.4800000000000001E-2</v>
      </c>
      <c r="X32" s="134"/>
      <c r="Y32" s="134"/>
    </row>
    <row r="33" spans="1:25" ht="15" customHeight="1">
      <c r="A33" s="119">
        <v>523</v>
      </c>
      <c r="B33" s="119">
        <v>523</v>
      </c>
      <c r="C33" s="118" t="s">
        <v>1373</v>
      </c>
      <c r="D33" s="119" t="s">
        <v>1374</v>
      </c>
      <c r="E33" s="118" t="s">
        <v>312</v>
      </c>
      <c r="F33" s="118" t="s">
        <v>1391</v>
      </c>
      <c r="G33" s="119" t="s">
        <v>1392</v>
      </c>
      <c r="H33" s="118" t="s">
        <v>320</v>
      </c>
      <c r="I33" s="118" t="s">
        <v>966</v>
      </c>
      <c r="J33" s="118" t="s">
        <v>204</v>
      </c>
      <c r="K33" s="118" t="s">
        <v>223</v>
      </c>
      <c r="L33" s="118" t="s">
        <v>343</v>
      </c>
      <c r="M33" s="130" t="s">
        <v>734</v>
      </c>
      <c r="N33" s="118" t="s">
        <v>338</v>
      </c>
      <c r="O33" s="118" t="s">
        <v>1212</v>
      </c>
      <c r="P33" s="120">
        <v>591</v>
      </c>
      <c r="Q33" s="120">
        <v>3.7589999999999999</v>
      </c>
      <c r="R33" s="120">
        <v>54422</v>
      </c>
      <c r="S33" s="120">
        <v>0.77968000000000004</v>
      </c>
      <c r="T33" s="120">
        <v>1211.9530999999999</v>
      </c>
      <c r="U33" s="121">
        <v>0</v>
      </c>
      <c r="V33" s="121">
        <v>6.6961999999999994E-2</v>
      </c>
      <c r="W33" s="121">
        <v>5.0749000000000002E-2</v>
      </c>
      <c r="X33" s="134"/>
      <c r="Y33" s="134"/>
    </row>
    <row r="34" spans="1:25" ht="15" customHeight="1">
      <c r="A34" s="119">
        <v>523</v>
      </c>
      <c r="B34" s="119">
        <v>523</v>
      </c>
      <c r="C34" s="118" t="s">
        <v>1393</v>
      </c>
      <c r="D34" s="119" t="s">
        <v>1394</v>
      </c>
      <c r="E34" s="118" t="s">
        <v>312</v>
      </c>
      <c r="F34" s="118" t="s">
        <v>1395</v>
      </c>
      <c r="G34" s="119" t="s">
        <v>1396</v>
      </c>
      <c r="H34" s="118" t="s">
        <v>320</v>
      </c>
      <c r="I34" s="118" t="s">
        <v>966</v>
      </c>
      <c r="J34" s="118" t="s">
        <v>204</v>
      </c>
      <c r="K34" s="118" t="s">
        <v>303</v>
      </c>
      <c r="L34" s="118" t="s">
        <v>379</v>
      </c>
      <c r="M34" s="130" t="s">
        <v>734</v>
      </c>
      <c r="N34" s="118" t="s">
        <v>338</v>
      </c>
      <c r="O34" s="118" t="s">
        <v>1212</v>
      </c>
      <c r="P34" s="120">
        <v>416</v>
      </c>
      <c r="Q34" s="120">
        <v>3.7589999999999999</v>
      </c>
      <c r="R34" s="120">
        <v>7080.5</v>
      </c>
      <c r="S34" s="120"/>
      <c r="T34" s="120">
        <v>110.72089</v>
      </c>
      <c r="U34" s="121">
        <v>1.2E-4</v>
      </c>
      <c r="V34" s="121">
        <v>6.117E-3</v>
      </c>
      <c r="W34" s="121">
        <v>4.6360000000000004E-3</v>
      </c>
      <c r="X34" s="134"/>
      <c r="Y34" s="134"/>
    </row>
    <row r="35" spans="1:25" ht="15" customHeight="1">
      <c r="A35" s="119">
        <v>523</v>
      </c>
      <c r="B35" s="119">
        <v>523</v>
      </c>
      <c r="C35" s="118" t="s">
        <v>1397</v>
      </c>
      <c r="D35" s="119" t="s">
        <v>1398</v>
      </c>
      <c r="E35" s="118" t="s">
        <v>312</v>
      </c>
      <c r="F35" s="118" t="s">
        <v>1399</v>
      </c>
      <c r="G35" s="119" t="s">
        <v>1400</v>
      </c>
      <c r="H35" s="118" t="s">
        <v>320</v>
      </c>
      <c r="I35" s="118" t="s">
        <v>966</v>
      </c>
      <c r="J35" s="118" t="s">
        <v>204</v>
      </c>
      <c r="K35" s="118" t="s">
        <v>223</v>
      </c>
      <c r="L35" s="118" t="s">
        <v>343</v>
      </c>
      <c r="M35" s="130" t="s">
        <v>734</v>
      </c>
      <c r="N35" s="118" t="s">
        <v>338</v>
      </c>
      <c r="O35" s="118" t="s">
        <v>1212</v>
      </c>
      <c r="P35" s="120">
        <v>707</v>
      </c>
      <c r="Q35" s="120">
        <v>3.7589999999999999</v>
      </c>
      <c r="R35" s="120">
        <v>50013</v>
      </c>
      <c r="S35" s="120">
        <v>1.2609300000000001</v>
      </c>
      <c r="T35" s="120">
        <v>1333.89183</v>
      </c>
      <c r="U35" s="121">
        <v>0</v>
      </c>
      <c r="V35" s="121">
        <v>7.3700000000000002E-2</v>
      </c>
      <c r="W35" s="121">
        <v>5.5855000000000002E-2</v>
      </c>
      <c r="X35" s="134"/>
      <c r="Y35" s="134"/>
    </row>
    <row r="36" spans="1:25" ht="15" customHeight="1">
      <c r="A36" s="119">
        <v>523</v>
      </c>
      <c r="B36" s="119">
        <v>523</v>
      </c>
      <c r="C36" s="118" t="s">
        <v>1401</v>
      </c>
      <c r="D36" s="119" t="s">
        <v>1370</v>
      </c>
      <c r="E36" s="118" t="s">
        <v>312</v>
      </c>
      <c r="F36" s="118" t="s">
        <v>1402</v>
      </c>
      <c r="G36" s="119" t="s">
        <v>1403</v>
      </c>
      <c r="H36" s="118" t="s">
        <v>320</v>
      </c>
      <c r="I36" s="118" t="s">
        <v>966</v>
      </c>
      <c r="J36" s="118" t="s">
        <v>204</v>
      </c>
      <c r="K36" s="118" t="s">
        <v>288</v>
      </c>
      <c r="L36" s="118" t="s">
        <v>379</v>
      </c>
      <c r="M36" s="130" t="s">
        <v>734</v>
      </c>
      <c r="N36" s="118" t="s">
        <v>338</v>
      </c>
      <c r="O36" s="118" t="s">
        <v>1212</v>
      </c>
      <c r="P36" s="120">
        <v>2157</v>
      </c>
      <c r="Q36" s="120">
        <v>3.7589999999999999</v>
      </c>
      <c r="R36" s="120">
        <v>10938</v>
      </c>
      <c r="S36" s="118"/>
      <c r="T36" s="120">
        <v>886.87086999999997</v>
      </c>
      <c r="U36" s="121">
        <v>4.6E-5</v>
      </c>
      <c r="V36" s="121">
        <v>4.9001000000000003E-2</v>
      </c>
      <c r="W36" s="121">
        <v>3.7137000000000003E-2</v>
      </c>
      <c r="X36" s="134"/>
      <c r="Y36" s="13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E10" sqref="E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S2" sqref="S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25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7.625" bestFit="1" customWidth="1"/>
    <col min="18" max="18" width="10.75" bestFit="1" customWidth="1"/>
    <col min="19" max="19" width="10.5" bestFit="1" customWidth="1"/>
    <col min="20" max="20" width="5.375" bestFit="1" customWidth="1"/>
    <col min="21" max="21" width="8" bestFit="1" customWidth="1"/>
    <col min="22" max="22" width="10.375" bestFit="1" customWidth="1"/>
    <col min="23" max="23" width="9.375" bestFit="1" customWidth="1"/>
    <col min="24" max="24" width="10.25" bestFit="1" customWidth="1"/>
    <col min="25" max="25" width="11.625" customWidth="1"/>
    <col min="26" max="26" width="7.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8" bestFit="1" customWidth="1"/>
    <col min="31" max="31" width="9.25" bestFit="1" customWidth="1"/>
    <col min="32" max="32" width="7.875" bestFit="1" customWidth="1"/>
    <col min="33" max="34" width="9.875" bestFit="1" customWidth="1"/>
    <col min="35" max="35" width="7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8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topLeftCell="T1" workbookViewId="0">
      <selection activeCell="AH12" sqref="AH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2.5" bestFit="1" customWidth="1"/>
    <col min="8" max="8" width="10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1.875" bestFit="1" customWidth="1"/>
    <col min="15" max="15" width="9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0" width="10" bestFit="1" customWidth="1"/>
    <col min="31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523</v>
      </c>
      <c r="B2" s="119">
        <v>523</v>
      </c>
      <c r="C2" s="118" t="s">
        <v>1018</v>
      </c>
      <c r="D2" s="119">
        <v>76019900</v>
      </c>
      <c r="E2" s="118" t="s">
        <v>1212</v>
      </c>
      <c r="F2" s="120">
        <v>3.7589999999999999</v>
      </c>
      <c r="G2" s="120">
        <v>-150000</v>
      </c>
      <c r="H2" s="120">
        <v>-557.16</v>
      </c>
      <c r="I2" s="121">
        <v>35.875765999999999</v>
      </c>
      <c r="J2" s="121">
        <v>-8.77E-2</v>
      </c>
      <c r="K2" s="119">
        <v>760199000</v>
      </c>
      <c r="L2" s="118" t="s">
        <v>1216</v>
      </c>
      <c r="M2" s="118" t="s">
        <v>1217</v>
      </c>
      <c r="N2" s="120">
        <v>150000</v>
      </c>
      <c r="O2" s="120">
        <v>2087.85482</v>
      </c>
      <c r="P2" s="121">
        <v>-35.764257999999998</v>
      </c>
      <c r="Q2" s="121">
        <v>8.7428000000000006E-2</v>
      </c>
      <c r="R2" s="120">
        <v>-6.50962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1404</v>
      </c>
      <c r="Y2" s="118" t="s">
        <v>338</v>
      </c>
      <c r="Z2" s="122">
        <v>45392</v>
      </c>
      <c r="AA2" s="122">
        <v>45484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1</v>
      </c>
      <c r="AJ2" s="120"/>
      <c r="AK2" s="118"/>
      <c r="AL2" s="121"/>
      <c r="AM2" s="118" t="s">
        <v>1405</v>
      </c>
      <c r="AN2" s="121">
        <v>0.111507</v>
      </c>
      <c r="AO2" s="121">
        <v>-2.72E-4</v>
      </c>
    </row>
    <row r="3" spans="1:41" ht="15" customHeight="1">
      <c r="A3" s="119">
        <v>523</v>
      </c>
      <c r="B3" s="119">
        <v>523</v>
      </c>
      <c r="C3" s="118" t="s">
        <v>1018</v>
      </c>
      <c r="D3" s="119">
        <v>76019988</v>
      </c>
      <c r="E3" s="118" t="s">
        <v>1212</v>
      </c>
      <c r="F3" s="120">
        <v>3.7589999999999999</v>
      </c>
      <c r="G3" s="120">
        <v>-152000</v>
      </c>
      <c r="H3" s="120">
        <v>-557.84</v>
      </c>
      <c r="I3" s="121">
        <v>35.919550999999998</v>
      </c>
      <c r="J3" s="121">
        <v>-8.7806999999999996E-2</v>
      </c>
      <c r="K3" s="119">
        <v>760199880</v>
      </c>
      <c r="L3" s="118" t="s">
        <v>1216</v>
      </c>
      <c r="M3" s="118" t="s">
        <v>1217</v>
      </c>
      <c r="N3" s="120">
        <v>152000</v>
      </c>
      <c r="O3" s="120">
        <v>2084.1331399999999</v>
      </c>
      <c r="P3" s="121">
        <v>-35.700507000000002</v>
      </c>
      <c r="Q3" s="121">
        <v>8.7272000000000002E-2</v>
      </c>
      <c r="R3" s="120">
        <v>-12.787419999999999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1404</v>
      </c>
      <c r="Y3" s="118" t="s">
        <v>338</v>
      </c>
      <c r="Z3" s="122">
        <v>45427</v>
      </c>
      <c r="AA3" s="122">
        <v>45519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1</v>
      </c>
      <c r="AJ3" s="120"/>
      <c r="AK3" s="118"/>
      <c r="AL3" s="121"/>
      <c r="AM3" s="118" t="s">
        <v>1405</v>
      </c>
      <c r="AN3" s="121">
        <v>0.21904399999999999</v>
      </c>
      <c r="AO3" s="121">
        <v>-5.3499999999999999E-4</v>
      </c>
    </row>
    <row r="4" spans="1:41" ht="15" customHeight="1">
      <c r="A4" s="119">
        <v>523</v>
      </c>
      <c r="B4" s="119">
        <v>523</v>
      </c>
      <c r="C4" s="118" t="s">
        <v>1018</v>
      </c>
      <c r="D4" s="119">
        <v>76020084</v>
      </c>
      <c r="E4" s="118" t="s">
        <v>1212</v>
      </c>
      <c r="F4" s="120">
        <v>3.7589999999999999</v>
      </c>
      <c r="G4" s="120">
        <v>-580000</v>
      </c>
      <c r="H4" s="120">
        <v>-2136.7199999999998</v>
      </c>
      <c r="I4" s="121">
        <v>137.58429599999999</v>
      </c>
      <c r="J4" s="121">
        <v>-0.33633400000000002</v>
      </c>
      <c r="K4" s="119">
        <v>760200840</v>
      </c>
      <c r="L4" s="118" t="s">
        <v>1216</v>
      </c>
      <c r="M4" s="118" t="s">
        <v>1217</v>
      </c>
      <c r="N4" s="120">
        <v>580000</v>
      </c>
      <c r="O4" s="120">
        <v>7992.8492699999997</v>
      </c>
      <c r="P4" s="121">
        <v>-136.91484800000001</v>
      </c>
      <c r="Q4" s="121">
        <v>0.33469700000000002</v>
      </c>
      <c r="R4" s="120">
        <v>-39.081209999999999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1404</v>
      </c>
      <c r="Y4" s="118" t="s">
        <v>338</v>
      </c>
      <c r="Z4" s="122">
        <v>45456</v>
      </c>
      <c r="AA4" s="122">
        <v>45547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1</v>
      </c>
      <c r="AJ4" s="120"/>
      <c r="AK4" s="118"/>
      <c r="AL4" s="121"/>
      <c r="AM4" s="118" t="s">
        <v>1405</v>
      </c>
      <c r="AN4" s="121">
        <v>0.66944800000000004</v>
      </c>
      <c r="AO4" s="121">
        <v>-1.6360000000000001E-3</v>
      </c>
    </row>
    <row r="6" spans="1:41" ht="15" customHeight="1">
      <c r="N6" s="134"/>
    </row>
    <row r="7" spans="1:41" ht="15" customHeight="1">
      <c r="N7" s="134"/>
    </row>
    <row r="8" spans="1:41" ht="15" customHeight="1">
      <c r="N8" s="134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875" bestFit="1" customWidth="1"/>
    <col min="44" max="44" width="10" bestFit="1" customWidth="1"/>
    <col min="45" max="45" width="9.25" bestFit="1" customWidth="1"/>
    <col min="46" max="46" width="9.875" bestFit="1" customWidth="1"/>
    <col min="47" max="47" width="7.875" bestFit="1" customWidth="1"/>
    <col min="48" max="48" width="9.875" bestFit="1" customWidth="1"/>
    <col min="49" max="49" width="7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523</v>
      </c>
      <c r="B2" s="119">
        <v>523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>
        <v>0</v>
      </c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2024-08-28T11:40:36Z</dcterms:modified>
</cp:coreProperties>
</file>